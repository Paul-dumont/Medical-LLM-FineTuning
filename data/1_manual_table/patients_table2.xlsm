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comments16.xml" ContentType="application/vnd.openxmlformats-officedocument.spreadsheetml.comments+xml"/>
  <Override PartName="/xl/vbaProject.bin" ContentType="application/vnd.ms-office.vbaProject"/>
  <Override PartName="/xl/styles.xml" ContentType="application/vnd.openxmlformats-officedocument.spreadsheetml.styles+xml"/>
  <Override PartName="/xl/comments4.xml" ContentType="application/vnd.openxmlformats-officedocument.spreadsheetml.comment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_rels/sheet18.xml.rels" ContentType="application/vnd.openxmlformats-package.relationships+xml"/>
  <Override PartName="/xl/worksheets/_rels/sheet17.xml.rels" ContentType="application/vnd.openxmlformats-package.relationships+xml"/>
  <Override PartName="/xl/worksheets/_rels/sheet16.xml.rels" ContentType="application/vnd.openxmlformats-package.relationships+xml"/>
  <Override PartName="/xl/worksheets/_rels/sheet15.xml.rels" ContentType="application/vnd.openxmlformats-package.relationships+xml"/>
  <Override PartName="/xl/worksheets/_rels/sheet11.xml.rels" ContentType="application/vnd.openxmlformats-package.relationships+xml"/>
  <Override PartName="/xl/worksheets/_rels/sheet4.xml.rels" ContentType="application/vnd.openxmlformats-package.relationships+xml"/>
  <Override PartName="/xl/worksheets/sheet21.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omments15.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comments11.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2"/>
  </bookViews>
  <sheets>
    <sheet name="MASTER (DO NOT MODIFY) (3)" sheetId="1" state="visible" r:id="rId3"/>
    <sheet name="502947" sheetId="2" state="visible" r:id="rId4"/>
    <sheet name="501403" sheetId="3" state="visible" r:id="rId5"/>
    <sheet name="526080" sheetId="4" state="visible" r:id="rId6"/>
    <sheet name="309758" sheetId="5" state="visible" r:id="rId7"/>
    <sheet name="525699" sheetId="6" state="visible" r:id="rId8"/>
    <sheet name="1123260" sheetId="7" state="visible" r:id="rId9"/>
    <sheet name="1123469" sheetId="8" state="visible" r:id="rId10"/>
    <sheet name="1124063" sheetId="9" state="visible" r:id="rId11"/>
    <sheet name="337044" sheetId="10" state="visible" r:id="rId12"/>
    <sheet name="291861" sheetId="11" state="visible" r:id="rId13"/>
    <sheet name="283280" sheetId="12" state="visible" r:id="rId14"/>
    <sheet name="301242" sheetId="13" state="visible" r:id="rId15"/>
    <sheet name="1121854" sheetId="14" state="visible" r:id="rId16"/>
    <sheet name="1120021" sheetId="15" state="visible" r:id="rId17"/>
    <sheet name="1121051" sheetId="16" state="visible" r:id="rId18"/>
    <sheet name="11199821" sheetId="17" state="visible" r:id="rId19"/>
    <sheet name="1113490" sheetId="18" state="visible" r:id="rId20"/>
    <sheet name="1113487" sheetId="19" state="visible" r:id="rId21"/>
    <sheet name="dropdown (2)" sheetId="20" state="visible" r:id="rId22"/>
    <sheet name="list" sheetId="21" state="visible" r:id="rId23"/>
  </sheets>
  <calcPr iterateCount="100" refMode="A1" iterate="false" iterateDelta="0.0001"/>
  <extLst>
    <ext xmlns:loext="http://schemas.libreoffice.org/" uri="{7626C862-2A13-11E5-B345-FEFF819CDC9F}">
      <loext:extCalcPr stringRefSyntax="ExcelA1"/>
    </ext>
  </extLst>
</workbook>
</file>

<file path=xl/comments4.xml><?xml version="1.0" encoding="utf-8"?>
<comments xmlns="http://schemas.openxmlformats.org/spreadsheetml/2006/main" xmlns:xdr="http://schemas.openxmlformats.org/drawingml/2006/spreadsheetDrawing">
  <authors>
    <author> </author>
  </authors>
  <commentList>
    <comment ref="E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Just fyi the new patient exam does not mean that they took records on the same day, they actually often don't take records on the same day. I may have to fix the note extraction to somehow include the exact date of records, often time the assistants do not make any notes of taking initial records</t>
        </r>
      </text>
    </comment>
  </commentList>
</comments>
</file>

<file path=xl/comments11.xml><?xml version="1.0" encoding="utf-8"?>
<comments xmlns="http://schemas.openxmlformats.org/spreadsheetml/2006/main" xmlns:xdr="http://schemas.openxmlformats.org/drawingml/2006/spreadsheetDrawing">
  <authors>
    <author> </author>
  </authors>
  <commentList>
    <comment ref="C3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discontinue elastics if pt debond? </t>
        </r>
      </text>
    </comment>
  </commentList>
</comments>
</file>

<file path=xl/comments15.xml><?xml version="1.0" encoding="utf-8"?>
<comments xmlns="http://schemas.openxmlformats.org/spreadsheetml/2006/main" xmlns:xdr="http://schemas.openxmlformats.org/drawingml/2006/spreadsheetDrawing">
  <authors>
    <author> </author>
  </authors>
  <commentList>
    <comment ref="E14"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no NiTi coil? do i put open spring/closed spring</t>
        </r>
      </text>
    </comment>
    <comment ref="E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say xrays taken here even though it should be at NV?</t>
        </r>
      </text>
    </comment>
    <comment ref="AY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do i put false here?</t>
        </r>
      </text>
    </comment>
    <comment ref="BW2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should i put trutain here if it is not mentioned?</t>
        </r>
      </text>
    </comment>
  </commentList>
</comments>
</file>

<file path=xl/comments16.xml><?xml version="1.0" encoding="utf-8"?>
<comments xmlns="http://schemas.openxmlformats.org/spreadsheetml/2006/main" xmlns:xdr="http://schemas.openxmlformats.org/drawingml/2006/spreadsheetDrawing">
  <authors>
    <author> </author>
  </authors>
  <commentList>
    <comment ref="E11"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nearly cl i, should i put cl i or ii?</t>
        </r>
      </text>
    </comment>
    <comment ref="E25"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bonding 7s, count as U/L bondings?
Reply:
    also if pt is wearing cl ii, do we automatically put cl II canine/molar?</t>
        </r>
      </text>
    </comment>
    <comment ref="AS27"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pc + lace, can only select one</t>
        </r>
      </text>
    </comment>
  </commentList>
</comments>
</file>

<file path=xl/comments17.xml><?xml version="1.0" encoding="utf-8"?>
<comments xmlns="http://schemas.openxmlformats.org/spreadsheetml/2006/main" xmlns:xdr="http://schemas.openxmlformats.org/drawingml/2006/spreadsheetDrawing">
  <authors>
    <author> </author>
  </authors>
  <commentList>
    <comment ref="E1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if NV says TADs, do i just put true for tads? sometimes maybe they wont do it tho</t>
        </r>
      </text>
    </comment>
  </commentList>
</comments>
</file>

<file path=xl/comments18.xml><?xml version="1.0" encoding="utf-8"?>
<comments xmlns="http://schemas.openxmlformats.org/spreadsheetml/2006/main" xmlns:xdr="http://schemas.openxmlformats.org/drawingml/2006/spreadsheetDrawing">
  <authors>
    <author> </author>
  </authors>
  <commentList>
    <comment ref="E8"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again, bond 7s? count as u/l bonding?</t>
        </r>
      </text>
    </comment>
    <comment ref="E13"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would this count as ideal ojob?</t>
        </r>
      </text>
    </comment>
    <comment ref="AS19"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to add lace as well</t>
        </r>
      </text>
    </comment>
    <comment ref="AS20" authorId="0">
      <text>
        <r>
          <rPr>
            <sz val="12"/>
            <color rgb="FF000000"/>
            <rFont val="Aptos Narrow"/>
            <family val="2"/>
            <charset val="1"/>
          </rPr>
          <t xml:space="preserve">[Threaded comment]
Your version of Excel allows you to read this threaded comment; however, any edits to it will get removed if the file is opened in a newer version of Excel. Learn more: https://go.microsoft.com/fwlink/?linkid=870924
Comment:
    need to add lace as well</t>
        </r>
      </text>
    </comment>
  </commentList>
</comments>
</file>

<file path=xl/sharedStrings.xml><?xml version="1.0" encoding="utf-8"?>
<sst xmlns="http://schemas.openxmlformats.org/spreadsheetml/2006/main" count="5899" uniqueCount="1005">
  <si>
    <t xml:space="preserve">Record ID</t>
  </si>
  <si>
    <t xml:space="preserve">Patient ID</t>
  </si>
  <si>
    <t xml:space="preserve">Note Date</t>
  </si>
  <si>
    <t xml:space="preserve">Note Month</t>
  </si>
  <si>
    <t xml:space="preserve">Raw Note Text</t>
  </si>
  <si>
    <t xml:space="preserve">Annotated</t>
  </si>
  <si>
    <t xml:space="preserve">Xrays taken</t>
  </si>
  <si>
    <t xml:space="preserve">Photos taken</t>
  </si>
  <si>
    <t xml:space="preserve">Intra Oral Scanning Taken</t>
  </si>
  <si>
    <t xml:space="preserve">Active Traction</t>
  </si>
  <si>
    <t xml:space="preserve">Upper Bonding</t>
  </si>
  <si>
    <t xml:space="preserve">Upper Banding</t>
  </si>
  <si>
    <t xml:space="preserve">Lower Bonding</t>
  </si>
  <si>
    <t xml:space="preserve">Lower Banding</t>
  </si>
  <si>
    <t xml:space="preserve">Space closure sliding mechanics</t>
  </si>
  <si>
    <t xml:space="preserve">Space closure loop mechanics</t>
  </si>
  <si>
    <t xml:space="preserve">IPR</t>
  </si>
  <si>
    <t xml:space="preserve">Enameloplasty</t>
  </si>
  <si>
    <t xml:space="preserve">TADs</t>
  </si>
  <si>
    <t xml:space="preserve">Extractions</t>
  </si>
  <si>
    <t xml:space="preserve">Teeth Pain</t>
  </si>
  <si>
    <t xml:space="preserve">Upper Active movement</t>
  </si>
  <si>
    <t xml:space="preserve">Lower Active movement</t>
  </si>
  <si>
    <t xml:space="preserve">TMJ symptoms</t>
  </si>
  <si>
    <t xml:space="preserve">Referral</t>
  </si>
  <si>
    <t xml:space="preserve">Right Canine Class</t>
  </si>
  <si>
    <t xml:space="preserve">Right Molar Class</t>
  </si>
  <si>
    <t xml:space="preserve">Left Canine Class</t>
  </si>
  <si>
    <t xml:space="preserve">Left Molar Class</t>
  </si>
  <si>
    <t xml:space="preserve">Overbite (mm)</t>
  </si>
  <si>
    <t xml:space="preserve">Overjet (mm)</t>
  </si>
  <si>
    <t xml:space="preserve">Unilateral Posterior Crossbite</t>
  </si>
  <si>
    <t xml:space="preserve">Bilateral Posterior Crossbite</t>
  </si>
  <si>
    <t xml:space="preserve">Anterior Crossbite</t>
  </si>
  <si>
    <t xml:space="preserve">Active Tooth Traction</t>
  </si>
  <si>
    <t xml:space="preserve">Arch Coordination</t>
  </si>
  <si>
    <t xml:space="preserve">Re-tie Appointment</t>
  </si>
  <si>
    <t xml:space="preserve">Prescription and Bracket Slot</t>
  </si>
  <si>
    <t xml:space="preserve">Changed Upper Arch Wire</t>
  </si>
  <si>
    <t xml:space="preserve">Changed Lower Arch Wire</t>
  </si>
  <si>
    <t xml:space="preserve">Upper Wire Material</t>
  </si>
  <si>
    <t xml:space="preserve">Upper Wire Size</t>
  </si>
  <si>
    <t xml:space="preserve">Lower Wire Material</t>
  </si>
  <si>
    <t xml:space="preserve">Lower Wire Size</t>
  </si>
  <si>
    <t xml:space="preserve">Ligature Method</t>
  </si>
  <si>
    <t xml:space="preserve">Elastic Pattern Right</t>
  </si>
  <si>
    <t xml:space="preserve">Elastic Type Right</t>
  </si>
  <si>
    <t xml:space="preserve">Elastic Pattern Left</t>
  </si>
  <si>
    <t xml:space="preserve">Elastic Type Left</t>
  </si>
  <si>
    <t xml:space="preserve">Class I elastic</t>
  </si>
  <si>
    <t xml:space="preserve">Class II elastic</t>
  </si>
  <si>
    <t xml:space="preserve">Class III elastic</t>
  </si>
  <si>
    <t xml:space="preserve">Cross Elastic</t>
  </si>
  <si>
    <t xml:space="preserve">Appliance</t>
  </si>
  <si>
    <t xml:space="preserve">Open Spring</t>
  </si>
  <si>
    <t xml:space="preserve">Closed Spring</t>
  </si>
  <si>
    <t xml:space="preserve">Anterior Bite Turbos</t>
  </si>
  <si>
    <t xml:space="preserve">Posterior Bite Turbos</t>
  </si>
  <si>
    <t xml:space="preserve">Cantilever</t>
  </si>
  <si>
    <t xml:space="preserve">NANCE</t>
  </si>
  <si>
    <t xml:space="preserve">Mandibular Advancement Appliance</t>
  </si>
  <si>
    <t xml:space="preserve">Maxillary Expander</t>
  </si>
  <si>
    <t xml:space="preserve">TPA</t>
  </si>
  <si>
    <t xml:space="preserve">LLHA</t>
  </si>
  <si>
    <t xml:space="preserve">Tongue Crib</t>
  </si>
  <si>
    <t xml:space="preserve">Intrusion Arch</t>
  </si>
  <si>
    <t xml:space="preserve">FaceMask</t>
  </si>
  <si>
    <t xml:space="preserve">Oral Hygiene</t>
  </si>
  <si>
    <t xml:space="preserve">Compliance</t>
  </si>
  <si>
    <t xml:space="preserve">Bracket OR BAND Repositioning</t>
  </si>
  <si>
    <t xml:space="preserve">EMERGENCY</t>
  </si>
  <si>
    <t xml:space="preserve">Emergency Type</t>
  </si>
  <si>
    <t xml:space="preserve">Debonded Bracket</t>
  </si>
  <si>
    <t xml:space="preserve">Upper Retainer</t>
  </si>
  <si>
    <t xml:space="preserve">Lower Retainer</t>
  </si>
  <si>
    <t xml:space="preserve">Upper Arch Bends</t>
  </si>
  <si>
    <t xml:space="preserve">Lower Arch Bends</t>
  </si>
  <si>
    <t xml:space="preserve">Upper Arch Accentuated Curve of Spee</t>
  </si>
  <si>
    <t xml:space="preserve">Upper Arch Reverse Curve of Spee</t>
  </si>
  <si>
    <t xml:space="preserve">Lower Arch Accentuated Curve of Spee</t>
  </si>
  <si>
    <t xml:space="preserve">Lower Arch Reverse Curve of Spee</t>
  </si>
  <si>
    <t xml:space="preserve">Lower Arch Curve of Spee</t>
  </si>
  <si>
    <t xml:space="preserve">Upper Debond</t>
  </si>
  <si>
    <t xml:space="preserve">Lower Debond</t>
  </si>
  <si>
    <t xml:space="preserve">Retainer Check</t>
  </si>
  <si>
    <t xml:space="preserve">Relapse</t>
  </si>
  <si>
    <t xml:space="preserve">Male Pt presents with Mom for Initial Orthodontic Consultation Note: baseball, catcher On time: on time Covering Faculty: [DOCTOR] Chief Concern: " not so much concerned about esthetics, more about health and fxn of teeth " RMHx: No contraindications to today's consultation. Significant Findings: LL3, UL2 x-bite. Gen. mod U/L spacing. LL#E still present. RDHx: healthy EOE: wnl IOE: wnl R Molar Classification: 1 L Molar Classification: 1 TMJ: ( No ) Crepitus, ( No ) , No Clicking of TMJ, Pain on Palpation, ( No ) Hx of Trauma Recommendations: Yes Records to be taken, CBCT ( Full + Report ) , IO and EO photographs, Scan/Models of Maxillary and Mandibular Arches. retroclined UAs, min. OJ, OB. May have class III tendency. NV: Consultation of Tx Options, Begin Tx upon approval</t>
  </si>
  <si>
    <t xml:space="preserve"> Class I</t>
  </si>
  <si>
    <t xml:space="preserve">Male presents for consulation and bonding of U/L arches CC: want better bite, close spacing. . RMHx: Pt denies any changes Significant Findings: mod. gen. U/L spacing. Min OJ/OB.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MBT .022 Upper Wire: .014 sentalloy Lower Wire: none Mechanics Note: Bonded U6-6, took progress pics today NV: Bond L6-6 Victory MBT .022</t>
  </si>
  <si>
    <t xml:space="preserve">MBT conventional 0.022"</t>
  </si>
  <si>
    <t xml:space="preserve">Other</t>
  </si>
  <si>
    <t xml:space="preserve">0.014"</t>
  </si>
  <si>
    <t xml:space="preserve">Male presents for consulation and bonding of U/L arches CC: want better bite, close gen. spaces . RMHx: Pt denies any changes Significant Findings: mod. gen. U/L spacing, min. OJ/OB.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Victory MBT .022 Upper Wire: * Lower Wire: .014 sentalloy Mechanics Note: Bonded L6-6. U7 turbos to prevent shearing off lower brackets. **L4 brackets will need to be repoed in the future. Placed too occlusal compared to L6s,5s. NV: wire adjustment, RDA will take progress photos</t>
  </si>
  <si>
    <t xml:space="preserve">NV: bond 7s, repo L4s more ging., reduce turbos, get 16x22 sentalloy and engage 7s. Will recip. close gen. spaces once we get into 19x25 SS AW. Large rect. wire will allow more translation of teeth into spaces and more torque control of teeth as we close spaces. This will prevent lingual dumping of U/L ant. teeth crowns. We want to maintain incisor inclinations.</t>
  </si>
  <si>
    <t xml:space="preserve">0.016"x0.022"</t>
  </si>
  <si>
    <t xml:space="preserve">NV: retie 2.19x25 niti 3. Pan, repo once we have closed some spaces once we're in SS 19x25 wire. (We want to maintain the upper incisor position and not retract them. We can do this by using class III elastics and PC at the same time to close generalized upper spacing (AP forces cancel out and only post. teeth will be brought forward to close the generalized spacing).</t>
  </si>
  <si>
    <t xml:space="preserve">NiTi</t>
  </si>
  <si>
    <t xml:space="preserve">0.019"x0.025"</t>
  </si>
  <si>
    <t xml:space="preserve">Mom thought appt. was tomorrow. Rescheduled to next Monday. Mom knows may have to wait due to double booking appt.</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</si>
  <si>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[DOCTOR] Covering faculty if different from assigned; * Compliance: Good Molar/Canine: * OJ/OB: Edge to edge ant. bite Treatment progress evaluation: * UAW: 19x25 U7-7 copperloy LAW: 19x25 L7-7 copperloy Elastics: PC L4-4 to create positive OJ Appointment notes: 1 more visit in 19x25 niti + retie, then 19x25 SS for Pano/repo NV: pics at 3:30 PM, retie</t>
  </si>
  <si>
    <t xml:space="preserve">edge to edge</t>
  </si>
  <si>
    <t xml:space="preserve">CuNiTi</t>
  </si>
  <si>
    <t xml:space="preserve">Powerchain Lower</t>
  </si>
  <si>
    <t xml:space="preserve">Good</t>
  </si>
  <si>
    <t xml:space="preserve">Took photos. Retie U: 19x25 copperloy U7-7, PC U2-2 to close spaces L: 19x25 copperloy L7-7, PC L4-4, steel tied. NV: Extract PANO, repo before 19x25 SS U/L</t>
  </si>
  <si>
    <t xml:space="preserve">Power chain Upper and Lower</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</si>
  <si>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Covering faculty if different from assigned; * Compliance: Average Molar/Canine: * OJ/OB: * Treatment progress evaluation: * UAW: same 19x25 copperloy. Reset UR3-MRT, UR1-MRT (do enamelplasty MI later on), UL5-DRT. LAW: 19x25 SS with elastic tie backs LL, LR. Elastics: * Appointment notes: PANO extracted today for pan/repo. NV: Move to upper 19x25 SS. Reactivate lower tie backs with SS lig and O-ties.</t>
  </si>
  <si>
    <t xml:space="preserve">SS</t>
  </si>
  <si>
    <t xml:space="preserve">Average</t>
  </si>
  <si>
    <t xml:space="preserve">Patient presents for appliance adjustment. Patient arrived on time: y Minor patient accompanied by: mom Significant Med/Dental Hx/Changes Med/Dental Hx: * Presenting OH: Good Alerts if any: * Describe if other alert: * Prophy needed? * Radiogrraph needed? * Faculty assigned: Covering faculty if different from assigned; * Compliance: Average Molar/Canine: * OJ/OB: OJ=.5, OB=2 Treatment progress evaluation: * UAW: same 19x25 copperloy. LAW: 19x25 SS with reactivated elastic tie backs LL, LR. (recip. space closure) Elastics: none Appointment notes: Lower midline R .5 mm. R: M=-1, C=-2. L: M=0, C=-3. NV: Move to upper 19x25 SS. Start upper tie backs with SS lig. Reactivate lower tie backs with SS lig and O-ties. Start Cl III elastics to create more OJ and protract U post teeth.</t>
  </si>
  <si>
    <t xml:space="preserve"> ½ cusp class III</t>
  </si>
  <si>
    <t xml:space="preserve"> ¼ cusp class III</t>
  </si>
  <si>
    <t xml:space="preserve">ideal</t>
  </si>
  <si>
    <t xml:space="preserve">positive</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</si>
  <si>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R: Cl III canine, M=-2. L: Cl III canine, M=-3 OJ/OB: OJ=.5, OB=2 Treatment progress evaluation: * UAW: 19x25 SS with soldered hook distal to U2s. Elastic tie back from U6s to soldered hook. LAW: 19x25 SS with reactivated elastic tie backs LL, LR. (recip. space closure) Elastics: Class III bears FT. U6s to soldered lower hooks located betw. L2s,L3s Appointment notes: NV: Reactivate tie backs, cont U/L recip. space closure.</t>
  </si>
  <si>
    <t xml:space="preserve"> class III</t>
  </si>
  <si>
    <t xml:space="preserve">Class III</t>
  </si>
  <si>
    <t xml:space="preserve">Bear</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</si>
  <si>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Treatment progress evaluation: * UAW: same 19x25 SS with soldered hook distal to U2s. Replaced elastic tie back from U6s to soldered hook. LAW: same 19x25 SS with reactivated elastic tie backs LL, LR. (recip. space closure) Elastics: Class III bears FT. U6s to soldered lower hooks located betw. L2s,L3s Appointment notes: NV: Reactivate tie backs, cont U/L recip. space closure.</t>
  </si>
  <si>
    <t xml:space="preserve">Poor</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</si>
  <si>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3 OB, 2 OJ. Treatment progress evaluation: * UAW: same 19x25 SS with soldered hook distal to U2s. Niti coil to close upper spaces placed. 3 mm space distal to UR2. 1.5 mm space distal to UL2. LAW: same 19x25 SS with PCL6-6, min spacing. Light RCOS to open bite because UA hitting LA teeth. CL III elastics will counteract RCOS. Elastics: Class III bears FT. U6s to soldered lower hooks located betw. L2s,L3s Appointment notes: 3 packs bears, 3 proxy brushes given. NV: Cont U/L recip. space closure.</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</si>
  <si>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 Compliance: Average Molar/Canine: OJ/OB: 3 OB, 2 OJ. Treatment progress evaluation: * UAW: same 19x25 SS with soldered hook distal to U2s. Niti coil to close upper spaces placed. Today, 2 mm space distal to UR2. 1 mm space distal to UL2. 1 mm space distal betw. UL6,7 LAW: New 19x25 TMA, L2-2 SD to create more OJ. PCL6-6, min spacing. CL III elastics. Elastics: Class III bears FT. U6s to L3s hooks. Appointment notes: DW mom 4 options for small U2s. Today, 4 mm upper spaces present. Will discuss with GP [DOCTOR] about restoring U2s. NV: Check OJ, OB. Did we get enough OB reduction for more OJ? Plan for upper spaces?</t>
  </si>
  <si>
    <t xml:space="preserve">TMA</t>
  </si>
  <si>
    <t xml:space="preserve">Patient presents for appliance adjustment. Patient arrived on time: y Minor patient accompanied by: mom Significant Med/Dental Hx/Changes Med/Dental Hx: * Presenting OH: poor, OHI discussed including again recession LL3. Alerts if any: * Describe if other alert: * Prophy needed? * Radiogrraph needed? * Faculty assigned: Covering faculty if different from assigned; Oh Compliance: Average Molar/Canine: OJ/OB: 3 OB, 1 OJ. Treatment progress evaluation: * UAW: same 19x25 SS with soldered hook distal to U2s. Niti coil to close upper spaces placed. Today, 2 mm space distal to UR2. LAW: same 19x25 TMA, accent. L2-2 SD to create more OJ. PCL6-6, no spacing. CL III elastics. Elastics: Class III bears FT. U6s to L3s hooks. Appointment notes: DW mom 4 options for small U2s. Today, 2 mm upper spaces present. Will discuss with GP and let me know her decision. *Pt. wants to leave space distal to U3s.* NV: Plan for upper spaces? Restore U2s or leave spaces distal to U3.</t>
  </si>
  <si>
    <t xml:space="preserve">NV: U 19x25 SS no posts, PC U3-3, Class III elastics until class I molar, goal is to leave tooth size discrepancy space distal to U3's not U2's. Approved by mom and patient. MB</t>
  </si>
  <si>
    <t xml:space="preserve">TRANSFER Reviewed tx of pt with [DOCTOR] and [DOCTOR] -Small U2s, pt wants to leave space distal to U3s (cleansible space) -Currently: 19x25 SS upper, 19x25 TMA on lower -Class III tendency on the right side -Remove Niit coils -PC U3-3 should be placed</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</si>
  <si>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Class I canine bilat. OJ/OB: 2 OB, 1 OJ. Treatment progress evaluation: * UAW: same 19x25 SS with soldered hook distal to U2s. Niti coil to close upper spaces placed. Today, 2 mm space distal to UL2. LAW: same 19x25 TMA, L2-2 SD to create more OJ. PCL6-6, no spacing. Elastics: D/C Class III bears. Appointment notes: DW mom 4 options for small U2s. *Pt./mom wants to leave space distal either distal to U2s or U3s. No lower IPR.* NV: New upper non-posted 19x25 SS, OCS U2s to move upper midline to L and redistribute spaces.</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</si>
  <si>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Class I M/II C OJ/OB: 2 OB, 2 OJ. Treatment progress evaluation: * UAW: same 19x25 SS with soldered hook distal to U2s. Niti coil to close upper spaces removed today - UR2-3 space closed, UL2-3 space &lt;0.5mm. PCU6-6 to close residual space. LAW: same 19x25 TMA, same L2-2 SD to create more OJ. PCL6-6, no spacing. Elastics: No more elastics - D/C Class III bears. Appointment notes: DW mom 4 options for small U2s, but might not need these options since spaces are almost closed. Lower midline 0.5mm to the left. *Originally, Pt./mom wanted to leave space distal either distal to U2s or U3s. No lower IPR. - might not need this as the spaces are closed* NV: Finishing elastics NV2: Debond (1 week later)</t>
  </si>
  <si>
    <t xml:space="preserve"> class II</t>
  </si>
  <si>
    <t xml:space="preserve">discontinued</t>
  </si>
  <si>
    <t xml:space="preserve">Patient presents for appliance adjustment. Patient arrived on time: y Minor patient accompanied by: mom Significant Med/Dental Hx/Changes Med/Dental Hx: * Presenting OH: poor, OHI discussed including again recession LL3. Mom understands perio consult after ortho tx will be needed for possible graft. Alerts if any: * Describe if other alert: * Prophy needed? * Radiogrraph needed? * Faculty assigned:  Covering faculty if different from assigned; Compliance: Average Molar/Canine: R: I/I L: I/II OJ/OB: 2 OB, 2 OJ. Treatment progress evaluation: Lower midline 0.5mm to the left UAW: New: .014 SS U3-3 sectional, steel laced tightly U3-3 LAW: New: .016 Nitinol L6-6 Elastics: Finishing elastics: U3-L34, U4-L4,5 bilaterally Bear elastics NTO (~8 hours) Appointment notes: Lower midline 0.5mm to the left. *Originally, Pt./mom wanted to leave space distal either distal to U2s or U3s. No lower IPR. - do not need this as the spaces are closed* NV: Debond and final records</t>
  </si>
  <si>
    <t xml:space="preserve">0.016"</t>
  </si>
  <si>
    <t xml:space="preserve">Steel Lacing Upper</t>
  </si>
  <si>
    <t xml:space="preserve">Class I</t>
  </si>
  <si>
    <t xml:space="preserve">Clinic: Imp for U/L hawley retainers Patient presents today for: Treatment completion Form signed: Treatment completion Patient arrived on time? * Minor patient accompanied by: Mom Significant Med Hx: NSF Changes Med Hx: NSF Dental Hx Changes: Discussed possible reflux with the Mom due to pitting in the lower 6s. Mom said she had been told this but did not pursue it since another dentist told her it looked stable. Told Mom to consider getting a consultation about it with a specialist. Prophy needed: Yes - getting one next week Radiograph needed: * Presenting OH: Needs improvement Compliance: Average Alerts: * Describe if Other Alert * Assigned Faculty: [DOCTOR] Covering Faculty: * Removed: Brackets Describe if Other * Appointment notes including results deviating from ideal: Removed all braces, removed any bonding material, polished. Smoothed U2-2 incisal edges to smooth chips slightly. Told Mom and pt that we can smooth more at next visit if they want. They understood. NV: Deliver upper wrap-around retainer, lower hawley</t>
  </si>
  <si>
    <t xml:space="preserve">Fair</t>
  </si>
  <si>
    <t xml:space="preserve">Patient arrived for delivery of retainers. Patient arrived on time: Yes Minor patient accompanied by: * Significant Med/Dental Hx/Changes Med/Dental Hx: NSF Presenting OH: Good Alerts if any: * Faculty assigned: [DOCTOR] Covering faculty if different from assigned; [DOCTOR] Type of retainers delivered:: U wraparound, L hawley with fngr spring Retention protocol: FTW for 6 mo, then NTO Appointments notes: Cut off UL6 distal clasp because was preventing from seating. Activated LL2 spring to push tooth out facially. Instructed pt on wear, gave case. NV: 1 mo U/L Hawley ret check</t>
  </si>
  <si>
    <t xml:space="preserve">Essix</t>
  </si>
  <si>
    <t xml:space="preserve">Hawley</t>
  </si>
  <si>
    <t xml:space="preserve">Patient presents today for retainer check. Patient arrived on time: Yes Minor patient accompanied by: * Significant Med/Dental Hx/Changes Med/Dental Hx: No Presenting OH: Good Alerts if any: * Prophy needed? * Radiogrraph needed? * Faculty assigned: [DOCTOR] Covering faculty if different from assigned; * Patient completion date: 11/5/18 Presenting retention protocol: FTW of U wraparound hawley/L hawley with finger spring LL2, then switch to after school, and NTO Compliance: Good - wears FT Significant findings: LL2 mesial has moved out facially and is in line now. Changes to retention protocol: Still FTW of U wraparound hawley/L hawley with finger spring LL2 NV: 4 mo ret check of U/L Hawleys</t>
  </si>
  <si>
    <t xml:space="preserve">Patient presents today for retainer check. Patient arrived on time: Yes Minor patient accompanied by: * Significant Med/Dental Hx/Changes Med/Dental Hx: No Presenting OH: Good Alerts if any: * Prophy needed? * Radiogrraph needed? * Faculty assigned: [DOCTOR] Covering faculty if different from assigned; * Patient completion date: 11/5/18 Presenting retention protocol: FTW of U wraparound hawley/L hawley with finger spring LL2, then switch to after school, and NTO Compliance: Ok - wears every night and sometimes after school Significant findings: LL2 mesial has moved out facially and is in line. Pt reports sometimes feeling tightness in LL anterior if he doesn't wear retainer FT Changes to retention protocol: NTO of U wraparound hawley/L hawley with finger spring LL2 and after school PRN if pt feels like retainers are tight NV: 6 mo ret check of U/L Hawleys (with finger spring LL2)</t>
  </si>
  <si>
    <t xml:space="preserve">Pt presented with broken retainer. Retainer was broken where the left labial bow meets the acrylic. Told patient that he will have to pay for new retainer as it has been a year and the retainer can not be repaired... it has to be remade. Instructed patient that he has to remove retainer with his finger and not continue to play with his tongue Pt says mom will call for appt when she can come back in to pay for new retainer and to do scan.</t>
  </si>
  <si>
    <t xml:space="preserve">scan for lower hawley retainer</t>
  </si>
  <si>
    <t xml:space="preserve">Pt presented for delivery of lower hawley retainer. Adjusted Hawley and instructed patient how to take in and out of mouth. NV: 6 mo retainer check</t>
  </si>
  <si>
    <t xml:space="preserve">Patient presents today for retainer check. Patient arrived on time: Yes Minor patient accompanied by: No one Significant Med/Dental Hx/Changes Med/Dental Hx: No Presenting OH: Good Alerts if any: * Prophy needed? No Radiogrraph needed? no Faculty assigned: [DOCTOR] Covering faculty if different from assigned; [DOCTOR] Patient completion date: 11/2018 Presenting retention protocol: NTO for both upper and lower -lower was replaced in september due to broken retainer Compliance: Good Significant findings: Tightened upper and lower retainers slightly Changes to retention protocol: No changes NV: 6 mo recall and then should be done</t>
  </si>
  <si>
    <t xml:space="preserve">Male Pt presents with mother for Initial Orthodontic Consultation Note: * On time: on time Covering Faculty: [DOCTOR] Chief Concern: " "I want to straighten my lower teeth" " RMHx: No contraindications to today's consultation. Significant Findings: Pt is slightly Cl III molar but facial profile is convex and did not change shoe sizes in the past year RDHx: Pt had cleaning in November, no restorative work pending EOE: WNL IOE: Moderate lower crowding bilateral Cl III molars R Molar Classification: 3 L Molar Classification: 3 TMJ: ( No ) Crepitus, ( No ) , Yes Clicking of TMJ, Pain on Palpation, ( No ) Hx of Trauma Recommendations: Yes Records to be taken, CBCT ( Full + Report ) , IO and EO photographs, Scan/Models of Maxillary and Mandibular Arches. * NV: Consultation of Tx Options, Begin Tx upon approval</t>
  </si>
  <si>
    <t xml:space="preserve">Called patient's mother requesting an update regarding patient's cleaning in main clinic. Left a message asking for a call back. NV: Start when patient is ready. Called patient's mother requesting an update regarding patient's cleaning in main clinic. Patient previously stated they would like to start after cleaning is done but never heard from main clinic. Left a message asking for a call back. NV: Start when patient is ready.</t>
  </si>
  <si>
    <t xml:space="preserve">TX PLAN CONSULTATION Patient presented with mother to review treatment plan and go over informed consent. Patient and mother both agree to treatment plan and will sign contract the day of bonding 9/16/16. Discussed all options, risks, benefits with patient and mother. Next visit: 9/16/16 for initial bonding</t>
  </si>
  <si>
    <t xml:space="preserve">BONDING Upper incisors - low torque 4 canines - high torque -3: LR 2, LL1 -11: LR1 LL2 Remaining - standard torque 7-7 bonded Posterior elastics L6-U4 bilateral, Ormco Quail 2 oz NiTi OCS placed on lower to create space for blocked out teeth Damon dropdown hooks placed on U4s in order to create attachment for elastics Wire: U/L .014 Damon CuNiTi with stops Faculty: [DOCTOR] Next visit: 4 weeks, Oct 14 1:15 pm, followed by November 11</t>
  </si>
  <si>
    <t xml:space="preserve">Standart conventional 0.022"</t>
  </si>
  <si>
    <t xml:space="preserve">Class II</t>
  </si>
  <si>
    <t xml:space="preserve">COMFORT VISIT Replaced brackets on UL6-7, LL6-7, LR6. Changed upper AW to .018 CuNiTi and did not change lower AW. Faculty: [DOCTOR] Next visit: November 11, 2016</t>
  </si>
  <si>
    <t xml:space="preserve">0.018"</t>
  </si>
  <si>
    <t xml:space="preserve">Debonded Bracket or Band</t>
  </si>
  <si>
    <t xml:space="preserve">APPLIANCE ADJUSTMENT LR 7 rebonded. Blocked out teeth steel tied to archwire on lower. UAW: 14x25 LAW: .014 Next visit: Reactivate NiTI coil springs (Dec, engage blocked out teeth) Next next visit: 14x25 lower, assuming blocked out teeth engaged Next next visit: Pan/repo, if possible on Feb 10 Next appt: Dec 15 APPLIANCE ADJUSTMENT LR 7 rebonded. Blocked out teeth steel tied to archwire on lower. U2-2 enameloplasty started. Photographs taken at end of appt. UAW: 14x25 LAW: .014 Next visit: Reactivate NiTI coil springs (Dec, engage blocked out teeth) Next next visit: 14x25 lower, assuming blocked out teeth engaged Next next visit: Pan/repo, if possible on Feb 10 Next appt: Dec 15</t>
  </si>
  <si>
    <t xml:space="preserve">0.014"x0.025"</t>
  </si>
  <si>
    <t xml:space="preserve">BRACKET REMOVAL Bracket on #28 removed - patient is sitting for mock WREB for dental student. Next visit: Replace bracket and appliance adjustment APPLIANCE ADJUSTMENT UAW: 14x25 (color change only) LAW: .014 Damon CuNiTi Faculty suggested to engage blocked out lower incisors. No need to continue NiTi open coil springs. Full arch engaged on lower. Re-evaluate at next visit in January for 14x25 Faculty: [DOCTOR] Next appt: January 2017 (look at November ortho note for tx progression suggestion)</t>
  </si>
  <si>
    <t xml:space="preserve">APPLIANCE ADJUSTMENT UAW: 14X25 CuNiTi LAW: 14x25 CuNiTi UL5 rebonded. Faculty: [DOCTOR] Next visit: pan/repo Next appt: 2/10/17 APPLIANCE ADJUSTMENT UAW: 14X25 CuNiTi LAW: 14x25 CuNiTi UL5 rebonded. discontinue elastics wear until next appt. Faculty: [DOCTOR] Next visit: pan/repo Next appt: 2/10/17</t>
  </si>
  <si>
    <t xml:space="preserve">PAN/REPO Archwires maintained from previous appt. LR1 intrude, LL1 extude, UL5+LL5+LR5 --&gt; repo to move distal marginal ridge more occlusally, UR 1 upright. UL1, L2-2, U3s enameloplasty. Next visit: UAW/LAW: 18x25 CuNiTi, PC U3-3, Tieback module U3-U6 weave in between, .010 steel lace L3-3 Next appt: March 2017</t>
  </si>
  <si>
    <r>
      <rPr>
        <sz val="12"/>
        <color rgb="FF000000"/>
        <rFont val="Aptos Narrow"/>
        <family val="0"/>
        <charset val="1"/>
      </rPr>
      <t xml:space="preserve">APPLIANCE ADJUSTMENT UAW: 18x25 CuNiTi LAW: 18x25 CuNiTi PC U3-3/</t>
    </r>
    <r>
      <rPr>
        <sz val="12"/>
        <color rgb="FFFF0000"/>
        <rFont val="Aptos Narrow"/>
        <family val="0"/>
        <charset val="1"/>
      </rPr>
      <t xml:space="preserve">Tieback modul</t>
    </r>
    <r>
      <rPr>
        <sz val="12"/>
        <color rgb="FF000000"/>
        <rFont val="Aptos Narrow"/>
        <family val="0"/>
        <charset val="1"/>
      </rPr>
      <t xml:space="preserve">e U3-U6, weaved in between. .010 steel lace L3-3. Next appt: April 2017</t>
    </r>
  </si>
  <si>
    <t xml:space="preserve">0.018"x0.025"</t>
  </si>
  <si>
    <r>
      <rPr>
        <sz val="12"/>
        <color rgb="FF000000"/>
        <rFont val="Aptos Narrow"/>
        <family val="0"/>
        <charset val="1"/>
      </rPr>
      <t xml:space="preserve">APPLIANCE ADJUSTMENT UAW: 19X25 SS LAW: 16X25 SS T</t>
    </r>
    <r>
      <rPr>
        <sz val="12"/>
        <color rgb="FFFF0000"/>
        <rFont val="Aptos Narrow"/>
        <family val="0"/>
        <charset val="1"/>
      </rPr>
      <t xml:space="preserve">ieback module</t>
    </r>
    <r>
      <rPr>
        <sz val="12"/>
        <color rgb="FF000000"/>
        <rFont val="Aptos Narrow"/>
        <family val="0"/>
        <charset val="1"/>
      </rPr>
      <t xml:space="preserve"> continued. Laced together U3-3. Next appt: June 2017</t>
    </r>
  </si>
  <si>
    <t xml:space="preserve">APPLIANCE ADJUSTMENT UAW: 19x25 SS LAW: 17x25 TMA LL1 root prominence noted. Lingual root torque placed in wire. Considered replacing bracket - will re-evalute at next appt. Records taken to document root position. Faculty: [DOCTOR] Next appt: July 2017</t>
  </si>
  <si>
    <t xml:space="preserve">Torque</t>
  </si>
  <si>
    <t xml:space="preserve">0.017"x0.025"</t>
  </si>
  <si>
    <t xml:space="preserve">Patient presents for appliance adjustment. Patient arrived on time: yes Minor patient accompanied by: self Significant Med/Dental Hx/Changes Med/Dental Hx: no changes Presenting OH: Needs improvement Alerts if any: * Describe if other alert: * Prophy needed? Yes Radiogrraph needed? No Faculty assigned: [DOCTOR] Covering faculty if different from assigned; [DOCTOR]/[DOCTOR] Compliance: Average Molar/Canine: 1/1 OJ/OB: not measured today Treatment progress evaluation: finishing and detailing UAW: 14x25 CuNiTi LAW: 14x25 CuNiTi Elastics: none Appointment notes: repositioned following brackets, per clinical findings : UR2, UL2, UL5, LL7, LL5, LL4, LL1, LR5. metal conditioner used for LL7. low torque bracket flipped for LL1. patietn left comfortably. umphasis placed on OHI NV: September 2017, eval LL1</t>
  </si>
  <si>
    <t xml:space="preserve">Patient presents for appliance adjustment. Patient arrived on time: yes Minor patient accompanied by: self Significant Med/Dental Hx/Changes Med/DDental Hx: no changes Presenting OH: Needs improvement Alerts if any: * Describe if other alert: * Prophy needed? Yes Radiogrraph needed? No Faculty assigned: [DOCTOR] Covering faculty if different from assigned; [DOCTOR] Compliance: Good Molar/Canine: I/I OJ/OB: not measured today Treatment progress evaluation: monitoring LL1 UAW: 16x25 Damon TMA LAW: 16x25 Damon TMA Elastics: none Appointment notes: closed PC U 7-7, noticed LL7 bracket off - may not rebond/consider removing LR7 bracket to improve symmetry NV: finishing, December 2017</t>
  </si>
  <si>
    <t xml:space="preserve">0.016"x0.025"</t>
  </si>
  <si>
    <t xml:space="preserve">Powerchain Upper</t>
  </si>
  <si>
    <t xml:space="preserve">Patient presents for appliance adjustment. Patient arrived on time: yes, early Minor patient accompanied by: self (came at same time as sister) Significant Med/Dental Hx/Changes Med/Dental Hx: no changes Presenting OH: needs improvement - reviewed flossing Alerts if any: * Describe if other alert: * Prophy needed? yes Radiogrraph needed? no Faculty assigned: [DOCTOR] Covering faculty if different from assigned; [DOCTOR] Compliance: good Molar/Canine: I/I OJ/OB: not measured today, acceptable Treatment progress evaluation: finishing stages - monitor torque LL1 UAW: 16x25 TMA Damon (did not adjust) LAW: 17x25 TMA Damon (19x25 did not fit) Elastics: none Appointment notes: did not touch U arch NV: January 2018, change L wire to 19x25 TMA?</t>
  </si>
  <si>
    <t xml:space="preserve">Patient presents for appliance adjustment. Patient arrived on time: yes, early!! Minor patient accompanied by: self Significant Med/Dental Hx/Changes Med/Dental Hx: no changes Presenting OH: good Alerts if any: * Describe if other alert: * Prophy needed? yes Radiogrraph needed? no Faculty assigned: [DOCTOR] Covering faculty if different from assigned; [DOCTOR] Compliance: good Molar/Canine: I/I OJ/OB: * Treatment progress evaluation: rebonded U4-4 with [DOCTOR] UAW: 18x25 CuNiTi LAW: 17x25 TMA, torque by [DOCTOR] on LL1 Elastics: none Appointment notes: * NV: February 2018</t>
  </si>
  <si>
    <t xml:space="preserve">PATIENT'S MOTHER SENT A MESSAGE THIS MORNING CANCELING SAME-DAY APPT FOR. THIS IS NOT THE FIRST TIME. POOR ATTENDANCE DEFINITELY AFFECTING TREATMENT EFFICIENCY/OUTCOME.</t>
  </si>
  <si>
    <t xml:space="preserve">Patient presents for appliance adjustment. Patient arrived on time: yes Minor patient accompanied by: self Significant Med/Dental Hx/Changes Med/Dental Hx: no changes Presenting OH: average Alerts if any: * Describe if other alert: * Prophy needed? no Radiogrraph needed? no Faculty assigned: [DOCTOR] Covering faculty if different from assigned; [DOCTOR] Compliance: good Molar/Canine: I/I OJ/OB: * Treatment progress evaluation: * UAW: 19x25 TMA, closed PC U6-6 LAW: retie, 17x25 TMA Elastics: none Appointment notes: changed U wire NV: April 2018</t>
  </si>
  <si>
    <t xml:space="preserve">Patient presents for comfort visit. Patient arrived on time: yes early Minor patient accompanied by: self CC: wire poke Appointment notes: all wires trimmed. patient left comfortably. patient satisfied with treatment and would consider debond, discuss at next visit wtih [DOCTOR] and potential debond in May Faculty: [DOCTOR] NV: April 2018, eval for debond</t>
  </si>
  <si>
    <t xml:space="preserve">Wire poking</t>
  </si>
  <si>
    <t xml:space="preserve">Patient presents for appliance adjustment. Patient arrived on time: yes Minor patient accompanied by: self - explained that debond could not be completed without parent signature since he is under 18. dedbond rescheduled to may 25, pending mother's signature for paperwork. Significant Med/Dental Hx/Changes Med/Dental Hx: no change Presenting OH: average Alerts if any: * Describe if other alert: * Prophy needed? no Radiogrraph needed? no Faculty assigned: [DOCTOR] Covering faculty if different from assigned; [DOCTOR] Compliance: average - several missed appts lately Molar/Canine: * OJ/OB: * Treatment progress evaluation: acceptable for finishing. not ideal finish, but due to compliance issues, better to debond now. debond scheduled for may 25 UAW: * LAW: * Elastics: bear upside down triangle R/L to hold occlusion until debond Appointment notes: * NV: May 2018, debond!</t>
  </si>
  <si>
    <t xml:space="preserve">Patient presents today for: Treatment completion Form signed: Treatment completion Patient arrived on time? yes Minor patient accompanied by: mother signed paperwork for completion last monday. all questions answered at that time. patient and mother are not currently speaking - that's why she signed the paperwork monday instead of today. all questions answered for patient today as well, before debond. Significant Med Hx: no change Changes Med Hx: no change Dental Hx Changes: none - told patient to get cleaning and GP checkup ASAP!! check for cavities/and cleaning needed Prophy needed: no Radiograph needed: final cbct today Presenting OH: Needs improvement Compliance: * Alerts: * Describe if Other Alert * Assigned Faculty: [DOCTOR] Covering Faculty: same Removed: Brackets Describe if Other * Appointment notes including results deviating from ideal: cl II not corrected entirely on L/anterior guidance lacking - debond due to patient's lack of compliance lately. staying in treatment longer may be more detrimental. NV: retainer delivery next week!</t>
  </si>
  <si>
    <t xml:space="preserve">FAC: PK All primary teeth have exfoliated. However, pt. was playing goal keeper and while diving for a save, chipped his UR1 and presents with a crown/root fracture. Noticeable plaque build up on the UR1-4. Pt. is very sensitive and turned head away abruptly while using scaler to scrape away plaque. Recommended that the pt. schedule an appt. with the pediatric dept. to have to tooth looked at ASAP. Father wanted to konw if we could simply extract the tooth. Discussed with father that tooth could potentially be saved and that a PA radiograph should be taken first. NV: INRECS and start ortho tx once UR1 is restored</t>
  </si>
  <si>
    <t xml:space="preserve">Pediatrics</t>
  </si>
  <si>
    <t xml:space="preserve">Clinic:
OR .XRayTech
Male Pt presents with mother for Initial Orthodontic Consultation Note: In 7th grade. Favorite class is math. Prefers to be called On time: 5 minutes late Covering Faculty: [DOCTOR] Chief Concern: " "I want to fix my smile." " RMHx: No contraindications to today's consultation. Significant Findings: UR1 fractured crown secondary to trauma from playing soccer. Tooth is apically and facially displaced. Not enough room in the arch for UR1. UR1 recently had RCT and will need a restoration to restore proper size and shape. Full cusp class II bilaterally Deep bite RDHx: Sees dentist at UOP. Recently had RCT on UR1. Mesiodens can be seen radiographically between U1s. EOE: Convex profile, retrognathic mandible. No asymmetry Competent lips IOE: Crown fracture UR1. UR1 is positioned facially and apically. Maxillay crowding. Full cusp class II molar/canine bilateral Deep bite 7s have almost all erupted Maxillary midline deviated ~3mm to right R Molar Classification: 2 L Molar Classification: 2 TMJ: ( No ) Crepitus, ( No ) , No Clicking of TMJ, Pain on Palpation, ( Yes ) Hx of Trauma Recommendations: Yes Records to be taken, CBCT ( Full + Report ) , IO and EO photographs, Scan/Models of Maxillary and Mandibular Arches. Pt is ready for orthodontic tx. Recommend full tx child. Alginate impressions and bite registration made to submit to dentical. HLD score 29. NV: Consultation of Tx Options, Begin Tx upon approval</t>
  </si>
  <si>
    <t xml:space="preserve">Pain</t>
  </si>
  <si>
    <t xml:space="preserve"> full cusp class II</t>
  </si>
  <si>
    <t xml:space="preserve">deep bite</t>
  </si>
  <si>
    <t xml:space="preserve">Male presents for consulation and bonding of U/L arches CC: I want striaght teeth . RMHx: Pt denies any changes Significant Findings: class II (almost full cusp) bilateral, deep bite (extruded lower incisors), fractured UR1, endo treated, blocked out. Pt came with mother and younger sister,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AO Mini Master MBT .022 Upper Wire: .014 NiTi 5-5. OCS UR2-UL1 Lower Wire: n/a Mechanics Note: Bonded U5-5 today. Placed seps for bands on M/D of U6s. Discussed with [DOCTOR]: cervical pull HG, anterior bite turbos, box elastics to extrude premolars to level curve of spee, rather than leveling with archwire in order to prevent excessive proclination of lower incisors. Will need to build up UR1 in order to place a bracket ideally. Gave toothbrush kit and OHI. Encouraged flossing. Gave wax, advised pt to take tylenol, eat soft foods if painful. Gave diet instructions. NV: Bond lowers, anterior bite turbo, band U6s</t>
  </si>
  <si>
    <t xml:space="preserve">Bond Lower 6-6, Band U6s 12y M presents early with mother and younger sisters. Pt had complained about pain a day after initial bonding, but said it resolved within a couple of days. No broken brackets, no CC, good OH today. Pt has been really good about flossing with his braces! I told him he is doing a great job and to keep it up. It is difficult to clean around fractured UR1, though. Bonded lower 6-6 with AO Mini Master MBT .022. Banded U6s with Weds. AM bands. Placed bite turbo on palatal cusp of UL5 to disclude and prevent debonding of lower brackets. U: .016 NiTi 6-6, cinch back. OCS UR2-UL1 L: .016 NiTi 6-6 cinch back NV: evaluate for bite turbos on lingual of upper anteriors, cervical pull HG, step up wires. NNV bond 7s</t>
  </si>
  <si>
    <t xml:space="preserve">Comfort Visit 12y M presents with mother on time with CC: "The bracket came off in the back." LL6 debonded. Rebonded LL6, added more to the bite turbos on UL5, UR4. Pt said he wasn't biting on the bracket anymore. Retied lower arch .016 NiTi. Advised pt to be careful with what he eats. Gave more floss threaders and showed pt how to use them. NV: appliance adjustment</t>
  </si>
  <si>
    <t xml:space="preserve">Comfort Visit 12y M presents with CC: "The bracket on the other side came off." LR6 debonded. Rebonded LR6 with AO mini master. Built up bite turbos on U4s so that pt would not bite off brackets. Retied, same wires. NV: appliance adjustment</t>
  </si>
  <si>
    <t xml:space="preserve">Comfort Visit 12y M presents on time with CC: "My bracket came off when I bit too hard." LR6 debonded again. Rebonded this bracket. Added bite turbo to UR6 to disclude. U: 16 x 22 NiTi 6-6, OCS UR2-UL1 L: 16 x 22 NiTi 6-6 Worked with [DOCTOR]. NV: appliance adjustment as scheduled</t>
  </si>
  <si>
    <t xml:space="preserve">Cervical HG Delivery 12y M presents on time for appliance adjustment, CC "My bracket broke." Pt said he was hit by a friend and his bracket broke. LL6 was rebonded. U: 16 x 22 retie, activated OCS UR2-UL1 full bracket, almost enough room for UR1 L: 16 x 22 Delivered cervical pull headgear, advised pt 12 hrs/day wear. Gave HG score card. Pt had some trouble fitting HG, wearing at hole #5 (marked with sharpie). Encouraged pt to keep trying and it would get easier to fit HG. Put left side in first. Worked with [DOCTOR]. NV: appliance adjustment</t>
  </si>
  <si>
    <t xml:space="preserve">Low pull head gear</t>
  </si>
  <si>
    <t xml:space="preserve">Patient presents for comfort visit. Patient arrived on time: yes Minor patient accompanied by: * CC: LL6 debonded Appointment notes: rebonded LL6 AO bracket, added to bite turbos, retie Faculty: No NV: Yes</t>
  </si>
  <si>
    <t xml:space="preserve">Patient presents for comfort visit. Patient arrived on time: yes Minor patient accompanied by: friend CC: headgear doesn't fit Appointment notes: adjusted HG, took wires out so pt could brush, and retied Faculty: No NV: Yes</t>
  </si>
  <si>
    <t xml:space="preserve">Patient presents for appliance adjustment. Patient arrived on time: yes Minor patient accompanied by: none Significant Med/Dental Hx/Changes Med/Dental Hx: none Presenting OH: Good Alerts if any: * Describe if other alert: * Prophy needed? Yes Radiogrraph needed? No Faculty assigned: [DOCTOR] Covering faculty if different from assigned; * Compliance: Good Molar/Canine: full cusp L, end on R class II OJ/OB: * Treatment progress evaluation: pt reports wearing HG every night while he sleeps (9pm- 8 or 9am). Advised pt to keep up the good work! Not much improvement in class II correction yet, but pt has had good compliance with HG. UAW: .018 NiTi 7-7. OCS UR2-UL1. LAW: .018 NiTi 7-7 Elastics: none Appointment notes: Bonded all 7s, LL7 pokes pt's cheek added to bite turbos so pt wouldn't bite off LR7 Adjusted HG and activated it more. Expanded it slightly. ~3mm from teeth to labial bow. Activated OCS UR2-UL1 to make some more room for UR1. Will need to build up UR1 at some point to bond a bracket to it. Want to get to larger base archwire and do an overlay to UR1 in order to prevent possible intrusion of adjacent teeth in case UR1 is ankylosed NV: step up archwires, check HG</t>
  </si>
  <si>
    <t xml:space="preserve">½ cusp class II</t>
  </si>
  <si>
    <t xml:space="preserve">Patient presents for appliance adjustment. Patient arrived on time: yes Minor patient accompanied by: mother Significant Med/Dental Hx/Changes Med/Dental Hx: no Presenting OH: Good Alerts if any: * Describe if other alert: * Prophy needed? Yes Radiogrraph needed? No Faculty assigned: [DOCTOR] Covering faculty if different from assigned; * Compliance: Good Molar/Canine: full cusp cl II L, end on R OJ/OB: large OJ, ~4-5mm OB Treatment progress evaluation: we have made enough space for UR1 to be restored and extruded, still working on class II correction with HG and deep bite correction by leveling COS UAW: 16 x 22 NiTi 7-7, OCS UL1-UR2 LAW: 16 x 22 NiTi 7-7 Elastics: none Appointment notes: rebonded LL7 that pt had debonded over the weekend added to bite turbos U6s Checked HG, still about the same amount of space between teeth and facebow (~3mm) Changed HG so that pt will wear on hole #4 one side and #3 on the other, marked HG so that pt knows where to wear it Encouraged good HG compliance Pt is due for a prophy in pedo soon NV: buildup UR1 and start extruding with overlay</t>
  </si>
  <si>
    <t xml:space="preserve">Patient presents for appliance adjustment. Patient arrived on time: yes, early Minor patient accompanied by: none Significant Med/Dental Hx/Changes Med/Dental Hx: no Presenting OH: Good Alerts if any: * Describe if other alert: * Prophy needed? Yes Radiogrraph needed? No Faculty assigned: [DOCTOR] Covering faculty if different from assigned; * Compliance: Good Molar/Canine: FC class II L, end on R OJ/OB: 7/3mm Treatment progress evaluation: enough space opened for UR1 UAW: 16 x 22 NiTi with .014 NiTi overlay from UR3-UR1-UL2 LAW: 16 x 22 NiTi Elastics: none Appointment notes: rebonded LR7, pt reported he was still biting on bracket. Due to multiple debonds, decided to band this tooth. Placed separator mesial to LR7 Built up UR1 with A2 composite, polished with discs. Pt reported it felt smooth. Advised pt not to eat hard foods with this tooth because it might break. Pt reports 10hrs/day HG wear during the week and 11hrs/day on weekends. Encouraged good HG wear. U6s are slightly mobile, indicating good compliance. Pt forgot to bring his HG today, told pt to bring it next visit. Pt says he is growing. Hopefully good HG wear will help class II, although not much correction has been noted so far. NV: check alignment of UR1, watch for possible ankylosis</t>
  </si>
  <si>
    <t xml:space="preserve">Patient presents for appliance adjustment. Patient arrived on time: yes Minor patient accompanied by: none Significant Med/Dental Hx/Changes Med/Dental Hx: pt has cleaning scheduled for tomorrow Presenting OH: Needs improvement Alerts if any: * Describe if other alert: * Prophy needed? Yes Radiogrraph needed? No Faculty assigned: [DOCTOR] Covering faculty if different from assigned; * Compliance: Good Molar/Canine: class II end on R, full cusp L OJ/OB: large OJ Treatment progress evaluation: bringing down UR1 UAW: .016 NiTi 7-7 LAW: 16 x 22 NiTi 6-6 Elastics: none Appointment notes: engaged UR1, which is coming down without intruding the other teeth performed some IPR on restored UR1 to make it closer to the same size as UL1 Placed separators mesial to L7s in order to band at NV rebonded UL7 with AO mini master bracket NV: wires out/in for cleaning tomorrow, replace seps</t>
  </si>
  <si>
    <t xml:space="preserve">Patient presents for appliance adjustment. Patient arrived on time: yes Minor patient accompanied by: none Significant Med/Dental Hx/Changes Med/Dental Hx: pt could not have prophy today because parent was not present Presenting OH: Needs improvement Alerts if any: * Describe if other alert: * Prophy needed? Yes Radiogrraph needed? No Faculty assigned: [DOCTOR] Covering faculty if different from assigned; [DOCTOR] Compliance: Good Molar/Canine: * OJ/OB: * Treatment progress evaluation: * UAW: .016 NiTi 7-7 LAW: 16 x 22 NiTi 7-6 Elastics: none Appointment notes: banded LR7 with 3M band (size 37), could not band LL7 due to operculum covering crown due to deep bite, we will have move UL7 so that it is not interfering with LL7 before we can bond a bracket there NV: check HG, step up U archwire</t>
  </si>
  <si>
    <t xml:space="preserve">Patient presents for appliance adjustment. Patient arrived on time: yes Minor patient accompanied by: none Significant Med/Dental Hx/Changes Med/Dental Hx: no Presenting OH: average Alerts if any: * Describe if other alert: * Prophy needed? yes Radiogrraph needed? no Faculty assigned: [DOCTOR] Covering faculty if different from assigned; [DOCTOR] Compliance: good, HG 10hrs/day every day Molar/Canine: R M2, L M4 OJ/OB: 7.5mm/4mm Treatment progress evaluation: UR1 is aligned now! working up wires to SS UAW: 16 x 22 NiTi LAW: 19 x 25 NiTi Elastics: none Appointment notes: checked HG, looks good consider banding LL7 next month NV: band LL7, step up wires</t>
  </si>
  <si>
    <t xml:space="preserve">Removed arch wires prior to dental cleaning appointment at pedo
Removed arch wires prior to dental cleaning appointment at pedo put wire back on.</t>
  </si>
  <si>
    <t xml:space="preserve">Pt came 10m late to appt and nobody was in the front to check him in, so he left. Will reschedule</t>
  </si>
  <si>
    <t xml:space="preserve">Patient presents for appliance adjustment. Patient arrived on time: yes Minor patient accompanied by: * Significant Med/Dental Hx/Changes Med/Dental Hx: * Presenting OH: needs improvement, encouraged flossing Alerts if any: * Describe if other alert: * Prophy needed? no Radiogrraph needed? possibly in a few months Faculty assigned: [DOCTOR] Covering faculty if different from assigned; * Compliance: good Molar/Canine: full cusp class II L, end on R OJ/OB: 7/4mm Treatment progress evaluation: * UAW: 19 x 25 NiTi LAW: 19 x 25 NiTi Elastics: none Appointment notes: checked HG, fits well. pt reports wearing every night, 10hrs/night placed separator mesial to LL7, will band or bond NV NV: band LL7, plan for forsus next</t>
  </si>
  <si>
    <t xml:space="preserve">Band LL7 Pt presents on time. Fit band LL7 size 36, cemented U:19 x 25 NiTi L: .016 NiTi NV: Step up wires (U 19 x 25 SS, L .018 or poss .020 NiTi</t>
  </si>
  <si>
    <t xml:space="preserve">Patient presents for comfort visit. Patient arrived on time: yes Minor patient accompanied by: * CC: broken brackets Appointment notes: rebonded LL5 and UL7 AO mini master told pt to be careful with what he eats/chews Faculty: [DOCTOR] NV: step up wires (see prev note)</t>
  </si>
  <si>
    <t xml:space="preserve">Removed arch wires prior to dental cleaning.
Patient presents for appliance adjustment. Patient arrived on time: yes Minor patient accompanied by: self Significant Med/Dental Hx/Changes Med/Dental Hx: no updates reported Presenting OH: ok Alerts if any: * Describe if other alert: * Prophy needed? No Radiogrraph needed? No Faculty assigned: [DOCTOR] Covering faculty if different from assigned; [DOCTOR] Compliance: NA Molar/Canine: 1/1 OJ/OB: 1/1 Treatment progress evaluation: LL5 bracket debonded. UAW: 019x025 Niti LAW: 018 Niti Elastics: None Appointment notes: replaced LL5 bracket with AO mini. Retied upper archwire. Replaced lower archwire with 018 Niti. NV: [DOCTOR] will contact to schedule</t>
  </si>
  <si>
    <t xml:space="preserve">Patient presents for appliance adjustment. Patient arrived on time: yes Minor patient accompanied by: n/a Significant Med/Dental Hx/Changes Med/Dental Hx: no Presenting OH: average Alerts if any: * Describe if other alert: * Prophy needed? in July Radiogrraph needed? no Faculty assigned: [DOCTOR] Covering faculty if different from assigned; [DOCTOR] Compliance: pt says he wore HG Molar/Canine: FC class II OJ/OB: * Treatment progress evaluation: stepping up wires for forsus UAW: 19 x 25 SS, steel lace 6-6 LAW: 19 x 25 NiTi Elastics: kangaroo class II U3-L6 FT bilateral Appointment notes: no broken brackets! started elastics, discontinue HG plan for forsus NV NV: forsus</t>
  </si>
  <si>
    <t xml:space="preserve">Kangaroo</t>
  </si>
  <si>
    <t xml:space="preserve">Patient presents for appliance adjustment. Patient arrived on time: yes Minor patient accompanied by: none Significant Med/Dental Hx/Changes Med/Dental Hx: no Presenting OH: average Alerts if any: * Describe if other alert: * Prophy needed? possibly Radiogrraph needed? maybe soon Faculty assigned: [DOCTOR] Covering faculty if different from assigned; * Compliance: good, reports wearing every day Molar/Canine: class II FC left, end on R OJ/OB: 6/4mm approx Treatment progress evaluation: class II elastics, moving towards forsus UAW: 19 x 25 SS LAW: 19 x 25 NiTi Elastics: kangaroo class II U3-L6 FT bilateral Appointment notes: rebonded LL6 could not engage SS wire, reused NiTi NV: deliver forsus, lower SS wire and lace</t>
  </si>
  <si>
    <t xml:space="preserve">Patient presents for appliance adjustment. Patient arrived on time: yes Minor patient accompanied by: none Significant Med/Dental Hx/Changes Med/Dental Hx: pt is due for a prophy Presenting OH: average, could be better Alerts if any: * Describe if other alert: * Prophy needed? yes Radiogrraph needed? yes Faculty assigned: [DOCTOR] Covering faculty if different from assigned; * Compliance: pt reports good compliance Molar/Canine: FC class II L, about end on L OJ/OB: * Treatment progress evaluation: need class II cxn UAW: 19 x 25 SS, steel lace 3-3 LAW: 19 x 25 SS Elastics: kangaroo class II U3-L6 FT bilateral Appointment notes: pt has grown a lot! he is now taller than me we want to take progress CBCT to see growth status and root position, will schedule at NV. pt is due for a prophy. plan to deliver forsus after prophy so that his teeth can be cleaned well NV: prophy, progress xray, deliver forsus</t>
  </si>
  <si>
    <t xml:space="preserve">Patient presents for comfort visit. Patient arrived on time: yes Minor patient accompanied by: none CC: broken brackets Appointment notes: rebonded UR5 and UR7 with AO minimaster instructed pt not to eat hard foods Faculty: * NV: appliance adjustment, deliver forsus after prophy, need progress CBCT</t>
  </si>
  <si>
    <t xml:space="preserve">Met with [DOCTOR] and [DOCTOR] to discuss pt's transfer. I scheduled his progress CBCT for tomorrow. I will deliver forsus at pt's next appt on 8/30 and introduce [DOCTOR]. Pt is also having a prophy on 8/30.</t>
  </si>
  <si>
    <t xml:space="preserve">Reviewed case with [DOCTOR] and [DOCTOR] to place Forces at next visit, introduce the patient to me, and schedule patient in my schedule for follow up visit.</t>
  </si>
  <si>
    <t xml:space="preserve">Patient presents for appliance adjustment. Patient arrived on time: yes Minor patient accompanied by: mother Significant Med/Dental Hx/Changes Med/Dental Hx: had prophy in pedo clinic today Presenting OH: inflammation of gingiva lower anterior Alerts if any: * Describe if other alert: * Prophy needed? no Radiogrraph needed? no Faculty assigned: [DOCTOR] Covering faculty if different from assigned; [DOCTOR] Compliance: * Molar/Canine: class II, worse on L OJ/OB: * Treatment progress evaluation: DELIVERED FORSUS UAW: 19 x 25 SS LAW: 19 x 25 SS Elastics: none Appointment notes: delivered forsus: R - 32mm L - 29mm steel lace U6-6 and L3-7 bilateral gave pt instructions on how to reinsert forsus spring if it pops out and instructed pt to check L3 brackets every night to make sure they haven't debonded. If L3 bracket debonds, pt must come in ASAP for rebond or else the forsus will cause L3s to rotate and set him back in tx. Introduced pt to [DOCTOR]. NV: check forsus, check that pt has sufficient OJ for class II cxn. pt will likely eventually need reduction of the lingual of restoration on UR1 because it is bulky</t>
  </si>
  <si>
    <t xml:space="preserve">Steel Lacing Upper and Lower</t>
  </si>
  <si>
    <t xml:space="preserve">Forsus</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</si>
  <si>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on left Class I on right OJ/OB: * PRESENTS WITH: UAW: 19 x 25 SS LAW: 19 x 25 SS Elastics: none Appliance: FORCES R - 32mm L - 29mm steel lace U6-6 and L3-7 bilateral TODAY'S APPOINMENT: UAW: 19 x 25 SS LAW: 19 x 25 SS Elastics: none Appliance: FORCES R - 32mm L - 35mm steel lace U6-6 and L3-7 bilateral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</si>
  <si>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on left Class I on right OJ/OB: * PRESENTS WITH: UAW: 19 x 25 SS LAW: 19 x 25 SS Elastics: none Appliance: FORCES R - 32mm L - 29mm steel lace U6-6 and L3-7 bilateral TODAY'S APPOINMENT: UAW: 19 x 25 SS LAW: 20x20 niti Elastics: Left: Kangarro class II FTW Right: Triangle FTW Appliance: NONE APPOINTMENT</t>
  </si>
  <si>
    <t xml:space="preserve">0.020"x0.020"</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</si>
  <si>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II (almost class I) on left Class I on right OJ/OB: * UAW: 19 x 25 SS LAW: 20x20 niti Elastics: Left: Kangarro class II FTW Right: Triangle FTW Appliance: NONE TODAY'S APPOINMENT: UAW: 19 x 25 SS LAW: 17x25 niti Elastics: Left: Kangarro class II FTW Right: Triangle FTW Appliance: NONE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</si>
  <si>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Slight class II (more on right) OJ/OB: 2/2 Midline: Lower to right 1 mm UAW: 19 x 25 SS LAW: 17x25 SS Elastics: Left: Kangarro class II FTW Right: Triangle FTW Appliance: NONE TODAY'S APPOINMENT: UAW: 19 x 25 SS LAW: 17x25 SS Elastics: Left: Kangarro class II FTW Right: Kangarro class II FTW Appliance: NONE APPOINTMENT</t>
  </si>
  <si>
    <t xml:space="preserve">Faculty assigned: [DOCTOR] Covering faculty if different from assigned; [DOCTOR] Minor patient accompanied by: mother Significant Med/Dental Hx/Changes Med/Dental Hx: had prophy in pedo clinic today Presenting OH: inflammation of gingiva lower anterior Alerts if any: * Describe if other alert: * Prophy needed? no Radiogrraph needed? no Compliance: * Molar/Canine: Class I OJ/OB: 2/2 Midline: Lower to right 1 mm UAW: 19 x 25 SS LAW: 17x25 SS Elastics: Left: Kangarro class II FTW Right: Triangle FTW Appliance: NONE TODAY'S APPOINMENT: UAW: 19 x 25 SS LAW: 17x25 SS Elastics: Left: Kangarro class II FTW Right: Kangarro class II FTW Appliance: NONE APPOINTMENT</t>
  </si>
  <si>
    <t xml:space="preserve">Deband Debond - Contract signed - Removed upper and lower brackets and bands - removed excess cement and polished RETENTION: Fixed upper 1-1 since the upper 1's were so uneven to begin with Trutain upper and lower Impressions taken for U/L trutain - NV: --&gt; xrays --&gt; pictures --&gt; Final scans</t>
  </si>
  <si>
    <t xml:space="preserve">fixed bar</t>
  </si>
  <si>
    <t xml:space="preserve">Devlivered U/L trutain. Trutains fit well, patient able to remove and put back in. Gave at home care. NV: 1 month retainer check</t>
  </si>
  <si>
    <t xml:space="preserve">Trutain</t>
  </si>
  <si>
    <t xml:space="preserve">Trutains fit well and patient wearing full time Patient to wear 12 hrs/day until 6 month retainer check NV: 6 month retainer check</t>
  </si>
  <si>
    <t xml:space="preserve">Patient has been wearing at night and sometimes during the day. The teeth and occlusion appear stable. Instructed patient to wear "Nighttime for lifetime" and to call us if he ever loses or breaks his retainers. NV: PRN</t>
  </si>
  <si>
    <t xml:space="preserve">Female Pt presents with mother and father for Initial Orthodontic Consultation Note: sister, 16 yoa, in tx at uop ortho - 4 bi extraction case On time: yes Covering Faculty: [DOCTOR] Chief Concern: " "I think I need braces" " RMHx: No contraindications to today's consultation. Significant Findings: spacing upper arch and crowding lower arch - mild RDHx: [LOCATION] [LOCATION] EOE: WNL IOE: WNL R Molar Classification: 1 L Molar Classification: 1 TMJ: ( No ) Crepitus, ( No ) , No Clicking of TMJ, Pain on Palpation, ( No ) Hx of Trauma Recommendations: Yes Records to be taken, CBCT ( Full + Report ) , IO and EO photographs, Scan/Models of Maxillary and Mandibular Arches. y NV: Consultation of Tx Options, Begin Tx upon approval</t>
  </si>
  <si>
    <t xml:space="preserve">RECALL LLE has exfoliated. Patient ready to take records and begin treatment. Walked patient to Ines to schedule records (Angelia not at work today due to emergency).</t>
  </si>
  <si>
    <t xml:space="preserve">Female presents for consulation and bonding of U/L arches CC: "braces"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Damon Upper Wire: .014 CuNiTi Lower Wire: .014 CuNiTi Mechanics Note: Look at treatment plan NV: August 2017</t>
  </si>
  <si>
    <t xml:space="preserve">Damon Self Ligating 0.22"</t>
  </si>
  <si>
    <t xml:space="preserve">APPLIANCE ADJUSTMENT LR4 bracket replaced. Next appt: August 2017 APPLIANCE ADJUSTMENT LL4 bracket replaced. Next appt: August 2017</t>
  </si>
  <si>
    <t xml:space="preserve">WIRE OUT/WIRE IN Wire removed before cleaning and replaced after cleaning. Confirmed August 18 appt. Faculty: [DOCTOR] (today, [DOCTOR]) Next appt: August 2017</t>
  </si>
  <si>
    <t xml:space="preserve">Patient presents for appliance adjustment. Patient arrived on time: yes, early Minor patient accompanied by: self Significant Med/Dental Hx/Changes Med/Dental Hx: no changes Presenting OH: Good Alerts if any: * Describe if other alert: * Prophy needed? No Radiogrraph needed? No Faculty assigned: [DOCTOR] Covering faculty if different from assigned; [DOCTOR] Compliance: Good Molar/Canine: 1/1 OJ/OB: not measured today Treatment progress evaluation: level and align stage UAW: .018 CuNiTi LAW: .018 CuNiTi Elastics: none Appointment notes: step up archwires, level and align NV: September 2017</t>
  </si>
  <si>
    <r>
      <rPr>
        <sz val="12"/>
        <color rgb="FF000000"/>
        <rFont val="Aptos Narrow"/>
        <family val="0"/>
        <charset val="1"/>
      </rPr>
      <t xml:space="preserve">Patient presents for appliance adjustment. Patient arrived on time: yes, early Minor patient accompanied by: mother Significant Med/Dental Hx/Changes Med/Dental Hx: no changes, cleaning last month Presenting OH: Good Alerts if any: * Describe if other alert: * Prophy needed? No Radiogrraph needed? No Faculty assigned: [DOCTOR] Covering faculty if different from assigned; [DOCTOR] Compliance: Good Molar/Canine: 1/1 OJ/OB: not measured, deep bite, </t>
    </r>
    <r>
      <rPr>
        <sz val="12"/>
        <color rgb="FFFF0000"/>
        <rFont val="Aptos Narrow"/>
        <family val="0"/>
        <charset val="1"/>
      </rPr>
      <t xml:space="preserve">xs OJ</t>
    </r>
    <r>
      <rPr>
        <sz val="12"/>
        <color rgb="FF000000"/>
        <rFont val="Aptos Narrow"/>
        <family val="0"/>
        <charset val="1"/>
      </rPr>
      <t xml:space="preserve"> Treatment progress evaluation: level and align stage still UAW: 14x25 CuNiTi LAW: 14x25 CuNiTi Elastics: none Appointment notes: stepped up AWs, see on Friday PSL clinic next time NV: November 2017</t>
    </r>
  </si>
  <si>
    <t xml:space="preserve">Patient presents for appliance adjustment. Patient arrived on time: yes, early Minor patient accompanied by: mother Significant Med/Dental Hx/Changes Med/Dental Hx: no changes Presenting OH: Good Alerts if any: * Describe if other alert: * Prophy needed? No Radiogrraph needed? No Faculty assigned: [DOCTOR] Covering faculty if different from assigned; [DOCTOR] Compliance: Good Molar/Canine: cl I molar OJ/OB: deep bite and xs OJ present Treatment progress evaluation: light wires still UAW: 18x25 CuNiTi U6-6 LAW: 16x25 CuNiTi L7-7 Elastics: none Appointment notes: bonded LOWER 7s today and engaged wire NV: December 2017</t>
  </si>
  <si>
    <t xml:space="preserve">OR .Morita Patient presents for appliance adjustment. Patient arrived on time: yes Minor patient accompanied by: mother Significant Med/Dental Hx/Changes Med/Dental Hx: no changes Presenting OH: good Alerts if any: * Describe if other alert: * Prophy needed? no Radiogrraph needed? yes Faculty assigned: [DOCTOR] Covering faculty if different from assigned; [DOCTOR] Compliance: good Molar/Canine: I molar OJ/OB: not measured today, deep bite Treatment progress evaluation: level and align stage still. could not place TMA RCOS today bc both L7s debonded. rebonded L7s (not occluding) and placed same wire UAW: 18x25 CuNiTi U6-6 LAW: 16x25 CuNiTi L7-7 Elastics: none Appointment notes: see above please NV: pano/repo and reposition as needed, February 2018</t>
  </si>
  <si>
    <t xml:space="preserve">Patient presents for appliance adjustment. Patient arrived on time: yes Minor patient accompanied by: mother Significant Med/Dental Hx/Changes Med/Dental Hx: no changes, cleaning 4/19/18 Presenting OH: puffy gums Alerts if any: * Describe if other alert: * Prophy needed? yes Radiogrraph needed? no, taken today Faculty assigned: [DOCTOR] Covering faculty if different from assigned; [DOCTOR] Compliance: good Molar/Canine: * OJ/OB: * Treatment progress evaluation: * UAW: .018 CuNiTi LAW: .018 CuNiTi Elastics: none Appointment notes: repo L2-2, LR4, LR5, UR1, UR2, UR4 - positions checked by [DOCTOR] NV: April 2018</t>
  </si>
  <si>
    <t xml:space="preserve">Patient presents for appliance adjustment. Patient arrived on time: yes Minor patient accompanied by: mother and father in waiting room Significant Med/Dental Hx/Changes Med/Dental Hx: no change, pt reports she's flossing now :) Presenting OH: improved Alerts if any: * Describe if other alert: * Prophy needed? no Radiogrraph needed? no Faculty assigned: [DOCTOR] Covering faculty if different from assigned; [DOCTOR] Compliance: good Molar/Canine: * OJ/OB: * Treatment progress evaluation: * UAW: 14x25 CuNiTi LAW: 14x25 CuNiTi Elastics: fox Appointment notes: changed wires NV: May 2018</t>
  </si>
  <si>
    <t xml:space="preserve">Fox</t>
  </si>
  <si>
    <t xml:space="preserve">Patient presents for comfort visit. Patient arrived on time: yes Minor patient accompanied by: self CC: wire in after prophy/recall Appointment notes: replaced wires Faculty: [DOCTOR] NV: app adj</t>
  </si>
  <si>
    <t xml:space="preserve">Patient presents for comfort visit. Patient arrived on time: yes Minor patient accompanied by: mother in waiting room CC: poking Appointment notes: trimmed wire to alleviate poke Faculty: [DOCTOR] NV: May 11, app adj - bond remaining brackets</t>
  </si>
  <si>
    <t xml:space="preserve">Patient presents for appliance adjustment. Patient arrived on time: yes Minor patient accompanied by: mother Significant Med/Dental Hx/Changes Med/Dental Hx: no change Presenting OH: good Alerts if any: * Describe if other alert: * Prophy needed? no Radiogrraph needed? no Faculty assigned: [DOCTOR] Covering faculty if different from assigned; same Compliance: good Molar/Canine: * OJ/OB: * Treatment progress evaluation: deep bite still UAW: 18x25 CuNiTi LAW: 16x22 NiTi reverse curve Elastics: fox, continue as before Appointment notes: rebonded LL6, rebonded UR 2 and LR3, per [DOCTOR] NV: June 2018, patient wants to switch to Thursday during transfer</t>
  </si>
  <si>
    <t xml:space="preserve">Patient messaged me today to let me know she is out of town on vacation with her family - she will not be able to come to her appt today. I messaged her to ask her when she would like her next appt. Awaiting reply.</t>
  </si>
  <si>
    <t xml:space="preserve">Patient presents for appliance adjustment. Patient arrived on time: yes Minor patient accompanied by: self Significant Med/Dental Hx/Changes Med/Dental Hx: no change Presenting OH: good Alerts if any: * Describe if other alert: * Prophy needed? no Radiogrraph needed? no Faculty assigned: [DOCTOR] previously - now pt will get out of school early Thursday - [DOCTOR] said to transfer to [DOCTOR] - next visit with [DOCTOR] Covering faculty if different from assigned; [DOCTOR] Compliance: good Molar/Canine: * OJ/OB: * Treatment progress evaluation: LL1 bracket debonded, replaced today. changed L wire UAW: retie,see previous note - chnage next time with new faculty LAW: 14x25 CuNiTi due to new bracket position Elastics: none Appointment notes: see above NV: September 2018 with new faculty/resident!</t>
  </si>
  <si>
    <t xml:space="preserve">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1 OJ/OB: * Treatment progress evaluation: gap bwt u 2-3 UAW: 14*25 niti LAW: 14*25 niti Elastics: no Appointment notes: repo U1-1, 3s NV: *</t>
  </si>
  <si>
    <t xml:space="preserve">Untied U/L archwire for patient to see her dentist. 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[DOCTOR] Compliance: good Molar/Canine: 1 OJ/OB: * Treatment progress evaluation: * UAW: 14*25 niti LAW: 18*25 niti Elastics: no Appointment notes: bond U7s, space present on U3s NV: *</t>
  </si>
  <si>
    <t xml:space="preserve">Patient presents for appliance adjustment. Patient arrived on time: yes Minor patient accompanied by: self Significant Med/Dental Hx/Changes Med/Dental Hx: * Presenting OH: good Alerts if any: * Describe if other alert: * Prophy needed? * Radiogrraph needed? * Faculty assigned: [DOCTOR] Covering faculty if different from assigned; * Compliance: good Molar/Canine: 1 OJ/OB: * Treatment progress evaluation: * UAW: 18*25 niti LAW: 16*25 ss RCOS Elastics: * Appointment notes: PC U6-6 to close space To prevent space from RCOS on lower, Tie back module on L3-6, Lace L3-3 NV: *</t>
  </si>
  <si>
    <t xml:space="preserve">Reshape UL3 Add ant bite turbo for opening up bite UL3 need more torque even though it is high torque bracket L7s need extrusion Need new photos Appointment after the next one, CBCT to review root Gingivectomy</t>
  </si>
  <si>
    <t xml:space="preserve">Patient presents for appliance adjustment. Patient arrived on time: yes Minor patient accompanied by: dad Significant Med/Dental Hx/Changes Med/Dental Hx: * Presenting OH: good Alerts if any: * Describe if other alert: * Prophy needed? * Radiogrraph needed? * Faculty assigned: [DOCTOR] Covering faculty if different from assigned; * Compliance: good Molar/Canine: * OJ/OB: * Treatment progress evaluation: * UAW: 19*25 niti pre tor LAW: 16*25 ss RCOS Elastics: no Appointment notes: upper incisors retroclined, need to correct by pre tor wire. lace U6-6 NV: *</t>
  </si>
  <si>
    <t xml:space="preserve">Patient presents for appliance adjustment. Patient arrived on time: yes Minor patient accompanied by: mom Significant Med/Dental Hx/Changes Med/Dental Hx: * Presenting OH: * Alerts if any: * Describe if other alert: * Prophy needed? * Radiogrraph needed? * Faculty assigned: Covering faculty if different from assigned; * Compliance: * Molar/Canine: * OJ/OB: * Treatment progress evaluation: * UAW: 19*25 pre torque LAW: 16*25 ss RCOS Elastics: * Appointment notes: lase U2-2, 45 degree to sharpen the edge NV: * SUBJECTIVE Chief Complaint - sound on both side When did it start? How did it start? Has it been getting better, worse, or the same? What has been tried so far, and how successful were each? Location - Duration - Frequency - Quality - Intensity - Aggravators - Alleviators - Accompanying Symptoms (nausea, vomiting, photo/phonophobia) Accompanying Signs (unilateral: red eye, tears, nostril congestion, runny nostril, flushing face) Patterns (when is it worse/better) - OBJECTIVE (do the following if there is any chance of TMD present) Overbite - Overjet - Midline shift - Unassisted maximum OPENING (taking into account overbite) - Location of pain with maximum opening - Joint sounds with maximum opening - Deviation with maximum opening - Maximum pain-free opening (taking into account overbite) - RIGHT LATEROTRUSION (taking into account any midline shift) - Location of pain with right laterotrusion - Joint sounds with right laterotrusion - LEFT LATEROTRUSION (taking into account any midline shift) - Location of pain with left laterotrusion - Joint sounds with left laterotrusion - PROTRUSION (taking into account any overjet) - Right laterotrusion - Location of pain with protrusion - Joint sounds with protrusion - Location of TMJ PAIN WITH PALPATION, and intensity (mild, moderate, severe) - Location of MASTICATORY MUSCLE PAIN WITH PALPATION, and intensity (mild, moderate, severe) - DIFFERENTIAL DIAGNOSIS -</t>
  </si>
  <si>
    <t xml:space="preserve">Clicking / Popping / Sound</t>
  </si>
  <si>
    <t xml:space="preserve">gingivectomy U4-4, extrude U2-2 in the future?</t>
  </si>
  <si>
    <t xml:space="preserve">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space present U2-2 UAW: 19*25 ss LAW: 16*25 ss Elastics: no Appointment notes: PC U3-3, tie back module U3-6 NV: *</t>
  </si>
  <si>
    <t xml:space="preserve">Arch wires out for cleaning appointment.</t>
  </si>
  <si>
    <t xml:space="preserve">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same LAW: same Elastics: * Appointment notes: PC U6-6 NV: DEBOND!</t>
  </si>
  <si>
    <t xml:space="preserve">Jul 16/19 D0470F C Final Diagnostic Casts Both</t>
  </si>
  <si>
    <t xml:space="preserve">Patient presents today for retainer check. Patient arrived on time: yes Minor patient accompanied by: * Significant Med/Dental Hx/Changes Med/Dental Hx: * Presenting OH: * Alerts if any: * Prophy needed? * Radiogrraph needed? * Faculty assigned: * Covering faculty if different from assigned; * Patient completion date: * Presenting retention protocol: * Compliance: good Significant findings: TT fits well Changes to retention protocol: wear full time NV: *</t>
  </si>
  <si>
    <t xml:space="preserve">Retainer Check: - Pt forgot to bring retainers - Checked alignment, good - Pt reports wearing retainers only at night - made another appointment next month for retainer check and reminded to bring retainer</t>
  </si>
  <si>
    <t xml:space="preserve">Retainer check upper and lower tt Alignment, occlusion: excellent, maintained Retainer wear: pt wears only at night Retainer fit: good Retainer adjustment : none Retainer wear recommendation : 8+ hours a night Next retainer check visit: 06/24 (will be the 6 month post treatment check)</t>
  </si>
  <si>
    <t xml:space="preserve">Pt presented to New Pt exam/HLD exam CC:I want to straighten my teeth, i have an oberbite M: R/L -I/I C:I/1 OJ/OB:8/1 Midlines coincident, Y, no X-bite. Recomended Tx: Full tx child Pt did NOT qualify for HLD</t>
  </si>
  <si>
    <t xml:space="preserve">Initital band and bond: Pr presented for initial band and bond, Pt was explained the importance of maintaining OHI thoughout tx. Pt was bonded 5-5 with Victory brackets. Seps were placed to allow for band placement at next appointment. POI were given, Pt left in good spirits NV:Bands</t>
  </si>
  <si>
    <t xml:space="preserve">Pt presented to appt for banding of U/L 6's. Most of the seperators placed at the bonding appt had falllen out and were replaced and 20 minutes were given for the PDL to make room. Bands were fitted to ensure fit and comfort. Cemented with bandlock , using bite stick to ensure proper seating and contouring NV: Fitting of TPA and headgear</t>
  </si>
  <si>
    <t xml:space="preserve">Pt present for appliance adjustment. RMHx: Pt denies changes Covering Faculty:,ussually seen with Cole Appliance: Placed upper TPA Presenting AW: U/L .016 CuNiTi Presenting Elastics: N/A Elastic Compliance: N/A Pt's last cleaning: 01/08/2016 Pt's last X-ray: * Oral Hygeine: 1 New Archwire placed at today's appt: Upper: .016CuNiTi Lower: .018 CuNiTi New elastics placed at today's appt: N/A NV: *</t>
  </si>
  <si>
    <t xml:space="preserve">Pt presents for appliance adjustment. Pt arrived: OPn time RMHx: Changes to Medical Hx: Unanswered Significant Findings: Pt was intitially bonded with Molar tubes that did NOT have HG tubes. Band was changed to one with a molar tube. HPHG was delievred. Pt was explained the importance of compliance with HG. He demonstated that he was able to wear it and the appliance was marked with where he should be wearing it. Covering Faculty: Oral Hygeine: Poor Appliance: HPHG Presenting AW and O Ring Color: U/L .016 Cu NITi Presenting Elastics: n/A Compliance: * Has Pt had a cleaning since last visit: Unanswered Has Pt had a Radiograph since last visit: Unanswered New Archwire placed at today's appt: .016 U/L Cu NiTi New elastics placed at today's appt: * Changes in Mechanics: HPHG NV: *</t>
  </si>
  <si>
    <t xml:space="preserve">High Pull Head Gear</t>
  </si>
  <si>
    <t xml:space="preserve">At appointment, it was noted that pt should be wearing headgear more often and is not cooperating with wear. Also it was noted that upper left band was broken., band and TPA were removed, air appraded and replaced. In order to fic the deep bite issue, U/L RC SS wires were placed. Upper was 16x16 and like was 16x22ss. C-chains were used to keep from proclination. Impala class II elastics were used as well.</t>
  </si>
  <si>
    <t xml:space="preserve">0.016"x0.016"</t>
  </si>
  <si>
    <t xml:space="preserve">Impala</t>
  </si>
  <si>
    <t xml:space="preserve">It was noted that Pt was being more cooperative with HG and elastic wear however, hygeine was VERY poor at this appt. It was determined that wires will be removed until pt can prove that he can brush better.Right side is Class I M/C and Left side is Super Class1 Will see pt once a week until we see improvement in OHI. Pt will continue HG wear in the interim. NV: Moniter OHI</t>
  </si>
  <si>
    <t xml:space="preserve">Pt presented for appliance adjustment. Pt's hygeine had improved and it was decided that he could get his wires back and continue with orth ortho tx. U/L RCOS wire was placed Upper;16x16ss Lower:16x22ss Wires were cinched back. It was noted that pt was running out of OJ and thus, Class II elastics were discontinued until bite opens more and we have more clearance.</t>
  </si>
  <si>
    <t xml:space="preserve">Pt presented for appliance adjustment. Pt had debonded brackets on UL5 and UR3. Pt's hygeine was NOT good at this appooiujntment and admitted to not wearing HG well. Brackets were rebonded and thuis, wire was stepped down to 0.018 NiTI</t>
  </si>
  <si>
    <t xml:space="preserve">Pt presented for appliance adjustment. It was noted that Class II had been corrected well with HG. Space remains and OJ still needs to be corrected. HG, TPA and elastic wear will be stopped. PC put on to close all space and resolve excess OJ. Pt hygeine remains to be poor. Wires: U:16x22NiTi L:16x22NiTi</t>
  </si>
  <si>
    <t xml:space="preserve">Pt presented for appliance adjustment. It was noted that Upper 3's needed to be extruded more. Upper 3's were repo'd more gingivally to allow for this extrusion. LR1 had debonded due to a soccwer injury and was replaced, pt was given a mouthguard U:0.018NiTi L:16x22NiTi</t>
  </si>
  <si>
    <t xml:space="preserve">Pt presented for appliance adjustment. Pt had previously been class I , but now is Class II again--&gt; Class II elastics bilaterally ( not triangle, as pt has deep bite and we want to extrude molars as best we can) Bite turbos placed on upper 6's U:2x20NiTi L:16x22NiTi</t>
  </si>
  <si>
    <t xml:space="preserve">PANO REPO*** Pt presented for Pano repo appointment after taking PANO in radiology clinic *Pt has been wearing Class II elastics well, Molars now Class 1/ Space forming D to U2's. After looking at Pano it was noted that UL2 and UR4 were teeth that were necessary to repo --&gt; Both teeth needed DRT Wires: U/L 0.018 NiTi</t>
  </si>
  <si>
    <t xml:space="preserve">Pt presented for appliance adjustment. Mild space on upper noted, bite is not less deep LR3 Bracket was broken and LR6 band was loose. Both were replaced. Bonded UR7, Wanted to bond all 7's but Pt has to leave --&gt; Pt will be back in 2 weeks&lt;--- *Pt has been wearing Class II elastics well, Molars now Class 1/ Space forming D to U2's. Wires: U/L 0.018 NiTi</t>
  </si>
  <si>
    <t xml:space="preserve">Pt presented for appliance adjustment. Bonded all 7's -Pt was biting on LL7 and BT were placed -Stop Class II elastics Wires: U/L 0.018 NiTi</t>
  </si>
  <si>
    <t xml:space="preserve">Pt presented for appliance adjustment -All 7's were debonded and were replaced -Added to BT to keep from biting off brackets -Pt becoming slightly class II @this appointment: -Bonded 7's -Added BT - Began class II Kangaroo elastics U3-L6 Wires: U/L:16x25 NiTi</t>
  </si>
  <si>
    <t xml:space="preserve">Pt presented for appliance adjustment U1&amp; UR4 were broken and were replaced Pt seems to be wearing elastics well only slightly class II UR5 is intruded due to PC @this appointment: Stepped down UR5 Continue class II Kangaroo vertical elastics U3-L6 Wires: U/L:16x25 NiTi</t>
  </si>
  <si>
    <t xml:space="preserve">Pt presented for appliance adjustment Pt nowmore towards class 1 ( 0.5mm class II on R/L side) Continue class II Kangaroo elastics U3-L6 Wires: U/L:17x25 TMA</t>
  </si>
  <si>
    <t xml:space="preserve"> ¼ cusp class II</t>
  </si>
  <si>
    <t xml:space="preserve">Pt presented for appliance adjustment Pt now Class I M/C and occlusion is well socked in! Pt had brocken UR1 bracket, replaced using straight wire technique Impression taken for ABO MOCK -UL5 still needs extrion--&gt; Exagerated step down -UR5 step down bend placed -Removed BT--&gt; AP even better now! Continue class II Kangaroo elastics U3-L6 NTW Wires: U/L:17x25 TMA</t>
  </si>
  <si>
    <t xml:space="preserve">Pt presented for appliance adjustment Pt now Class I M/C and occlusion is well socked in! Pt had brocken UR1 bracket, replaced using straight wire technique Space present Mesial to upper 3's -UL5 still needs extrion--&gt; Exagerated step down -UR5 step down bend placed | Mesial-up ( G), Distal down ( Occlusal) -extrusion bend on LR2 IPR done on upper 2-2 (~0.2mm) Changed looser UR6 band to UR6 bracket Continue class II Impala elastics U3-L6 NTW Wires: U/L:17x25 TMA</t>
  </si>
  <si>
    <t xml:space="preserve">Upper and lower wires removed for cleaning in Peds. Wires given to [DOCTOR] to replace. Pt presented for appliance adjustment Pt now Class I M/C and occlusion is well socked in! Space present Mesial to upper 3's -UL5 still needs extrion--&gt; Exagerated step down Stepped up wires : U/L19x25 TMA M-out UR2 M-Out UR4 M-Intrude UR5 Buccal crown torque Lower 7's Lingual crown torque Upper 7's IPR done on upper 2-2 (~0.2mm) NV: Lingual crown torque UL5 Continue class II Impala elastics U3-L6 NTW Wires: U/L:17x25 TMA</t>
  </si>
  <si>
    <t xml:space="preserve">Pt presented for appliance adjustment UR2 not in conatact will acept points NV: DEBOND!! Continue class II Impala elastics U3-L6 NTW Wires: U/L:17x25 TMA</t>
  </si>
  <si>
    <t xml:space="preserve">Patient presents for appliance adjustment. Patient arrived on time: Yes Minor patient accompanied by: * Significant Med/Dental Hx/Changes Med/Dental Hx: None Presenting OH: Poor Alerts if any: * Describe if other alert: * Prophy needed? Yes, after debond Radiogrraph needed? Yes, at next debond visit Faculty assigned: [DOCTOR] Covering faculty if different from assigned; [DOCTOR] Compliance: Poor-Fair Molar/Canine: 1 OJ/OB: * Treatment progress evaluation: UR2 not in contact as noted before, but will accept this. Pt. said that [DOCTOR] said he had a slightly larger "overbite" but that his teeth were straight at the last visit. Pt. does not mind overbite and wants braces off. UAW: 17x25 TMA LAW: 17x25 TMA Elastics: Class II Impala U3-L6 NTW Appointment notes: Pt. failed last debond appointment. UR bracket debonded. With his oral hygiene and tx time and outcome, we decided the patient was ready for debond. Pt noted he was told he has a larger overbite than ideal but it does not bother him, he is happy with his teeth and he wants his braces off. NV: Debond!</t>
  </si>
  <si>
    <t xml:space="preserve">Took U/L impressions for TTs. Patient presents today for: Treatment completion Form signed: Treatment completion Patient arrived on time? Yes Minor patient accompanied by: Father Significant Med Hx: No Changes Med Hx: None Dental Hx Changes: None Prophy needed: Yes - pt says it is scheduled in pedo Radiograph needed: Yes/Final x rays Presenting OH: Needs improvement Compliance: Average Alerts: * Describe if Other Alert * Assigned Faculty: [DOCTOR] Covering Faculty: [DOCTOR]/[DOCTOR] Removed: Brackets Describe if Other Bands on UL6, and lower 6's Appointment notes including results deviating from ideal: Removed wires and brackets, and bands. Polished teeth. Informed patient of very poor OH and need to get a prophy asap due to gums and calculus. Discussed TTs versus hawleys, patient wants TTs. NV: Deliver TT</t>
  </si>
  <si>
    <t xml:space="preserve">Patient arrived for delivery of retainers. Patient arrived on time: Yes Minor patient accompanied by: * Significant Med/Dental Hx/Changes Med/Dental Hx: None Presenting OH: Improved!! Alerts if any: None Faculty assigned: [DOCTOR] Covering faculty if different from assigned; [DOCTOR] Type of retainers delivered:: Trutain U/L Retention protocol: FT wear except eating/drinking anything but water and brushing teeth Appointments notes: Pts gums look much improved! The TT was not made to the top of the gums due to the swelling at debond. Delivered TTs, fit well and patient was happy with them. Described FT wear, cleaning with water +/- soap, placing them in container when not in use. Patient understood. NV: 1 mos retainer ck</t>
  </si>
  <si>
    <t xml:space="preserve">Pt presents for 1MRC. Upper trutain is not seating all the way, recommend new trutain. New upper impression taken. Pt dismissed in good condition. NV: Deliver new upper trutain</t>
  </si>
  <si>
    <t xml:space="preserve">NPE. CC: Pt was referred from the pediatric dentist. Pt wants braces to straighten her crooked teeth. MHx: NSF, NKDA. Convex profile with permanent dentition. No asymmetries noted. R: Class I molar and canine; L: Class I molar and end-on Class II canine. Suspect Class II skeletal relationship due to FHx. OJ: 3 mm; OB: 5 mm. Coincident midlines. Gingiva is slightly inflammed. Minimal attached gingival at lower anteriors. No TMJ issues. Seen with [DOCTOR]. Recommended non-extraction tx plan. Class III elastics to prevent proclinign lower anteriors. HG to prevent Class II relationship from occurring or worsening. NV: Initial recs NNV: Initial band/bond.</t>
  </si>
  <si>
    <t xml:space="preserve">Took initial photos.</t>
  </si>
  <si>
    <t xml:space="preserve">Did iTero scan for initial record.</t>
  </si>
  <si>
    <t xml:space="preserve">Take ABO impressions and intraoral pictures at initial band/bond appointment!</t>
  </si>
  <si>
    <t xml:space="preserve">Tx options presented. Informed pt that she has a lot of crowding and possibility of extractions was discussed. Informed consent obtained. UPPER: Bonded 6-6 with Victory brackets. Placed 014 Nitinol. Figure-8 tie teeth that need full engagement. Cinch-back. LOWER: Bonded 6-6 with Victory brackets except LL2. Placed 014 Nitinol with active coil spring btw LL1-3. Cinch-back. Placed lower bite turbos on 6's since pt was occluding on her brackets. Pt has poor oral hygiene. Demonstrated oral hygiene several times and emphasized it throughout appt. NV: Continue wire sequence.</t>
  </si>
  <si>
    <t xml:space="preserve">CC: My bracket broke when I was eating an apple. Instructed pt to be more careful about what and how she eats. Pt understood. Reinforced oral hygiene (asked pt to brush twice). UPPER: Rebond UR6. Placed 014 Nitinol wire. NV: Continue wire sequence.</t>
  </si>
  <si>
    <t xml:space="preserve">ADJ with [GUARDIAN] and younger [GUARDIAN]. CC: One of my brackets fell off while I was eating pizza. - Seen with [DOCTOR] Generalized moderate plaque with inflammed gingiva, especially at lower anteriors. Demonstrated proper oral hygiene and reinforced the importance of oral hygiene. UPPER: Rebonded UL6. Placed 016 Nitinol wire with cinch-back and figure-8 tie on all teeth. LOWER: Rebonded LR1 and bonded LL2. Placed 014 Nitinol wire with figure-8 tie on all teeth except LL2. NV: 1. Evaluate lower occlusion 2. Evaluate oral hygiene</t>
  </si>
  <si>
    <t xml:space="preserve">ADJ. CC: One of my brackets broke a long time ago. - Seen with [DOCTOR]. UPPER: Rebond UL6 and bonded UL7 with Victory brackets. Placed 018 Nitinol with single ties. LOWER: Placed 018 Nitinol with single ties. Intraorals with [STAFF]. NV: 1. Continue to rectangular archwires.</t>
  </si>
  <si>
    <t xml:space="preserve">ADJ. No CC. - Seen with [DOCTOR] Pt did not break any brackets!!! L side slightly Class II and R side is Class I. Hygiene requires improvement. UPPER: Placed 17x25 Nitinol LOWER: Placed 18x25 Nitinol NV: 1. Repo LL1, LR3-4, and UR2 (UR2 needs to be more gingival) 2. Bracket 7's 3. Evaluate for more repositionings 4. Compliment pt if no brackets are broken</t>
  </si>
  <si>
    <t xml:space="preserve">ADJ. No CC. - Seen with [DOCTOR] Pt did not break any brackets. Poor oral hygiene. Oral hygiene reinforced. UPPER: Repo UR2 and UL6. Bonded UR7 with Victory brackets. UL6 and UR7 Victory brackets debonded during wire placement. Replaced 17x25 Nitinol. LOWER: Repo LR3-4 and bonded L7's with Victory brackets. LL7 debonded (pt occluded heavily). Placed separator mesial to LL7. Replaced 18x25 Nitinol. NV: 1. Band LL7 and UR7 2. Rebond UL6 3. Place 17x25 Nitinol (or 16x22 Nitinol) U/L</t>
  </si>
  <si>
    <t xml:space="preserve">ADJ. CC: The bottom brackets broke off. - Seen with [DOCTOR] UPPER: Banded UR7 with Unitek band. Placed 16x22 Nitinol. LOWER: Banded LR7 with Unitek band. Bonded LL7 with Victory mini tube. Placed 16x22 Nitinol. Reinforced oral hygiene. NV: 1. Continue archwire sequence 2. Pictures afterwards</t>
  </si>
  <si>
    <t xml:space="preserve">ADJ. No CC. - Seen with [DOCTOR] ADJ. No CC. - Seen with [DOCTOR] APP:Victory UPPER: Repo UL1 and UR4 with Victory brackets. Placed 18x25 Nitinol with reduced PC. LOWER: Placed 18x25 Nitinol Intraorals NV: 1. 19x25 TMA</t>
  </si>
  <si>
    <t xml:space="preserve">ADJ. No CC. - Seen with [DOCTOR] APP: Victory Pt has poor oral hygiene. Reinforced oral hygiene. Pt is Class I on R and Class II (+0.5 mm) on L. UPPER: Placed 19x25 SS with steel-lace 6-5. LOWER: Placed 19x25 SS. Instructed pt to wear Cl-II elastic with #32 on L full-time NV: 1. Finishing bends 2. Evaluate molar occlusion and U/L midlines Intraorals and extraorals afterwards</t>
  </si>
  <si>
    <t xml:space="preserve">ADJ. No CC. - Seen with [DOCTOR] APP: Victory Loose bracket (when removing wire) noted on LL2. Pt reported good compliance with elastic on right side. Poor oral hygiene. Reinforced oral hygiene. UPPER: Steel-laced 3-3. Replaced 19x25 SS with finishing bends. LOWER: Replaced 19x25 SS with finishing bends. Instructed pt to continue Cl-II elastics with #32 on left full-time. Intraorals with [STAFF]. NV: Pano first and then finishing bends.</t>
  </si>
  <si>
    <t xml:space="preserve">ADJ with [GUARDIAN]. No CC. - Seen with [DOCTOR] APP: Victory Pt is Class I canine/molar. UPPER: Steel-laced 3-3. Replaced 19x25 SS with finishing bends LOWER: Replaced 19x25 SS with finishing bends, Instructed pt to wear Cl-II elastics with #32 on left at night time only. NV: Pano first. Repo. Pics after</t>
  </si>
  <si>
    <t xml:space="preserve">ADJ. CC: A bracket is loose from last week. - Seen with [DOCTOR] APP: Victory Loose bracket on LR5. Pt took progress pano UPPER: Replaced 19x25 SS with finishing bends LOWER: Rebonded LR5 and repo LL2-4. Placed 17x25 Copperloy Instructed pt to discontinue elastics. Pics with [STAFF]. NV: Upper finishing bends and lower 19x25 Copperloy or 19x25 TMA</t>
  </si>
  <si>
    <t xml:space="preserve">ADJ - [DOCTOR] APP: Victory U: Steel-laced 4-4. Replaced 19x25 SS. L: Placed 19x25 TMA NV: 1. Lower finishing: LL6 - step ging; LR7 - step occ ADJ - [DOCTOR] APP: Victory U: Steel-laced 4-4. Replaced 19x25 SS. L: Placed 19x25 TMA NV: 1. Lower finishing: LL6 - step ging; LR7 - step occ 2. Possible equilibration to avoid sliding</t>
  </si>
  <si>
    <t xml:space="preserve">ADJ - [DOCTOR] APP: Victory Pt has OJ but in Class I bilaterally. UPPER: IPR 1-1. Reduced mesial lingual marginal ridge on UR1. PC 6-6. LOWER: ADJ - [DOCTOR] APP: Victory Pt has OJ but in Class I bilaterally. UPPER: IPR 1-1. Reduced mesial lingual marginal ridge on UR1. Replaced 19x25 SS. PC 6-6. LOWER: Replaced 19x25 TMA with finishing bends: LL1 - BCT LL6 - Step-ging LR7 - Step-occ NV: 1. Pics and models with [STAFF] 2. Check finishing bends from before and Check OJ</t>
  </si>
  <si>
    <t xml:space="preserve">ADJ - [DOCTOR] APP: Victory UL1-2 not contacting lower incisors. UR7 occluding into LR7, preventing LR7 eruption UPPER: IPR 2-2. Replaced 19x25 SS with: UL6 - M-down U6-7's - LCT UL2 - step-occ LOWER: Replaced 19x25 TMA with: LL6 - step-ging LR7 - step-ging Pics and models with [STAFF]. Instructed pt to wear Cl-I triangles with #32. NV: Evaluate models and pictures. Check previous finishing bends and OJ</t>
  </si>
  <si>
    <t xml:space="preserve">ADJ - [DOCTOR] APP: Victory Pt reported good compliance with elastics. UR1-2 are contacting the lower teeth. UPPER: Reduced M.R. on UR1-2. Fig-8 UR3-UL3. Replaced 19x25 SS with: (1) U6's - MO LOWER: Replaced 19x25 TMA with: (1) LL2 - step-occ; (2) LR7 - BCT Instructed pt to wear Cl-II elastics on both sides with #32 NV: Evaluate models. Check previous finishing bends and OJ. LR7 - step-occ (after BCT has expressed)</t>
  </si>
  <si>
    <t xml:space="preserve">ADJ - [DOCTOR] APP: Victory OJ still noted. UPPER: Replaced 19x25 SS. LOWER: Replaced 19x25 TMA with: (1) LR7 - step-occ Pics with [STAFF]. Instructed pt to wear Cl-II elastics on both sides with #42. Reinforced elastic wear. NV: Debond eval. (Check OJ)</t>
  </si>
  <si>
    <t xml:space="preserve">ADJ - [DOCTOR] APP: Victory OJ still noted. Pt very compliant with elastics. UPPER/LOWER: Re-tie Instructed pt to continue Cl-II with #32. NV: Debond and final records NNV: Deliver Hawley retainers</t>
  </si>
  <si>
    <t xml:space="preserve">DEBOND Debonded patient. Sent pt for final ABO records. NV: Deliver retainer</t>
  </si>
  <si>
    <t xml:space="preserve">RET DEL Delivered U/L Hawleys after adjustments. Gave care and wear instructions. NV: Ret check. Possible ABO models again?</t>
  </si>
  <si>
    <t xml:space="preserve">RET CK Adjusted upper retainer. Retainers in good cdx and seat well. Anteriors are touching. Will need new study models NV: ABO models with [STAFF]</t>
  </si>
  <si>
    <t xml:space="preserve">Took ABO U/L impressions with wax bite</t>
  </si>
  <si>
    <t xml:space="preserve">Pt presents for 6mo retainer check, no cc U and L hawley fitting very well. Pt reports wearing it everyday/night. Instructed pt to wear night time only now. OHI good.</t>
  </si>
  <si>
    <t xml:space="preserve">Clinic: OR .XRayTech NP recall exam. Permanent dentition (still retains lower D), second molars yet to erupt. Class II, Div II patient</t>
  </si>
  <si>
    <t xml:space="preserve">Clinic: NP recall exam. Permanent dentition (still retains lower D), second molars yet to erupt. Class II, Div II patient Deep bite (OB 7 mm) Slight VME [DOCTOR] recommends patient be ready for fixed treatment (regarding age and type of tx desired) NV: IRECS</t>
  </si>
  <si>
    <t xml:space="preserve">Clinic: Contract, consent signed by [GUARDIAN]. Tx plan explained, with details of possible TAD for max incisor intrusion, gingivectomy, and deep bite mechanics. Isolated with cheek retractor and used prophy cup on slow speed to clean tooth surfaces. LPop used for self etch/priming before placement of U/L 6-6 Empower brackets. Missing LL6 empower bracket, but AO LP bracket has same molar tube and prescription (20 degrees). Bypassed lower left retained E. [GUARDIAN]/son agreed to ext E for faster eruption of LL5. Applied topical benzocaine and used finger pressure to ext lower left E. Engaged 0.014 Damon wire U/L and ligated upper arch with red elastomerics. Used closed coil spring in ext space for pt comfort. Discussed home care, OH, and protection of teeth/braces during Rugby. Pt will get a new mouthguard. NV: appliance adjustment</t>
  </si>
  <si>
    <t xml:space="preserve">Clinic: Pt presents with debonded brackets (UR1, LL1). Empower brackets sandblasted and cleaned. Used Transbond to rebond brackets into position. Noticed after repo that lower right 1 bracket may be slightly deformed (hard to close/open door). Will rebond at next appt. [DOCTOR] advised to place tooth cusions underneath wire on L1's for better shock absorption. Also told patient to increase OH. NV: step up wires, rebond LR1</t>
  </si>
  <si>
    <t xml:space="preserve">Clinic: Pt presents with debonded brackets (LL1, LL2) and missing UR1 bite turbo. Pt reports bite turbo came off during sleep. UL1 sole bite turbo potentially became too forceful for L brackets. Rebonded LR1 (broken door) and LL1,2. Removed U ant bite turbo and removed excess cement. Placed bite turbos on occlusal of L6's and adjusted. Replaced same wires. Discussed increasing better OH in anterior regions. Worked w/ [DOCTOR]. NV: step up wire.</t>
  </si>
  <si>
    <t xml:space="preserve">Clinic: Noticed poor OH. Gingival hypertrophy in posterior and inflammation/edema around anterior dentition. Told patient that we will not be using color elastomerics until he can brush better. Replaced 0.014 CuNiTi with 0.016. Replaced LR bite turbo with BandLock and cured. NV: appliance adjustment</t>
  </si>
  <si>
    <t xml:space="preserve">Clinic: Replaced bite turbos with phosphoric OpalEtch prior to placement for better retention. Had conversation with patient about OH, he needs to increase methods. Kept 0.016 CuNiTi wires, changed the lower and annealed behind the LL6 bracket. NV: Bond 7's, step up to 0.018 CuNiTi wire NNV: Prepare to bond erupting LL5</t>
  </si>
  <si>
    <t xml:space="preserve">Clinic: Unable to bond 7's due to shortage of 7 brackets from AO LP or Empower drawers. Stepped up to 0.018 Nitinol U/L arches. Annealed distal to LL6. Observed eruption of LL5 (need another month before bracket bonding). OH still an issue. Patient reports brushing 3-4 times/week. Obviously, brushing/OH needs to increase. Pt understands that, to battle gingivitis and gingival hypertrophy, that twice/day is needed. Practiced brushing technique with patient at sink. Pt understands method now. NV: Check OH (esp lower anteriors), Bond 7's, LL5</t>
  </si>
  <si>
    <t xml:space="preserve">Clinic: Pt presents with debonded UL6,3, UR 5, LL3, LR5. Pt bruxes at night, and had grinded through occlusal bite turbos on L6's. [DOCTOR] recommends making a U Hawley bite plane for patient (which will also help with deep bite problem by extrusion of the posterior teeth). [GUARDIAN] and pt understand. Brackets replaced along with bonding 7's, and LL5 that is slightly erupted (may have to repo later). Built up bite turbos. [STAFF] took impression for upper hawley bite plane. NV: delivery bite plane</t>
  </si>
  <si>
    <t xml:space="preserve">Clinic: Delivered upper Hawley bite plate. Adjusted for occlusoin with articulation paper and and football carbide bur on high speed. Discussed hygiene, removal and placement for wear. Advised wearing 24/7, even during eating. Bite turbos removed. Pt given retainer case, extra wax, and instructions on cleaning retainer.</t>
  </si>
  <si>
    <t xml:space="preserve">Clinic: Pt presents with debonded L7's (still in process of eruption). Pt reports high compliance with Hawley bite plate retainer. Checked fit w/ [DOCTOR]. Fits, slightly loose, but patient is comfortable. [GUARDIAN] reports child is wearing only parttime, so stressed importance of bite plate to reducing deep bite and keeping brackets from debonding. Bonded L7's (will need to be repo'ed later) Stepped up to 16x25 CuNiTi U arch, 14x25 CuNiTi L arch Held conversation with [GUARDIAN]/patient about OH. Pt needs to start using Proxy Brush and brushing 2x's daily. Also explained TADs may be used in the near future to help intrude the upper dentition (along with Accentuated Curve mechanics) NV: step up wire, start space closure, NEEDS PHOTOS</t>
  </si>
  <si>
    <t xml:space="preserve">Clinic: Pt presents with debonded UR6 and LL7. Rebonded w/ AO brackets. Pt reports excellent wear (even during eating) of Hawley bite plane. Deep bite has corrected due to posterior eruption along with good patient growth. Tightened hawley with bird beak plier. Stepped up to 18x25 Nitinol U/L. Had conversation about OH. Patient says "it's tough for me to brush at nighttime because I crash on the couch, then am too tired on my way to bed". Explained importance of brushing, especially at night. Pt understands. NV: Place TAD between U2-3?, start space closure</t>
  </si>
  <si>
    <t xml:space="preserve">Clinic: Pt presens with missing UR3, broken UL3, missing LL4-7 and LR7 brackets. Patient reports broken bracket occurence after bite plate stopped fitting well. He reports that bite plate was left out for "about 3 days' and wouldn't fit in the arch anymore. Lower posterior brackets were Pt presens with missing UR3, broken UL3, missing LL4-7 and LR7 brackets. Patient reports broken bracket occurence after bite plate stopped fitting well. He reports that bite plate was left out for "about 3 days' and wouldn't fit in the arch anymore. Lower posterior brackets were debonded, and then flexing wire in combination with chewing torqued off the anterior brackets, as well. Pt will not be continuing the bite plane Hawley because of nonfit issue. Brackets replaced. Pt presens with missing UR3, broken UL3, missing LL4-7 and LR7 brackets. Patient reports broken bracket occurence after bite plate stopped fitting well. He reports that bite plate was left out for "about 3 days' and wouldn't fit in the arch anymore. Lower posterior brackets were debonded, and then flexing wire in combination with chewing torqued off the anterior brackets, as well. Pt will not be continuing the bite plane Hawley because of nonfit issue. Brackets replaced. OH very poor. Had lengthy discussion with [GUARDIAN] and pt about brushing, and gave him plenty of Proxy brushes to take home and utlize around the lower anteriors.</t>
  </si>
  <si>
    <t xml:space="preserve">Clinic: Stepped up to 17x25 SS U/L. Noticed OH is still poor. Pt reports no use of proxy brushes. Had another conversation with [GUARDIAN]. Instructed to brush at night as well, even after dinner, but [GUARDIAN] reports that he eats well after dinner. Explained the importance of OH, and also that he is due for a cleaning. [GUARDIAN] understands. Gingival hyperplasia severe lower 3-3. NV: start space closure</t>
  </si>
  <si>
    <t xml:space="preserve">Clinic: Accentuated COS for upper wire, RCOS given in lower wire. PC U6-6, LL5-LR6</t>
  </si>
  <si>
    <t xml:space="preserve">Clinic: Replaced LL6 with correct Victory LL6 bracket. Re-bent RCOS in lower wire, replaced. PC U/L 6-6. Held discussion with [GUARDIAN]/patient about OH and flossing. [GUARDIAN] claims that she will be setting up an appointment with the general dentist for a cleaning soon. Gave patient wax for protruding wire during space closure. Worked w/ [DOCTOR]. NV: check space closure</t>
  </si>
  <si>
    <t xml:space="preserve">Clinic: Patient presented with loose brackets (LL5 and LR4). Rebonded brackets. Patient has early cleaning with general dentist the next morning, so [GUARDIAN] asked if we could remove wires today and place them back 24 hours later (tomorrow at same time). Explained risks of going a full day without stiff wires, and that we may need to steel tie some rotations in at next visit. However, patient desparately needs a full cleaning without wires in so agreed to remove wires today. NV: replace wires, add PC U/L</t>
  </si>
  <si>
    <t xml:space="preserve">Clinic: Pt presents with broken LL5 bracket. Rebonded. Replaced wires, placed PC U/L 6-6</t>
  </si>
  <si>
    <t xml:space="preserve">Clinic: Pt presents with debonded LL4 bracket (I see a pattern...). Worked w/ [DOCTOR]. Held discussion on OHI with patient/[GUARDIAN]. Patient reports that he "has been doing much better" with quality/q Pt presents with debonded LL4 bracket (I see a pattern...). Worked w/ [DOCTOR]. Held discussion on OHI with patient/[GUARDIAN]. Patient reports that he "has been doing much better" with quality/quantity of brushing. Accentuated RCOS in lower wire, ACOS in upper wire to help open the bite and give the upper anteriors more proclination while spaces are closing. Spaces have been closing well with PC. PC U/L 6-6. NV: check space closure</t>
  </si>
  <si>
    <t xml:space="preserve">Clinic: ext l4s. nv-finishing bends</t>
  </si>
  <si>
    <t xml:space="preserve">Clinic: UL 5 and LL5 brackets replaced. Same wires replaced. Powerchain 6-6 upper and lower. NV: Repo LL5 -finishing bends.</t>
  </si>
  <si>
    <t xml:space="preserve">Clinic: Niti wires placed. Bite turbos removed. OHI given. Patient has no questions. NV: 6 weeks, pics.</t>
  </si>
  <si>
    <t xml:space="preserve">Clinic: Patient presents for AA. Wires removed and patient brushed and flossed. Patient hygiene looks similar to last appointment. 17x25 SS wires upper and lower. UL1: mesial up bend. U4s: extrusion bends. Stepped down lower 3-3. OHI given. Patient given braceaid and OHI instruction. NV: 8x8, AA</t>
  </si>
  <si>
    <t xml:space="preserve">Clinic: Patient presents for appliance adjustment. ~5 minutes late. Patient and parent forgot about radiology appointment at 4:00 for progress pano. Wires removed. Patient brushed and flossed. New Bends: UL4 extrusion (additional) UR5 included in previous bend for extrusion of UR4. Patient instructed to wear class 2 elastics on Right, and triangle (U3 to L4,5) on Left. NV: 5 weeks, progess 8x8</t>
  </si>
  <si>
    <t xml:space="preserve">Clinic: Patient presents for 8x8 progress xray and AA today Wires removed, patient brushed and flossed. LR5 debonded. Pan repo for today: Rebonded : LR5, UR3,4,5,6, UL3,4. Upper .018 wire Lower: same 17x25 lower. NV: Up maxillary wire. Assess for additional repo.</t>
  </si>
  <si>
    <t xml:space="preserve">Clinic: Patient presents for comfort visit with debonded LL4 and LL5. Wires removed, patient brushed and flossed. LL4 and LL5 replaced. Upper bite turbos placed on U1s Upper and lower (same) 17x25 wires placed. Patient instructed to wear box elastics on left and right (rectangles 6-3) NV:Eval bite closing in posterior.</t>
  </si>
  <si>
    <t xml:space="preserve">Clinic: Patient brushed and flossed. New photos taken. Wires removed. UR4 replaced. LL4 and 5 stepped up. LR4 stepped up. faculty: [FACULTY] NV: 7 weeks. Upper: 19x25 TMA with bends. Mesial root tip into UL1. Eval lower step up bends.</t>
  </si>
  <si>
    <t xml:space="preserve">Clinic: Patient presents for appliance adjustment. Patient arrived on time: yes Minor patient accompanied by: [GUARDIAN] Significant Med/Dental Hx/Changes Med/Dental Hx: * Presenting OH: Good Alerts if any: * Describe if other alert: * Prophy needed? No Radiogrraph needed? No Faculty assigned: Covering faculty if different from assigned; * Compliance: Good Molar/Canine: 1 OJ/OB: * Treatment progress evaluation: Patient is looking good. Lower midline is off. Patient functions to his right when closing, causing the midline to deviate. Will address at next visit, possiby running elastics. UAW: 17x22 SS. LAW: 17x22 SS. Elastics: none Appointment notes: wire removed, patient brushed and flossed. Upper anterior bite turbo removed. Upper wire: U2s: distal root tip to to decrease incisal embrasure space. U3 distal stepped out. Lower wire: no changes made. Patient aware of possible need to recontouring of incisal edge of laterals. No questions. Patient given ibuprofen before leaving. NV: AA. assess midline deviation.</t>
  </si>
  <si>
    <t xml:space="preserve">0.017"x.0.022"</t>
  </si>
  <si>
    <t xml:space="preserve">Clinic: Patient presents for appliance adjustment. Patient arrived on time: yes Minor patient accompanied by: [GUARDIAN] Significant Med/Dental Hx/Changes Med/Dental Hx: none Presenting OH: Good Alerts if any: * Describe if other alert: * Prophy needed? No Radiogrraph needed? No Faculty assigned: Covering faculty if different from assigned; * Compliance: Good Molar/Canine: class 1 OJ/OB: * Treatment progress evaluation: * UAW: 17x22 SS LAW: 17x22 SS Elastics: Class 2 left, triangle right Appointment notes: Wires removed, patient brushed and flossed. UL2 and UR5 debonded. Rebonded new brackets using the archwire. UR3 stepped down Mesial out on U5s (left and right) Enameloplasty of the U1s performed today. no questions. NV: assess bends and possible step up UL2.</t>
  </si>
  <si>
    <t xml:space="preserve">Clinic: Patient presents for appliance adjustment. Patient arrived on time: yes Minor patient accompanied by: [GUARDIAN] and [GUARDIAN] Significant Med/Dental Hx/Changes Med/Dental Hx: none Presenting OH: good, inflamed tissue. Alerts if any: * Describe if other alert: * Prophy needed? no Radiogrraph needed? final xrays Faculty assigned: Covering faculty if different from assigned; * Compliance: Great Molar/Canine: class 1 OJ/OB: * Treatment progress evaluation: * UAW: 17x22 SS LAW: 17x22 SS Elastics: triangle bilaterally. kangaroo Appointment notes: wires removed, patient brushed and flossed. UL3, Distal out Step up UL2 UR5-distal in. bond U2-2 fixed at debond with TT overlay. No questions from patient or parent. NV: eval for debond.</t>
  </si>
  <si>
    <t xml:space="preserve">Clinic: Patient presents for appliance adjustment. Patient arrived on time: yes Minor patient accompanied by: * Significant Med/Dental Hx/Changes Med/Dental Hx: none Presenting OH: good Alerts if any: * Describe if other alert: * Prophy needed? no Radiogrraph needed? yes-FINAL Faculty assigned: Covering faculty if different from assigned;  Compliance: great Molar/Canine: * OJ/OB: * Treatment progress evaluation: * UAW: 17x22 SS LAW: 17x22 SS Elastics: kangaroo bilateral Appointment notes: wires removed, patient brushed and flossed. LL5 rebonded. UL2 given distal root top, mesial crown tip. .1mm IPR done between UL1 and UL2. Goal is to eliminate the incisal embrasure space. NV: debond.</t>
  </si>
  <si>
    <t xml:space="preserve">Appointments: Jan 11/18 D0470F C Final Diagnostic Casts Both Clinic: [DOCTOR] took U/L impressions and fabricated immediate TTs. Patient presents today for: Treatment completion Form signed: Treatment completion Patient arrived on time? yes Minor patient accompanied by: [GUARDIAN] Significant Med Hx: none Changes Med Hx: none Dental Hx Changes: none Prophy needed: no Radiograph needed: no Presenting OH: Good Compliance: Good Alerts: * Describe if Other Alert * Assigned Faculty:  Covering Faculty: * Removed: Brackets Describe if Other Placed U2-2 fixed retainer. Impressions taken for Upper and lower TT. UL2 enameloplasty with parent permission Parent declined further enameloplasty. Appointment notes including results deviating from ideal: * NV: Retainer delivery. then 1 month check. (check for deep bite correction. Patient returned for TT delivery. TT fits well. No questions. Patient given retainer instruction. Full time wear for 1 month. NV: 1 month check</t>
  </si>
  <si>
    <t xml:space="preserve">Trutain + fixed bar</t>
  </si>
  <si>
    <t xml:space="preserve">Clinic: Pt presents for retainer check, states his upper retainer fixed broke. Rebond upper fixed retainer with linked U2-2. Trimmed current retainer away from fixed retainer, new impression taken for upper trutain delivery. Pt dismissed in good condition. NV: Deliver new upper trutain</t>
  </si>
  <si>
    <t xml:space="preserve">Clinic: Delivered upper retainer. Recommend wearing 24 hours at this time, will eval at next visit. Pt dismissed in good condition NV: 3MRCheck</t>
  </si>
  <si>
    <t xml:space="preserve">Clinic: Lower impression taken.</t>
  </si>
  <si>
    <t xml:space="preserve">Clinic: Patient broke upper retainer. New retainer fabricated today. Old one may have been too thin. Upper fixed retainer does not appear broken. Will check again at next visit. NV: 1 month check</t>
  </si>
  <si>
    <t xml:space="preserve">Clinic: Patient presents with broken U2-2 fixed retainer. UL1 has debonded and space between the U1s has opened. Brackets bonded to U1s and steel tied plus powerchain togther to close distema. Slight space open distal to UL1 once the diastema was closed. Patient shown and is okay with it. U2-2 removed and rebonded. Upper trutain still fits fine. Patient has no complaints. NV: TBD</t>
  </si>
  <si>
    <t xml:space="preserve">Clinic: His fixed retainer for U2-2 came off 2 days ago. Patient hasnoticed the spaces before that and is interested to get a limited INV tx to close the spaces. Patient qualifies for predoc INV. Faculty: [DOCTOR] NV: record per pt's decision to start tx</t>
  </si>
  <si>
    <t xml:space="preserve">Clinic: TT delivery. Delivered the reatiners. Instructed to wear night time. Patient is deciding whether he wants to get a limited invisalign tx close some spaces distal to U3s and between U2,3s. He will be back in SF in July 2021 when he will start tx if he decides to. [DOCTOR]</t>
  </si>
  <si>
    <t xml:space="preserve">Clinic: Took U/L dentical impressions with wax bite NP exam with cc: "I want to fix my overbite and my lower teeth stick out too much." Convex profile Permanent Dentition Class II M/C bilaterally. OJ/OB: 11/5mm Midlines on U is adequate. L severe crowding. Significant Curve of Spee on lower with lower incisors supra-erupting, approximating the palate. 30% Incisal display on repose; 100% incisal display on smiling Patient bruxes at night. Lips incompetent Possible tongue thrust habit HLD form completed. Automatic qualifer due to excessive OJ. Diagnostic impressions taken.</t>
  </si>
  <si>
    <t xml:space="preserve">Clinic: ICONS Pt presented to ICONS appointment. Txt plan had previously been approved by [DOCTOR]. Pt's [GUARDIAN] was present for appt. Questions regarding upper 4's extractions were answered. Bonding was done same day 6-6 with Victory brackets. LR6 was not bonded as restorability of tooth was in question.Upper 4's were also no bonded to aid OS in locating extraction teeth. No wire was placed at this appointment. Pt was given POI and appt was made for wire placment after u4's ext</t>
  </si>
  <si>
    <t xml:space="preserve">Clinic: Bonding Appt Patient is scheduled to have U/L 4s extracted Bonded U/L 6-6 Victory brackets . No wire was placed, as PT has not yet had extractions</t>
  </si>
  <si>
    <t xml:space="preserve">Clinic: Procedure done by [DOCTOR]* Pt presented after Ext. of U/L 4's for wire placement. Pt presented with broken brackets on LL 5,6 and LR2 All broken brackets were rebonded .014 wire was placed and tied in. NV: 1 mo</t>
  </si>
  <si>
    <t xml:space="preserve">Clinic: Pt presented with broken brackets on LR6 and LR2. Vistory brackets were replaced and wire was put in. Pt was also given new wax.</t>
  </si>
  <si>
    <t xml:space="preserve">Clinic: Pt presented for comfort visit as wire was poking. Distal wire was cut. Pt left in good spirits.</t>
  </si>
  <si>
    <t xml:space="preserve">Clinic: Pt presented for adjustment appointment. No brackets were repo's. Pt reported that she was seeing closure of the space and it coould be seen by the operator as well. Stepped up wire to .016 NiTi, steel tied UL2 to get into arch. NV: Pty has hugeine appointment in early december and needs to get wire out.</t>
  </si>
  <si>
    <t xml:space="preserve">Clinic: Pt came in bc o-rings had come out. Ne wo-rings were placed and pt left in good spirits.</t>
  </si>
  <si>
    <t xml:space="preserve">Clinic: Pt presented forn appliances adjustment. All elastics were removed and patient was instructed to brush. Overall level and aligning seems to be preceeding nicely, lower incisors look a little proclined and IPR may be needed to upright these teeth later on in Tx Stepped up wireds Upper:.020 NiTi Lower:.018NiTi NV:Appliance adjustment</t>
  </si>
  <si>
    <t xml:space="preserve">0.020"</t>
  </si>
  <si>
    <t xml:space="preserve">Clinic: Pt presented for comfort visit after broken LR 7 bracket. Bracket was replaced, wire was put back in and Pt left in good spirits.</t>
  </si>
  <si>
    <t xml:space="preserve">Clinic: Took photos.</t>
  </si>
  <si>
    <t xml:space="preserve">Clinic: Pt presents for appliance adjustment. Pt arrived: on time RMHx: Changes to Medical Hx: Unanswered Significant Findings: Level and alligning is progressing. May be time to place TAD in a few appointments Covering Faculty: Park Oral Hygeine: Good Appliance: U/L 7-7 victory brackets. Presenting AW and O Ring Color: Pt presented in U:17x25 Niti L:19x25 Niti Presenting Elastics: n/a Compliance: n/a Has Pt had a cleaning since last visit: Unanswered Has Pt had a Radiograph since last visit: Unanswered New Archwire placed at today's appt: Upper 7's were bonded at this appointment. As such, wires were stepped down to: U:16x25 Niti L;17x25 Niti New elastics placed at today's appt: N/A Changes in Mechanics: * NV: *</t>
  </si>
  <si>
    <t xml:space="preserve">Clinic: Pt presents for appliance adjustment. Pt arrived: On time RMHx: Changes to Medical Hx: Unanswered Significant Findings: Broken LR7 bracket and UL5 bracket. COS is leveling well, with proclination Covering Faculty: Park Oral Hygeine: good Appliance: U/L Victory brackets Presenting AW and O Ring Color: U:16x25 NiTi L17x25 NiTi Presenting Elastics: None Compliance: N/A Has Pt had a cleaning since last visit: No Has Pt had a Radiograph since last visit: No New Archwire placed at today's appt: U/L 19x25 NiTI New elastics placed at today's appt: N/A Changes in Mechanics: Still leveling alligning , will place TAD and begin retraction at next appointment NV: *</t>
  </si>
  <si>
    <t xml:space="preserve">Clinic: Pt presented for appliance adjustment. It was noted at last appointment that teeth are sufficiently L/A and Pt is ready for enmass retraction of upper incisors with TAD between upper 5/6. Left TAD: Pt was anesthetized with BTT topical asthetic, anesthesia was tested, and patient was definitlt num. 6mmx1.4mm Bentos TAD was placed between UL5 and UL6. Pt was placed with slight apical ( more room) and distal (Retention). Pt reported no discomfort diring placement during placement. Right TAD: Pt was anesthetized with BTT topical asthetic, anesthesia was tested, and patient was definitlt num. 6mmx1.4mm Bentos TAD was placed between UR5 and UR6. Pt was placed with slight apical ( more room) and distal (Retention). Pt reported no discomfort diring placement during placement. Both TADS were checked for stability TADS were immediately loaded with 250g using PC from TAD to hook up upper 3's Wires: Upper:17x25 ACOS SS. (Accentuated to maintain torque during retraction) Lower: 19x25 TMA.</t>
  </si>
  <si>
    <t xml:space="preserve">Clinic: Pt presented for appliance adjustment. Space closure was going well. TADS were re-activated loaded with 250g using PC from TAD to hook up upper 3's Wires: Upper:17x25 ACOS SS. (Accentuated to maintain torque during retraction) Lower: 19x25 TMA.</t>
  </si>
  <si>
    <t xml:space="preserve">Clinic: Pt presented for comfort visit as PC had fallen off TADs. TADS were re-activated loaded with 250g using PC from TAD to hook up upper 3's</t>
  </si>
  <si>
    <t xml:space="preserve">Clinic: Pt presented for appliance adjustment.Upper 4 space has been closing very well and patient notices significant change in profile. LR7 was given 25 degrees B crown torque to get it out of the gingivs ( MAY NEED LASER) 3-link PC was ran from TAD to upper 3's U:17x25 ACOS SS L:19x25 TMA Consider taking of BT at next visit.</t>
  </si>
  <si>
    <t xml:space="preserve">Clinic: Pt presented for appliance adjustment.Upper 4 space has been closing very well and patient notices significant change in profile. Laser and cauterizer was used to remove gingiva from LR7 LR7 was given 25 degrees B crown torque to get it out of the gingiva, Torqie was added too mesial on wire and thus, ML of wires are off 3-link PC was ran from TAD to upper 3's U:17x25 ACOS SS L:19x25 TMA with torque</t>
  </si>
  <si>
    <t xml:space="preserve">Clinic: APP ADJ U: 17x25 SS RCOS- Not enaged @7's **At previous appointment LL7 had debonded, was replaced, had to step down wires L: 19x25 NiTi Steel lace L3-3 OJ was begining to be too shallow nad this IPR was done bw L 3-3 PC 6-6 UL spaces was closing slower than UR--Reduced PC was Placed on R and closed on L NV: Monitor OJ</t>
  </si>
  <si>
    <t xml:space="preserve">Clinic: APP ADJ Pt presented claiming that PC had broken All IPR space has closed and we now have OJ UR space ad essentilly closed and UL still had some space. Upper ML was off to the right U: 17x25 SS RCOS L: 19x25 NiTi UR--Reduced PC was Placed on R and closed on L NV: Monitor OJ</t>
  </si>
  <si>
    <t xml:space="preserve">Clinic: APP ADJ Pt presented claiming that PC had broken again!! UR space is about closed, UL space is still ~2mm open There is now excess OJ Upper ML was off to the right U: 17x25 SS RCOS L: 19x25 NiTi Pt Rx's Class II elastics to OJ and remaining class II UR--Reduced PC was Placed on R and closed on L NV: Monitor OJ</t>
  </si>
  <si>
    <t xml:space="preserve">Clinic: APP ADJ UR space is about closed, UL space is still ~2mm open OJ deficient to close space URcanine still class II-ish/UL canine more close to class I upper 7's very lingually torqued--&gt; Will be picked up @repo @ this appointment: -IPR lower 2-2 for OJ -PC lower to close space -Place PC from U3-Tad to close residual space U: 17x25 SS RCOS L: 19x25 NiTi NV: Monitor OJ/PANO REPO</t>
  </si>
  <si>
    <t xml:space="preserve">Clinic: APP ADJ UR space is closed, UL space is still ~0.05mm open upper 7's very lingually torqued--&gt; Will be picked up @repo Upper 6's intruded? fremitus @ UL2 UR1 was ~ 0.5 mm lingual to UL1 LR2 is lower than other lower anteriors--&gt; Consider during repo ***Compensated skeletal assymetry*** @ this appointment: -Step out UR1 -enamoplasty UL2 U: 17x25 SS RCOS L: 19x25 NiTi PC: U/L NV: Monitor OJ/ PANO (8x8) REPO</t>
  </si>
  <si>
    <t xml:space="preserve">Clinic: Pano Repo** APP ADJ ALL SPACES CLOSED Repo'd: LL7 DRT All other will be bent into wire It was noted that Upper 7's were in a good place; engaging them would intrude them as the 6's extrude Upper wire was only engaged U5-5 to allow the 6's to erupt more U: 16x25 NiTi 5-5 L: 17x 25 NiTii NV: Monitor LL7 and UL6</t>
  </si>
  <si>
    <t xml:space="preserve">Clinic: APP ADJ Lower 6's are dropping down well into class 1. Rightside is perfect, Left side is slightly open Slight space opened Distal to UL3 after repo. Restoration on upper 5 is over contoured, may effect opsition on 3. MO on UL5 was recontoured to allow UL3 to come into better class I contact Monitor UL3 for possible repo, Also consider repo of U/l 6's and 7's to extrude. Occlusion on Lower 6's may be an issue bc of poor restoration Rx'd box elastics U6,7-L6.7 PC from UL TAD- UL3 to close space U: 19x25 NiTi 5-5 L: 19x 25 NiTii NV: Monitor LL7 and UL6</t>
  </si>
  <si>
    <t xml:space="preserve">Cross-elastic</t>
  </si>
  <si>
    <t xml:space="preserve">Clinic: Pt presented with broken LL1 replaces using straight wire to make sure alignment is unchanged. Will see pt for NV</t>
  </si>
  <si>
    <t xml:space="preserve">Clinic: APP ADJ Upper 6's are dropping down well into class 1. Rightside is perfect, Left side is slightly open due to contour of occlusal on Lower All spaces closed Monitor UL3 for possible extrusion bend Rx'd quail box elastics UL6-LL6 PC from UL TAD- UL3 to close space U: 16x25 NiTi UL7-UL6 L: 19x 25 NiTii NV: Monitor LL7 and UL6</t>
  </si>
  <si>
    <t xml:space="preserve">Quail</t>
  </si>
  <si>
    <t xml:space="preserve">Clinic: APP ADJ All spaces closed UL7 is still too ocllusal --&gt; Stepped up 18x25 NiTi to pick up Monitor UL3 for possible extrusion bend--&gt; When in SS wire Mesial-In bend on LL1 placed Rx'd quail box elastics UL6-LL6 PC from UL TAD- UL3 to close space U: 18x25 NiTi UL7-UL6 L: 19x 25 TMA Occlusion on LL6 may be difficult due to restoration NV: Monitor LL7 and UL6</t>
  </si>
  <si>
    <t xml:space="preserve">Clinic: APP ADJ All spaces closed UL7 is still too ocllusal --&gt; Stepped up 18x25 NiTi to pick up Monitor UL3 for possible extrusion bend--&gt; When in SS wire Mesial-In bend on LL1 placed Rx'd quail box elastics UL6-LL6 PC from UL TAD- UL3 to close space U: 19x25 TMAUL7-UL6 L: 19x 25 TMA --&gt; Stepped down UL3 Occlusion on LL6 may be difficult due to restoration NV: Monitor LL7 and UL6</t>
  </si>
  <si>
    <t xml:space="preserve">Clinic: APP ADJ All spaces closed IPR upper 2-2 Enamelplasty LR3 Rx'd quail posterior box elastics UL6-LL6 PC from UL TAD- UL3 to close space U: 19x25 TMAUL7-UL6 L: 19x 25 TMA</t>
  </si>
  <si>
    <t xml:space="preserve">Clinic: OR .TOMOS</t>
  </si>
  <si>
    <t xml:space="preserve">Clinic: Patient presents for appliance adjustment. Patient arrived on time: Yes Minor patient accompanied by: * Significant Med/Dental Hx/Changes Med/Dental Hx: Has not been to the ortho clinic for ~6 months Presenting OH: OK Alerts if any: * Describe if other alert: * Prophy needed? * Radiogrraph needed? * Faculty assigned: * Covering faculty if different from assigned; [DOCTOR] Compliance: * Molar/Canine: I/I OJ/OB: * Treatment progress evaluation: Pt is close to debond but UL2 is rotated with the mesial out and distal in and pt reports space distal to UL2 (although floss snaps through contact). UAW: Same wire: 19x25 TMA UL7-UR6 LAW: Same wire: 19x25 TMA Elastics: * Appointment notes: Placed bends in wire for UL2: Mesial in bend, distal out bend. Steel tied TADs to U3s bilaterally (to hold position). Placed closed PC U6-6. Single figure 8 tied lower brackets. Discussed with the pt that when we get back from summer we will have another appointment to eval whether ready to debond. Then we will schedule to debond the patient if ready. Pt understood. NV: Eval for Debond (will not be debonding this appointment)</t>
  </si>
  <si>
    <t xml:space="preserve">Clinic: Patient presents for appliance adjustment. Patient arrived on time: Yes Minor patient accompanied by: * Significant Med/Dental Hx/Changes Med/Dental Hx: NSF Presenting OH: OK Alerts if any: * Describe if other alert: * Prophy needed? * Radiogrraph needed? * Faculty assigned: * Covering faculty if different from assigned; [DOCTOR] Compliance: Good Molar/Canine: II/I OJ/OB: 2mm/2mm Treatment progress evaluation: UL2 looks in ideal position now. Lower midline 1mm to the left. Slight space between U1s. Should be ready to debond at next visit. UAW: Same wire: 19x25 TMA UL7-UR6 LAW: Same wire: 19x25 TMA Elastics: * Appointment notes: Closed PC U6-6, single figure 8 ties on lower. Pt said she was scared her OB would come back and discussed the importance of wearing her retainers and that her OB was ideal now. Potentially consider Hawley with bite plate to prevent deep bite from worsening. Pt also said she wants her two front teeth shaved down to look more square and discussed that we can consider doing this at her debond apptment. Pt cannot come for longer aptment on Tues so will see her quickly with [DOCTOR] and then scheduled for debond on that Friday. NV: Assess for debond (to be done on Friday), check spaces on upper</t>
  </si>
  <si>
    <t xml:space="preserve">Clinic: Patient presents for appliance adjustment. Patient arrived on time: Yes Minor patient accompanied by: * Significant Med/Dental Hx/Changes Med/Dental Hx: NSF Presenting OH: OK Alerts if any: * Describe if other alert: * Prophy needed? * Radiogrraph needed? * Faculty assigned: * Covering faculty if different from assigned; [DOCTOR] Compliance: Good Molar/Canine: II/III(ish slightly) OJ/OB: 2mm/2mm Treatment progress evaluation: Lower midline 0.5mm to the left. Slight space between U1s. Should be ready to debond at next visit. UAW: Same wire: 19x25 TMA UL7-UR6 LAW: Same wire: 19x25 TMA Elastics: * Appointment notes: Closed PC U6-6, single figure 8 ties on lower. Extra PC under wire of U3-3 for added space closure. Pt said she wants her two front teeth shaved down to look more square and discussed that we can consider doing this at her debond apptment. Discussed that will check for debond this Friday and might need to reschedule if upper space not resolved. NV: Debond?, check space U1-1 if closed, enameloplasty?</t>
  </si>
  <si>
    <t xml:space="preserve">Clinic: Appointments: Aug 24/18 D0470F C Final Diagnostic Casts Both Clinic: Took U/L impressions for Hawley (Fuschia Glitter) Patient presents today for: Treatment completion Form signed: Treatment completion Patient arrived on time? Yes Minor patient accompanied by: * Significant Med Hx: NSF Changes Med Hx: NSF Dental Hx Changes: NSF - discussed need for crown on LR6 and to get cleaning and checkup at dentist. Pt understood. Prophy needed: * Radiograph needed: Yes- final records Presenting OH: Good Compliance: Good Alerts: * Describe if Other Alert * Assigned Faculty: [DOCTOR]? Covering Faculty: [DOCTOR] Removed: Brackets Describe if Other Removed all brackets and MIs in UL and UR. Had pt rinse with chlorhexidine and instructed her to keep implant areas clean so they can heal. Appointment notes including results deviating from ideal: UL and UR molars need to settle - will design Hawleys and upper Hawley acryllic will be adjusted in the posterior to allow settling of upper molars. Small space opened up between U1s once the brackets and PCs were removed - will tighten and adjust upper Hawley to close this space. Pt wanted upper and lower incisors adjusted so they are more "square" so [DOCTOR] gently enameloplastied U2-2 and L2-2 and ensured no fremitus was felt. NV: Delivery of U/L Hawleys, relieve upper Hawley posterior acryllic to allow settling</t>
  </si>
  <si>
    <t xml:space="preserve">Clinic: Patient arrived for delivery of retainers. Patient arrived on time: yes Minor patient accompanied by: * Significant Med/Dental Hx/Changes Med/Dental Hx: none Presenting OH: Good Alerts if any: * Faculty assigned: * Covering faculty if different from assigned; [DOCTOR] Type of retainers delivered:: U/L Hawleys Retention protocol: FT wear Appointments notes: Pt concerned about the diastema between U1s, says they may have opened up in the last week but the upper retainer is currenlty pushing the incisors back and closing most of the space. Observe space and tighten labial bow PRN. Both retainers seat fully with good retention. C clasps adjusted for intimate fit. NO ACRYLIC ADJUSTED at today's appt. Will let regular assigned resident make the adjustment. NV: 1 mo ret check, eval settling</t>
  </si>
  <si>
    <t xml:space="preserve">OR .XRayTech AA pt presents to clinic with CC:"I want my teeth to be straighter so that I can clean them easier." Pt has history of Periodontal Disease. She is receiving active treatment from [DOCTOR] for her Perio Dx. BiMax Protrusive Class I M/C bilaterally Mild spacing in Upper; Moderate-severe crowding in Lower LR4 extracted due to periodontal issues. 3rd molars extracted as well. Maxillary diastema 2mm present Mandibular midline deviated to left 3 mm. Patient has OJ/PB; 5/5mm Deep, impinging overbite. Recommendation: Full Treatment Adult Recommended pt to have periodontal disease controlled and maintained before Orthodontics tx. We will take records following stability of perio disease.</t>
  </si>
  <si>
    <t xml:space="preserve">Contract and consent completed. Bonded U/L 7-7 with Damon Brackets Standard torque U2-2. UL2 inverted. UR3 standard torque; UL3 High Torque inverted. L3s high torque L2-2 standard torque Bonded U/L 7-7 Open coil spring with half bracket activation between LL1-3, LL1-LR2, and LR4-6 (half bracket activation. Watch for LR4-6!!) .014 CuNiTi wire inserted in U/L arch. LR5, LR1 and LL2 not engaged in wire. Steel tied LR1 and LL2 to wire. Home care instruction given. NV: 5/29/15</t>
  </si>
  <si>
    <t xml:space="preserve">Appliance Adjustment Re-activated OCS between LL1-3, LL1-LR2m, LR4-6 .014 Nitinol in Lower arch and cinched (2-3mm distal) .018 Nitinol in Upper arch and cut flush. NV: in 7 weeks.</t>
  </si>
  <si>
    <t xml:space="preserve">App Adjust Engaged LL2 and LR1. Re-activated OCS LR 4-6 16x25 CuNiTi in Upper arch 14 CuNiTi in Lower arch Open P/C LL6-3 NV: 8/21/15 App Adjust Engaged LL2 and LR1. Re-activated OCS LR 4-6 16x25 CuNiTi in Upper arch 14 CuNiTi in Lower arch Open P/C LL6-3 NV: 8/21/15 Need to Repo UR1 Schedule Progress photos next visit.</t>
  </si>
  <si>
    <t xml:space="preserve">App Adj U: 18x25 CuNiTi 7-7 L: 18 CuNiTi 7-7 Steel-laced U3-3 (so that space does not open up as we go into edgewise wires) Completed referral for extractions of UL4, UR5, LR5 For NV: Start space closure upper and lower. Get into SS wires (start space closure on lower if able to get into at least 16x25 SS). Class II shorty elastics bilaterally for anchorage</t>
  </si>
  <si>
    <t xml:space="preserve">Patient came in arch wires removed prior to surgery appt Evalauted extractions spaces 4, 12 and 29 Open Damon bracket doors Placement of Arch Wire Evalauted fit and answered patietn questions NV: With [DOCTOR] on September 24th</t>
  </si>
  <si>
    <t xml:space="preserve">App Adj U 18x25 SS Accentuated Curve 7-7 L 17x25 Reverse Curve w/ 20 degree torque 7-7 Repo-ed LR7. Correction of deep bite via incisor intrusion. Need to correct deep bite before closing space Spoke to patient about possibility of TAD placement in upper arch to control intrusion and to have maximum anchorage (esp on R side). Pt understands.</t>
  </si>
  <si>
    <t xml:space="preserve">Placement of TADs Dentos 6mm 1.4mm implant Placed Mesial 6s in UR and LR Quads. Placed between UL5-6 in UL Quad. Rinsed with Chlorhexidine. NV: 11/13/15</t>
  </si>
  <si>
    <t xml:space="preserve"> App Adj All TAD sites appear healthy. Minor plaque buildup around TAD of LR quadrant. Instructed pt to cleanse more thoroughly with brush here. Steel laced LL3-LR4 We will be closing spaces en masse Crimps placed Mesial to UL3, UR4 and LR4 We will not be closing in LL quadrant yet. Closed Coil Springs placed: UL = 13x1.5 (225gm force) UR 8x2.5 (200gm force) LR 8x2 (225 gm force)</t>
  </si>
  <si>
    <t xml:space="preserve">Steel Lacing Lower</t>
  </si>
  <si>
    <t xml:space="preserve">App Adj OB/OJ: 5mm/5-6mm R: Class III M (~2mm) and Class I C L: Class I M and Class II C (end-on) 1.5 mm space between UR3-4 Moved crimpable hook Mesial to UR3. (to retract en masse) (expect spacing between UR3-4 to close) UL: 13x1.5 (~200 gm force) UR: 13x1.5 (~200 gm force) LR: 8x1.5 (~200 gm force) Not closing space in LL quad yet. Waiting to see how far we can get UL3 distalized! Pt will be on vacation until first week of February Pt will have photos at NV</t>
  </si>
  <si>
    <t xml:space="preserve">Pt. presented for taking her wire out before cleaning. Wire and auxillary microimplant attachments taken out. Pt presented for placing wires back in after cleaning. Wires and springs had been thrown away. Placed U 18x25 SS wire and L 17x25 SS wire Springs replaced by [DOCTOR]</t>
  </si>
  <si>
    <t xml:space="preserve">App Adj No additional OJ remains for retraction of Upper anterior segment. Upper wire does not have any accentuated curve! Kept NiTi Coil springs in the upper arch bilaterally (~175gm force per side) Kept same NiTi Coil spring on LR quad (~225 gm force) Began reciprocal space closure on LL side with Power chain from LL6-LL3 (LL3-LR4 is steel laced) Lower incisors need to be intruded. Placed reverse curve in lower wire. Significant reverse curve</t>
  </si>
  <si>
    <t xml:space="preserve">App Adj Minimal OJ for upper anterior retraction Moderate OB = ~5mm Spacing: LL 3-4 = &lt;2mm LR 4-6 = ~5-6mm UL 3-4 =~5mm UR 4-6 = ~3-4mm Replaced Lower P/C Closed Loop from LL6-3 LR = 210 gm force Replaced NiTi Coil Springs of UL and UR UL = 210gm force 8mm Yellow UR = 200 gm force 8mm Yellow Reverse curve still active on Lower arch. More deep bite correction needed. Need to wait for further lower retraction so that we can retract upper anteriors. Lower midline ~&lt;1mm to the left. NV: 5 weeks. Watch midline!</t>
  </si>
  <si>
    <t xml:space="preserve">Comfort Visit Replaced P/C on LL side that had come loose.</t>
  </si>
  <si>
    <t xml:space="preserve">App Adj Space between LL5-6 almost completely closed ~0.5m space Lower wire re-inserted with active Reverse Curve of Spee for more bite opening. P/C L7-7 (we want to close the space reciprocally esp on Lower Right side) Kept Coil Spring on LR side and U quads as well. Coil Springs ~190gm force on UR, ~200gm on UL and ~180gm on LR</t>
  </si>
  <si>
    <t xml:space="preserve">App Adj Midlines on. Spaces are closing in LR and U quads. Re-accentuated Lower Reverse curve of spee. Retied P/C L7-7 NV: 7/15</t>
  </si>
  <si>
    <t xml:space="preserve">App Adj No more OJ to close Upper spaces. Need to level lower curve of spee to make room for upper retraction of incisors. Class II Canines both sides. Spaces have almost closed on lower ~0.5mm on Lower Right. Lower arch: Accentuated lower curve of spee on lower arch. Stepped down from L2-2. Light Power Chain 6-6 (We want to get off the P/C at NV because it is deepening the bite!) Removed Closed coil spring on LR quad Upper arch: P/C U7-7 Kept NiTi Coil Springs up Upper</t>
  </si>
  <si>
    <t xml:space="preserve">App Adj Lower incisor brackets are still interfering with retraction of Upper anteriors. OB has corrected 1mm. Great correction! Need to level lower curve of spee ~&lt;1mm Premolar section is open bilaterally/ Class II Canines Class III (tendency) Molars Lower midline is off ~1mm to the Right Spacing on Upper arch still exists All spaces closed on Lower. At this appt: Lower arch: Accentuated Lower curve of spee on lower arch Stepped down L2-2 ~0.5mm Light P/C 7-7 Upper arch: P/C 6-6 (We want to mesialize posterior segments because molars are Class III Tendency!) Re-inserted NiTI Coil Springs (for anterior retraction after Vertical is corrected) Instructed to wear Class II elastics on Right and Class III elastics on Left (To correct midline!) Patient will wear 1/4" 6 oz elastics FT. NV: 5 weeks with [DOCTOR]. Vertical should be corrected at this appointment. Continue upper anterior retraction and space closure Continue correction of Lower midline.</t>
  </si>
  <si>
    <t xml:space="preserve">Ram</t>
  </si>
  <si>
    <t xml:space="preserve">Comfort Visit Re-inerted NiTi Coil spring from UR TAD to UR3.</t>
  </si>
  <si>
    <t xml:space="preserve">App Adj Class II Canines Class III (tendency) Molars Lower midline is off ~1mm to the Right Spacing on Upper arch still exists All spaces closed on Lower. At this appt: Lower arch: Accentuated Lower curve of spee on lower arch Light P/C 7-7 Upper arch: Instructed to wear Class II elastics on Right and Class III elastics on Left (To correct midline!) Patient will wear 1/4" 6 oz elastics FT. **pan repo**</t>
  </si>
  <si>
    <t xml:space="preserve">Adj Class II Canines Class III (tendency) Molars Lower midline is off ~1mm to the Right Spacing on Upper arch still exists All spaces closed on Lower. At this appt: Teeth that were repo'd seemed to be expressing niceley Oj wa sminimal and Pt needed U spaces closed. U ACOS wire was placed to help procline upper teeth. NiTI CS was connected to wire D to 2's to help acheive the torqueing we wanted as opposed to simply proclining</t>
  </si>
  <si>
    <t xml:space="preserve">App Adj Class II Canines Class III (tendency) Molars Lower midline is STILLnoff ~1mm to the Right Spacing on Upper arch still exists All spaces closed on Lower. There is more torque on upper teeth that previous as a result of mechanics at last appointment (U ACOS wire was placed to help procline upper teeth. NiTI CS was connected to wire D to 2's to help acheive the torqueing we wanted as opposed to simply proclining) At this appt: Teeth that were repo'd seemed to be expressing niceley Torque on upper is improved U:Maintained same mechanics L:19x25 NiTi</t>
  </si>
  <si>
    <t xml:space="preserve">Clinic: Pt presented for appliance adjustment -Deep bite more corrected, uper 1's incisal edges now above brackets -spaces still open on U/L -Gable bend placed between LL5 and LL3 has not fully expressed @this appointment: -Will begin retraction --&gt; Placed 17x25 RCOS Elgiloy wire was bend with omega loops --&gt; Moved NiTi CS more anterior--&gt; Mesial of UR and UL 2 --&gt;Will begin closing space on PC U/L NV:Monitor OJ/OB Wires: U:19x25 32mm RCOS 2-loop TMA wire L:19x25 ss with Steel ties and LL and LR5</t>
  </si>
  <si>
    <t xml:space="preserve">Pt presented for appliance adjustment -Deep bite more Slightly more corrected.Would like some more, uper 1's incisal edges now above brackets -spaces still open on UR/LL--&gt; reflected in ML @this appointment: -Continue with retraction --&gt; Placed 17x25 RCOS Elgiloy wire was bend with omega loops ( Tie back at UL7-Loop) --&gt; Moved NiTi CS more anterior--&gt; Mesial of UR and UL 2 --&gt;Will begin closing space on PC U/L NV:Monitor OJ/OB Wires: U:19x25 32mm RCOS 2-loop TMA wire L:19x25 ss with RCOS: Steel ties and LL and LR5</t>
  </si>
  <si>
    <t xml:space="preserve">Pt presented for appliance adjustment -Deep bite more Slightly more corrected.Would like some more, uper 1's incisal edges now above brackets -spaces still open on UR/LL--&gt; reflected in ML @this appointment: -Continue Previous mechanics --&gt; Placed 17x25 RCOS Elgiloy wire was bend with omega loops ( Tie back at UL7-Loop) --&gt; Reactivated NiTi CS more anterior--&gt; Mesial of UR and UL 2 --&gt;Will begin closing space on PC U/L 6-6 --&gt; Consider removing tie back from U 6's to allow molars to drift forward a bit into class 1 --&gt; Rx's elastics L:CLass III to close 3-4 space | R: Triangle NV:Monitor OJ/OB Wires: U:19x25 32mm RCOS Elgiloy L:19x25 ss with RCOS: Steel ties and LL and LR5</t>
  </si>
  <si>
    <t xml:space="preserve">Pt presented for appliance adjustment -Deep bite corrected. -spacesclosing on UR/ Closed on LL @this appointment: -Continue Previous mechanics --&gt; Decrease LL Gable bend --&gt; Reactivated NiTi CS more anterior--&gt; Mesial of UR and UL 2 --&gt;Will begin closing space on PC U/L 6-6 --&gt; Consider removing tie back from U 6's to allow molars to drift forward a bit into class 1 Elastics: L:CLass III to close 3-4 space | R: Triangle NV:Monitor OJ/OB Wires: U:19x25 32mm RCOS Elgiloy L:19x25 ss with RCOS: Steel ties and LL and LR5</t>
  </si>
  <si>
    <t xml:space="preserve">Pt presented for appliance adjustment -Deep bite corrected...OB=~3m Upper/Lower spaced closed! @this appointment: -Continue Previous mechanics --&gt; Decrease LL Gable bend --&gt; removed NiTi CS more anterior--&gt; Pt will read elastics L:U4-L7 | R: Delta NV:Monitor OJ/OB Wires: U:19x25 32mm RCOS Elgiloy L:19x25 ss with RCOS: Steel ties and LL and LR5</t>
  </si>
  <si>
    <t xml:space="preserve">Patient presents for appliance adjustment. Patient arrived on time: yes Minor patient accompanied by: * Significant Med/Dental Hx/Changes Med/Dental Hx: none Presenting OH: Good Alerts if any: * Describe if other alert: * Prophy needed? Yes Radiogrraph needed? No Faculty assigned: Covering faculty if different from assigned; * Compliance: Good Molar/Canine: Class 1 M/C. OJ/OB: 3mm OB Treatment progress evaluation: * UAW: 18x25 CuNiti LAW: 19x25 SS. With RCOS. Elastics: class 3 bilaterally. Appointment notes: wires removed, patient brushed and flossed. Steel tie from U2-2 removed. UL3, UL4 repositioned. Elastics changed to bilaterally class 3. Lower IPR performed between L1s, M and D. .2mm Discussed TAD removal at future visit. NV: AA, finishing bends (switch Upper wire to SS.)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</si>
  <si>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(will do transfer form) Covering faculty if different from assigned; * Compliance: Good Molar/Canine: Class 1 L, Class 3 R. OJ/OB: * Treatment progress evaluation: * UAW: 18x25 CuNiti LAW: 19x25 SS, RCOS Elastics: PAUSE ELASTICS Appointment notes: Wires removed, patient brushed and flossed. UR7 repositioned. LR6 extruded. LR4 Intruded Same upper AW engaged. NV: assess UR7 position change.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</si>
  <si>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 UAW: 17x 25 SS Added COS LAW: same 19x25 SS. RCOS Elastics: * Appointment notes: Wires removed, patient brushed and flossed. U: curve added to intrude L: stepped up LL6,LR6. Stepped down LL2,LR1,LR2. PC under the wire. NV: Assess OB change</t>
  </si>
  <si>
    <t xml:space="preserve">OR .TOMOS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</si>
  <si>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 UAW: 17x 25 SS Added COS, reduced PC LAW: 16x2 Niti, reduced PC Elastics: * Appointment notes: Wires removed, patient brushed and flossed. U: curve added to intrude L: Rebonded all brackets (except LR7) with victory twin. Bonded gingivally to clear upper brackets. Previous bracket positioning was interfering. Patient has no additional questions. NV: Assess OB change and space closure. Increase lower AW size and keep space closing.</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</si>
  <si>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SPACE IS CLOSING! OB looks really good. * UAW: 17x 25 SS COS not changed from last visit, reduced PC LAW: 17x22 SS, closed PC Elastics: * Appointment notes: Wires removed, patient brushed and flossed. All 3 TADs removed at todays visit. LR tad was beginning to be covered by the tissue. Patient has no additional questions. NV: Assess OB change and space closure.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</si>
  <si>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slight space. * UAW: 17x 25 SS COS not changed from last visit, reduced PC LAW: 17x22 SS, closed PC Elastics: * Appointment notes: Wires removed, patient brushed and flossed. UL4, M out and step down LR4 step down L1s stepped down Buccal root torque in posteriors U7s stepped down. LR7 Mesial in LL7 stepped down. Curve of spee place more anterior Patient has no additional questions. NV: Assess finishing bends.</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</si>
  <si>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L2-2 stepped down, more on left than right LL6 mesial down. UL3 stepped down. LL5 mesial root tip. IPR .2mm between LL1-2. Patient has no additional questions. NV: Assess finishing bends. UR7 torque</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</si>
  <si>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UR7 stepped down LR2 stepped up LL2 mesial in. UR2-mesial root tip UR4 distal in LR7- lingual crown torque Patient has no additional questions. NV: eval for debond.</t>
  </si>
  <si>
    <t xml:space="preserve">Patient seen by [DOCTOR] Visit. Lower PC replaced. previous PC tore between LR3-4. No questions. NV confirmed.</t>
  </si>
  <si>
    <t xml:space="preserve">Patient presents for appliance adjustment. Patient arrived on time: yes Minor patient accompanied by: * Significant Med/Dental Hx/Changes Med/Dental Hx: none Presenting OH: good Alerts if any: * Describe if other alert: * Prophy needed? no Radiogrraph needed? no Faculty assigned: Covering faculty if different from assigned; * Compliance: good Molar/Canine: * OJ/OB: * Treatment progress evaluation: UL2 space, UR6-7 space. * UAW: 17x 25 SS COS not changed from last visit,closed PC LAW: 17x22 SS, closed PC Elastics: * Appointment notes: Wires removed, patient brushed and flossed. New PC today. accentuated UR2 mesial root tip. UR7 stepped down further. Arches re-coordinated. Enameloplasty at debond and overall result discussed Patient has no issues and is ready for debond. Patient has no additional questions. NV: debond.</t>
  </si>
  <si>
    <t xml:space="preserve">Reviewed case with [DOCTOR], [DOCTOR]. Pt is getting debonded today and is seeing me for retention. Patient presents today for: Treatment completion Form signed: Treatment completion Patient arrived on time? yes Minor patient accompanied by: * Significant Med Hx: none Changes Med Hx: none Dental Hx Changes: none Prophy needed: needs one. Radiograph needed: final today Presenting OH: Good Compliance: Good Alerts: * Describe if Other Alert * Assigned Faculty: Covering Faculty: * Removed: Brackets Describe if Other * Appointment notes including results deviating from ideal: U2-2 enameloplasty performed today with patient permission. We will monitor tissue healing and consider laser gingivectomy NV: upper and lower hawley delivery.</t>
  </si>
  <si>
    <t xml:space="preserve">Upper and lower Hawley retainers delivered. Lower placed, occlusion checked. No interferences. molar clasps are short enough to not need trimming. Clasps of 4s appear retentive and fit well. Labial bow has adequate tension. Lower removed, Upper retainer tried in. Bite place has light contact. Labial bow tightened. Slight space between U1s is present. Upper retainer may close, but may need to adjusted again. NV: retainer check, eval space.</t>
  </si>
  <si>
    <t xml:space="preserve">Patient seen today for upper and lower hawley check. Upper labial bow tightened to continue closing space between U1s. Space has closed well but just needs a little more. Lower retainer labial bow tightened slightly. Patient will continue full time wear for 2 more weeks and then switch to NTO. NV: 1 month check to see if space is closed. (consider fixed 1-1?)</t>
  </si>
  <si>
    <t xml:space="preserve">Pt seen today for upper and lower Hawley check. Pt reports NT wear at this time, no issues have arisen. Tightened the labial bow in the anterior of the lower Hawley to make it more retentive. Upper Hawley - Activated springs mesially on the upper to close space between U1. Floss catches between U1s but can visibly still see a space between the teeth. As soon as the space is closed, we will consider U1-1 fixed retainer. WIth regards to gingiva, the gingival levels have improved significantly but still has VME when patient smiles. Will see patient back in 6 weeks to eval space closure on the upper (recommend patient wear the upper FT until then) and possibly bond U1-1 fixed retainer. May also consider U3-3 gingivectomy if allowable. Pt understands and dismissed in good condition. NV: 6weeks RC</t>
  </si>
  <si>
    <t xml:space="preserve">Pt reports for fixed U1-1 retainer, Currently there is contact between U1s (floss catches), but positioning of fixed retainer will need to be more gingival which will irritate gums, also will need to reduce Hawleys. Patient has excellent retention with removable Hawleys at NTO and recommend she stay on these retainers, She is not interested in fixed option. Recommend U3-3 gingivectomy with periodontist at this time. Pt dismissed in good condition. NV: 6MRC</t>
  </si>
  <si>
    <t xml:space="preserve">Pt presents for 6MRC. Patient states she has been wearing the retainers every night, never skipped a night. No evidence of relapse noted. Upper retainer fairly retentive, tightened labial bow on the lower to get more retention. Pt is doing well and is not interested in gingivectomy with the periodontist. Pt dismissed in good condition. NV: 6MRC then PRN</t>
  </si>
  <si>
    <t xml:space="preserve">May 20/16</t>
  </si>
  <si>
    <t xml:space="preserve">Ortho Consult: Pt is 12yr old female presenting with grandmother for ortho consult. RMH, NSF. CC: i have crooked teeth. Please see new patient exam completed. lower anterior crowding noted. 2nd molars are errupting. R end on class 2 L side class I. deep bite . Ortho TX recommended. Pt. does not qualify for HLD but will look into getting another insurabnce. NV. records</t>
  </si>
  <si>
    <t xml:space="preserve">Aug 8/16</t>
  </si>
  <si>
    <t xml:space="preserve">Ortho Band &amp; Bond Appointment 12 y/o F presented to Ortho clinic with grandmother for bonding. Tx Plan presented, pt in agreement. Risks and benefits discussed in detail. Pt is motivated to start tx. Consent signed. U: bonded 6-6, MBT victory, 0.014 NiTi, Anterior bite turbos placed on lingual of U1s L: -- Home care instructions given, and importance of excellent oral hygiene was stressed. Worked with [DOCTOR]. NV: Bond lower arch, upper arch 0.016 NiTi</t>
  </si>
  <si>
    <t xml:space="preserve">Sep 19/16</t>
  </si>
  <si>
    <t xml:space="preserve">Female presents for consulation and bonding of U/L arches CC: I want straight teeth . RMHx: Pt denies any changes Significant Findings: crowded mandibular anteriors RDHx: pt denies any changes No contraindications to today's tx Has pt had cleaning since last visit? No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MBT Victory Lower 6-6 Upper Wire: 0.020 NiTi Lower Wire: 0.014 NiTi Mechanics Note: Upper teeth were bonded last visit. Lower 6-6 was bonded today. NV: Appliance adjustment</t>
  </si>
  <si>
    <t xml:space="preserve">Oct 24/16</t>
  </si>
  <si>
    <t xml:space="preserve">Pt presents for appliance adjustment. Pt arrived: early RMHx: Changes to Medical Hx: No Significant Findings: Pt had worn through bite turbos so that her posterior teeth occluded. U1 lingual bite turbos were reapplied today to open posterior so that molars can extrude and correct deep bite. LR6 debonded yesterday. Class I molar/canine bilaterally. Covering Faculty: [DOCTOR] Oral Hygeine: good Appliance: MBT victory Presenting AW and O Ring Color: U: 0.020 NiTi L: 0.014 NiTi Presenting Elastics: None Compliance: N/A Has Pt had a cleaning since last visit: No Has Pt had a Radiograph since last visit: No New Archwire placed at today's appt: U: 0.020 NiTi stopped mesial to 1s L: 0.018 NiTi stopped mesial to 1s. Steel tied 2-2 New elastics placed at today's appt: None Changes in Mechanics: Reapplied bite turbos on lingual of U1s. Rebonded LR6. Reinforced OHI with emphasis on lower anteriors at gingival margin, gave interproximal brushes and wax. NV: 0.019 x 0.025 NiTi AW to fully express brackets, then PAN repo at following appt</t>
  </si>
  <si>
    <t xml:space="preserve">Elastic</t>
  </si>
  <si>
    <t xml:space="preserve">Dec 5/16</t>
  </si>
  <si>
    <t xml:space="preserve">Appliance Adjustment 13y F presents with grandmother to ortho clinic. Progress photos were taken. Spaces have opened in U arch, and U midline is ~1.5mm to left. Lower premolars still need some extrusion to level COS. Class I canine/molar bilaterally. LL1-2 are still rotated. UL7 and LL 7 have not erupted yet. U: .019 x .025 NiTi L: .020 x .020 NiTi. Steel tied LL1,2 OH today was fair, Pt had cleaning since last visit. Pedo wants to coordinate appt on 5/12/17 so that they can take radiographs without a wire in. Encouraged good OH. Worked with [DOCTOR] NV: Appliance adjustment, consider starting to close spaces</t>
  </si>
  <si>
    <t xml:space="preserve">Rotation, Posterior Extrusion</t>
  </si>
  <si>
    <t xml:space="preserve">Steel tie</t>
  </si>
  <si>
    <t xml:space="preserve">Jan 23/17</t>
  </si>
  <si>
    <t xml:space="preserve">SS, reduced PC 6-6 L: repo LL1, LR5. 20 x 20 NiTi, Steel tie LL1-2 Elastics: Bear class II on R side FT
Appliance Adjustment 13y F presents with grandmother to ortho clinic. OH is good. Space has opened distal to U2s, and U midline is ~1.5mm to left. LL1-2 rotations still not completely resolved. UL7 is just barely starting to erupt, and LL7 is still not fully erupted. Repo'd LL1, LR5 today. U: 17 x 25 SS, reduced PC 6-6 L: 20 x 20 NiTi, Steel tie LL1-2 Elastics: Bear (1/4" 4.5oz) class II on R side FT to correct midline. Pt demonstrated proper elastic wear. NV: appliance adjustment</t>
  </si>
  <si>
    <t xml:space="preserve">Rotation</t>
  </si>
  <si>
    <t xml:space="preserve">Powerchain Upper, Steel tie</t>
  </si>
  <si>
    <t xml:space="preserve">Feb 27/17</t>
  </si>
  <si>
    <t xml:space="preserve">Appliance Adjustment 13y F presents for appliance adjustment. Pt reports she lost the elastics ("yesterday"). Compliance is uncertain. Still Class II canine R side. UR4,5 debonded. Rebonded those and repo'd LL2 to correct rotation (mesial is too far in). U: 17 x 25 SS, single ties L: 20 x 20 NiTi, steel tie LL2 Elastics: class II elastics R, "bear" (1/4", 4.5oz), FT wear NV: appliance adjustment</t>
  </si>
  <si>
    <t xml:space="preserve">Elastic, Steel tie</t>
  </si>
  <si>
    <t xml:space="preserve">Apr 3/17</t>
  </si>
  <si>
    <t xml:space="preserve">Appliance Adjustment 13y F presents for appliance adjustment. UR6 and UL5 had debonded. Rebonded those brackets. Pt has complied well with elastics. Encouraged continued compliance. Still class II on L. U: 17 x 25 SS reduced PC 6-6 L: 19 x 25 SS, steel tied LL2 Elastics: Bear Class II bilateral FT (1/4", 4.5oz) NV: appliance adjustment</t>
  </si>
  <si>
    <t xml:space="preserve">Steel tie, Powerchain Upper</t>
  </si>
  <si>
    <t xml:space="preserve">Jun 1/17</t>
  </si>
  <si>
    <t xml:space="preserve">remove wires for cleaning and replaced them after her cleaning was done.</t>
  </si>
  <si>
    <t xml:space="preserve">Jun 6/17</t>
  </si>
  <si>
    <t xml:space="preserve">Appliance Adjustment 13y F presents early with grandmother for appliance adjustment. LR5 debonded, that bracket was rebonded. Progress photos taken today. Pt is now more class II on the right, very close to class I on the left. Upper midline is off to the left ~2mm. Pt reports that she is wearing the elastics full time. OH is good today, pt had cleaning recently. UL6 is now erupting! It is coming in buccally. We will plan to take a progress 8x8 and bond 7s once class II is corrected. Pt graduated middle school since last appt. She went to [LOCATION] for vacation. Her grandmother is going to [LOCATION] later this month for her friend's wedding and to celebrate her birthday. She has never been before and is very excited for her trip. U: 17 x 25 SS 6-6, reduced PC 6-6 L: 19 x 25 SS 6-6 Elastics: continue "bear" class II bilateral full time Removed bite turbos on lingual of U1s this appt. Worked with [DOCTOR] NV: appliance adjustment, check class II correction and eruption of UL7</t>
  </si>
  <si>
    <t xml:space="preserve">Powerchain Upper, Powerchain Lower</t>
  </si>
  <si>
    <t xml:space="preserve">Jul 24/17</t>
  </si>
  <si>
    <t xml:space="preserve">Patient presents for appliance adjustment. Patient arrived on time: early Minor patient accompanied by: grandma Significant Med/Dental Hx/Changes Med/Dental Hx: pt had pano in main clinic. Pt is graduating from pedo clinic to main clinic Presenting OH: Good Alerts if any: * Describe if other alert: * Prophy needed? No Radiogrraph needed? No Faculty assigned: [DOCTOR] Covering faculty if different from assigned; * Compliance: Average Molar/Canine: 1-2mm class II bilateral OJ/OB: 3/3mm Treatment progress evaluation: pt is still class II especially on R, needs better compliance with class II elastics. UL7 is erupting now UAW: 17 x 25 SS 6-6, reduced PC 6-6 LAW: 19 x 25 SS 6-6 Elastics: Bear class II right side full time Appointment notes: evaluated pano and clinically, the following repo's will be done (once class II is corrected): -U2s need distal root tip -LR3 needs to be placed more mesially (mesial out) -LR4, 5 need distal root tip consider enameloplasty of LR2 distoincisal edge to level it Steel tie LL2 after repo when in round wire NV: evaluate class II correction and eruption of UL7, Repo if class II is corrected</t>
  </si>
  <si>
    <t xml:space="preserve">good</t>
  </si>
  <si>
    <t xml:space="preserve">average</t>
  </si>
  <si>
    <t xml:space="preserve">Sep 18/17</t>
  </si>
  <si>
    <t xml:space="preserve">Patient presents for appliance adjustment. Patient arrived on time: yes Minor patient accompanied by: grandma Significant Med/Dental Hx/Changes Med/Dental Hx: no Presenting OH: Needs improvement Alerts if any: * Describe if other alert: * Prophy needed? No Radiogrraph needed? No Faculty assigned: [DOCTOR] Covering faculty if different from assigned; * Compliance: Good Molar/Canine: close to class I bilateral OJ/OB: 2/3mm Treatment progress evaluation: time for repo, 13mo into tx UL and LL6 are finally erupting UAW: .018 NiTi, steel lace UR6-UL1 LAW: .018 NiTi Elastics: none Appointment notes: Repo'd: UR5 U2s UL1 LL5 LL3 LR1 LR4 NV: step up wires, possible PC UR6--UL1 to move midline</t>
  </si>
  <si>
    <t xml:space="preserve">Oct 16/17</t>
  </si>
  <si>
    <t xml:space="preserve">Patient presents for appliance adjustment. Patient arrived on time: yes Minor patient accompanied by: grandmother Significant Med/Dental Hx/Changes Med/Dental Hx: no Presenting OH: Good Alerts if any: * Describe if other alert: * Prophy needed? No Radiogrraph needed? No Faculty assigned: [DOCTOR] Covering faculty if different from assigned; * Compliance: Good Molar/Canine: Close to class I,slightly Class II OJ/OB: 3/2mm Treatment progress evaluation: stepping up after pan/repo UAW: 19 x 25 NiTi, reduced PC 6-6 LAW: 19 x 25 NiTi, figure 8 tied all Elastics: Bear class II FT bilateral Appointment notes: upper midline is pretty much coincident with lower some spaces to close upper close to finishing stage NV: 19 x 25 SS, continue PC and class II elastics as needed</t>
  </si>
  <si>
    <t xml:space="preserve">Powerchain Upper, Elastic</t>
  </si>
  <si>
    <t xml:space="preserve">Nov 13/17</t>
  </si>
  <si>
    <t xml:space="preserve">Patient presents for appliance adjustment. Patient arrived on time: yes Minor patient accompanied by: grandmother Significant Med/Dental Hx/Changes Med/Dental Hx: no Presenting OH: Needs improvement Alerts if any: * Describe if other alert: * Prophy needed? Yes Radiogrraph needed? No Faculty assigned: [DOCTOR] Covering faculty if different from assigned; * Compliance: Good Molar/Canine: slightly class II bilateral (~1mm) OJ/OB: 3/2mm Treatment progress evaluation: UL2 is out of alignment, may need slight wire bend for mesial in small space distal to U2s bilaterally pt has been wearing elastics well UAW: 19 x 25 SS, PC 6-6 LAW: 19 x 25 SS Elastics: bear class II U3-L6 FT bilateral Appointment notes: progressing through AW sequence after repo midlines are close! NV: appliance adjustment, eval space closure</t>
  </si>
  <si>
    <t xml:space="preserve">Dec 11/17</t>
  </si>
  <si>
    <t xml:space="preserve">Patient presents for appliance adjustment. Patient arrived on time: yes Minor patient accompanied by: grandmother Significant Med/Dental Hx/Changes Med/Dental Hx: no Presenting OH: average, lots of plaque on PC Alerts if any: * Describe if other alert: * Prophy needed? yes Radiogrraph needed? no Faculty assigned: [DOCTOR] Covering faculty if different from assigned; [DOCTOR] Compliance: good Molar/Canine: slightly class II bilateral OJ/OB: 2/2mm Treatment progress evaluation: noticed irregularities in alignment of U2-2, still has space to close on upper (distal to 2s), midlines are on UAW: .016 NiTi, figure 8 tied 2-2, removed steel lace LAW: 19 x 25 SS Elastics: discontinue for now Appointment notes: repo'd U2-2 with Victory MBT .022 will eventually need lower IPR since pt has run out of OJ and still needs some class II correction NV: step up upper AW</t>
  </si>
  <si>
    <t xml:space="preserve">Jan 29/18</t>
  </si>
  <si>
    <t xml:space="preserve">Patient presents for appliance adjustment. Patient arrived on time: yes Minor patient accompanied by: grandmother Significant Med/Dental Hx/Changes Med/Dental Hx: no Presenting OH: needs improvement Alerts if any: * Describe if other alert: * Prophy needed? yes Radiogrraph needed? no Faculty assigned: [DOCTOR] Covering faculty if different from assigned; * Compliance: * Molar/Canine: slightly class II L OJ/OB: 3/3mm Treatment progress evaluation: stepping up upper AW after repo 2-2 UAW: 19 x 25 NiTi LAW: 19 x 25 SS Elastics: none Appointment notes: told pt she needs to improve OH. Gave toothbrush kit to take to school and brush after every meal NV: U 19 x 25 SS ACOS, PC and class II elastics L, may eventually need some IPR lower 3-3</t>
  </si>
  <si>
    <t xml:space="preserve">Feb 26/18</t>
  </si>
  <si>
    <t xml:space="preserve">Patient presents for appliance adjustment. Patient arrived on time: yes Minor patient accompanied by: grandmother Significant Med/Dental Hx/Changes Med/Dental Hx: no Presenting OH: average Alerts if any: * Describe if other alert: * Prophy needed? yes Radiogrraph needed? no Faculty assigned: [DOCTOR] Covering faculty if different from assigned; * Compliance: good, wore elastics every day Molar/Canine: class I canine/molar, PM slight II OJ/OB: 3/3mm roughly Treatment progress evaluation: need upper space closure UAW: 18 x 25 SS, PC 6-6 LAW: 19 x 25 SS, PC 6-6 Elastics: bear class II U3-L6 bilateral full time Appointment notes: pt doing better with OH was supposed to have cleaning today in main clinic but appt was cancelled without grandmother knowing. an email was sent to student dentist and associated faculty. will try to coordinate for next month .02mm IPR perfomed M/D L2s NV: appliance adjustment, continue space closure</t>
  </si>
  <si>
    <t xml:space="preserve">Apr 2/18 </t>
  </si>
  <si>
    <t xml:space="preserve">Clinic:
Removed arch wires prior to dental cleaning.
Patient presents for appliance adjustment. Patient arrived on time: yes, early Minor patient accompanied by: grandmother, 9yo cousin Significant Med/Dental Hx/Changes Med/Dental Hx: had prophy today Presenting OH: good Alerts if any: * Describe if other alert: * Prophy needed? no Radiogrraph needed? no Faculty assigned: [DOCTOR] Covering faculty if different from assigned; * Compliance: avg Molar/Canine: class II canine OJ/OB: excess OJ ~3-4mm, slightly deep bite Treatment progress evaluation: need class II correction UAW: 18 x 25 SS ACOS LAW: 19 x 25 SS Elastics: bear class II elastics U3-L6 FT bilateral Appointment notes: rebonded UL6 that dental student debonded during prophy need to close ~1.5mm maxillary midline diastema NV: continue upper space closure and class II cxn</t>
  </si>
  <si>
    <t xml:space="preserve">May 1/18</t>
  </si>
  <si>
    <t xml:space="preserve">Patient presents for appliance adjustment. Patient arrived on time: yes Minor patient accompanied by: grandmother Significant Med/Dental Hx/Changes Med/Dental Hx: no Presenting OH: pretty good Alerts if any: * Describe if other alert: * Prophy needed? no Radiogrraph needed? no Faculty assigned: [DOCTOR] Covering faculty if different from assigned; [DOCTOR] Compliance: good Molar/Canine: good class I OJ/OB: slightly excess OJ Treatment progress evaluation: finishing UAW: 18 x 25 SS flat LAW: 19 x 25 SS, RCOS Elastics: kangaroo class II U3-L6 FT bilateral Appointment notes: added RCOS to lower wire watch UL1-2 about 1mm total spacing upper NV: continue finishing</t>
  </si>
  <si>
    <t xml:space="preserve">May 29/18</t>
  </si>
  <si>
    <t xml:space="preserve">d? no Radiogrraph needed? no Faculty assigned: [DOCTOR] Covering faculty if different from assigned; [DOCTOR] Compliance: good Molar/Canine: class I OJ/OB: * Treatment progress evaluation: finishing UAW: 18 x 25 SS LAW: 19 x 25 SS ACOS Elastics: kangaroo class II nighttime only Appointment notes: steel lace U3-3 lingual crown torque UL1 step down (intrude) LL6, LR5-6 NV: continue finishing, watch black triangle U1-1, consider IPR</t>
  </si>
  <si>
    <t xml:space="preserve">Jun 26/18</t>
  </si>
  <si>
    <t xml:space="preserve">Patient presents for appliance adjustment. Patient arrived on time: yes Minor patient accompanied by: cousin Significant Med/Dental Hx/Changes Med/Dental Hx: no Presenting OH: avg Alerts if any: * Describe if other alert: * Prophy needed? no Radiogrraph needed? at debond Faculty assigned: [DOCTOR] Covering faculty if different from assigned; [DOCTOR] Compliance: good Molar/Canine: close to class I OJ/OB: 2/2 approx Treatment progress evaluation: finishing UAW: 18 x 25 SS LAW: 19 x 25 SS Elastics: kangaroo class II FT bilateral Appointment notes: step down L6s add labial crown torque UR1 slight IPR U1-1 NV: continue finishing</t>
  </si>
  <si>
    <t xml:space="preserve">Aug 6/18</t>
  </si>
  <si>
    <t xml:space="preserve">Patient presents for appliance adjustment. Patient arrived on time: yes Minor patient accompanied by: younger cousin, Sonata (9 y/o) Significant Med/Dental Hx/Changes Med/Dental Hx: no Presenting OH: average Alerts if any: * Describe if other alert: * Prophy needed? possibly Radiogrraph needed? yes, final Faculty assigned: [DOCTOR] Covering faculty if different from assigned; * Compliance: good Molar/Canine: class I OJ/OB: 2/2mm Treatment progress evaluation: * UAW: 18 x 25 SS, PC6-6 LAW: 19 x 25 SS Elastics: kangaroo class II NT bilateral Appointment notes: pt was approved for debond! slight diastema U1-1, used PC discussed retainers, pt prefers Hawleys NV: debond</t>
  </si>
  <si>
    <t xml:space="preserve">Aug 29/18</t>
  </si>
  <si>
    <t xml:space="preserve">Took Final photos.
Did iTero scan for final record.
Took impressions for U/L Hawley retainers.
Patient presents today for: Treatment completion Form signed: Treatment completion Patient arrived on time? yes Minor patient accompanied by: grandmother, Hazel Significant Med Hx: no Changes Med Hx: no Dental Hx Changes: no Prophy needed: possibly Radiograph needed: taken today Presenting OH: Good Compliance: Good Alerts: * Describe if Other Alert * Assigned Faculty: [DOCTOR] Covering Faculty: [DOCTOR] Removed: Brackets Describe if Other * Appointment notes including results deviating from ideal: slight diastema U1-1. Will use Hawley retainer to close. performed enameloplasty on MLMR of UR1 polished with black point, removed all adhesive NV: deliver retainers U/L Hawleys</t>
  </si>
  <si>
    <t xml:space="preserve">Sep 5/18</t>
  </si>
  <si>
    <t xml:space="preserve">Patient arrived for delivery of retainers. Patient arrived on time: yes Minor patient accompanied by: grandmother, Hazel Significant Med/Dental Hx/Changes Med/Dental Hx: no Presenting OH: good Alerts if any: * Faculty assigned: [DOCTOR] Covering faculty if different from assigned; [DOCTOR] Type of retainers delivered:: U/L hawleys Retention protocol: full time wear Appointments notes: adjusted Hawleys for good retention tighten labial bow of upper hawley NV pt had her 15th birthday yesterday! congrats gave referral to OS clinic for evaluation of third molar extractions NV: retention check</t>
  </si>
  <si>
    <t xml:space="preserve">Surgery</t>
  </si>
  <si>
    <t xml:space="preserve">Sep 19/18</t>
  </si>
  <si>
    <t xml:space="preserve">Patient presents today for retainer check. Patient arrived on time: yes Minor patient accompanied by: cousin Significant Med/Dental Hx/Changes Med/Dental Hx: No Presenting OH: good Alerts if any: * Prophy needed? Yes Radiogrraph needed? no Faculty assigned: [DOCTOR] Covering faculty if different from assigned; [DOCTOR] Patient completion date: 8/29/2018 Presenting retention protocol: full time U/L hawleys Compliance: good Significant findings: good retention Changes to retention protocol: continue full time wear adjusted labial bows to make them tighter adjusted lower retainer to remove acrylic distal to L6s in an effort to not impede eruption of LL7 in particular. pt was supposed to have an appt in OS clinic today for evaluation of EXT 8s. however, her grandmother was not at the appt, so it had to be rescheduled. follow up with referral for EXT of 8s, since they appear to be interfering with eruption of left side 7s, esp LL7 and because pt does not have room for them UL7 erupted buccally when tx was mostly finished, so it was not bonded and is ectopic. Continue to monitor UL7 Some decalcification present on U3-3 pt is learning about angles in geometry; debating; and the Holocaust in world history NV: retainer check, ask about EXT 8s</t>
  </si>
  <si>
    <t xml:space="preserve">Dec 14/18</t>
  </si>
  <si>
    <t xml:space="preserve">TO ORAL SURGEON**** We are requesting extraction of #16 and 17 because they are prohibiting proper eruption of the left second molars, as is expressed in the UL7 being in buccal crossbite. This can be corrected but will not be possible until the third molars are out of the way. Also, we will be bonding a button on the lingual #18 after surgery to correct the crossbite, if possible would you please do some gingivectomy to expose more of tooth #18 to make this possible. Thanks!
Clinic:
Patient presents today for retainer check. Patient arrived on time: y Minor patient accompanied by: * Significant Med/Dental Hx/Changes Med/Dental Hx: No Presenting OH: good Alerts if any: * Prophy needed? No Radiogrraph needed? n Faculty assigned: Covering faculty if different from assigned; Patient completion date: 8/29/18 Presenting retention protocol: U/L hawley FT Compliance: good Significant findings: pt didnt' bring retainers today, however UL7 and LL7 are in crossbite due to buccal positioning of UL7, referring back to OS for extraction of L 8s before correcting crossbite likely with crossbite elastics. UL1 in heavy occlusion with LL2 on D MR UL1. if alignment changes consider adjusting occlusion Changes to retention protocol: go to night time wear NV: 6 mo</t>
  </si>
  <si>
    <t xml:space="preserve">Jun 17/19</t>
  </si>
  <si>
    <t xml:space="preserve">Decided to fabricate lower trutain and run cross elastics to settle the occlusion of the L7's. Pt agreed. Had [STAFF] take scan. NV: del lower trutain and bond buttons</t>
  </si>
  <si>
    <t xml:space="preserve">Jul 22/19</t>
  </si>
  <si>
    <t xml:space="preserve">DB buttons LL7 lingual and UL7 buccal. Bear elastics. Instructions on FT wear of elastics and lower trutain for 1 month. NV: Assess improvement of buccal crossbite of UL7.</t>
  </si>
  <si>
    <t xml:space="preserve">Aug 20/19 </t>
  </si>
  <si>
    <t xml:space="preserve">Pt reports that 2 weeks prior lower button debonded. Rebonded lower button, pt did not have lower TT with her to check if it still fits. Advised that if it is not fitting pt can trim the TT around the button to ensure it fits. Prescribed bear elastics UL7 LL7 for another month. NV: ck UL7 progress</t>
  </si>
  <si>
    <t xml:space="preserve">Oct 30/19</t>
  </si>
  <si>
    <t xml:space="preserve">DB LL7 caplin hook lingual. Continue elastic wear full time cross UL7 LL7 nv: ck UL7 position</t>
  </si>
  <si>
    <t xml:space="preserve">Jan 8/20</t>
  </si>
  <si>
    <t xml:space="preserve">Pt reports she has been wearing the elastic well, but tooth position can still be further improved. Switched to Impalas FTW, emphasized importance of wearing the elastics in order to achieve this tooth movement NV: assess movement of UL7</t>
  </si>
  <si>
    <t xml:space="preserve">Feb 19/20</t>
  </si>
  <si>
    <t xml:space="preserve">Decided due to pt inability to wear elastic well enough, challenge of keeping buttons bonded, and duration that we have been attempting to bring in UL7 -- pause active tx trying to bring down UL7 removed UL7 button and cleaned composite and polished NV: 6 mo ck to monitor UL7</t>
  </si>
  <si>
    <t xml:space="preserve">May 29/14</t>
  </si>
  <si>
    <t xml:space="preserve">NPE with CC "She has a crossbite on UL2" Profile: straight TMJ: reports jaw locking 5x/day when speaking fast or eating S/S started 3-4 mo ago When jaw locks, pt cannot open further and has to close to open again Pt reports clicking and popping-- both observed on palpation (more so on L side) Lips: competent Incisor display: 3mm repose; 8mm smile Mx incisor inclination: retroclined Midlines: Mx 1mm L/ Md 1mm R Dentition: permanent 7-7 Cl-Imolar; Cl-Icanine OJ= 2mm OB= 3mm Open bite: None Crossbite: UL2 CR-CO shift: 3mm anterior Upon jaw closure, pt's jaw deviates R--&gt;L--&gt; center Md crowding: 4mm Mx crowding: 1mm Habits: Nail biting Breathes through both mouth and nose Tx indicated: L splint with U fixed until crossbite is resolved, then bond L</t>
  </si>
  <si>
    <t xml:space="preserve"> </t>
  </si>
  <si>
    <t xml:space="preserve">Jun 6/14</t>
  </si>
  <si>
    <t xml:space="preserve">Took initial photos.
Did iTero scan.</t>
  </si>
  <si>
    <t xml:space="preserve">Sep 9/14</t>
  </si>
  <si>
    <t xml:space="preserve">Pt presents for C/C and bonding Bonded U6-6 with Victory MBT brackets using etch, solo Posterior bite turbos on U5+6s bilaterally to open bite to correct UL2 x-bite and to act as splint (TMJ) Went over OHI and dietary modifications UAW: 14 CuNiTi with cinchback and crimpable stops UL2 was not engaged-- OCS placed between UL1-3 NV: Bond Md teeth?</t>
  </si>
  <si>
    <t xml:space="preserve">Oct 22/14</t>
  </si>
  <si>
    <t xml:space="preserve">Pt presents for TMD consult with [DOCTOR]. Habit modification, exercises, hot/col compresses and a 2 week course of ibuprofen were prescribed Please refer to [DOCTOR]’s notes SS tied UL2 to AW to help bring tooth into arch NV: Adjustment and assess any progress with exercises prescribed</t>
  </si>
  <si>
    <t xml:space="preserve">Oct 30/14</t>
  </si>
  <si>
    <t xml:space="preserve">Pt reports that her jaw has not locked since consult with [DOCTOR] Pt reports doing the exercises and massages Bonded L6-6 with Victory brackets using etch, solo UAW: Re-tied 14 CuNiTi with OCS btwn UL1-3 with SS tie from UL2 to AW LAW: 16 NiTi NV: 18 NiTi UAW and LAW (maybe 16 NiTi for UAW)</t>
  </si>
  <si>
    <t xml:space="preserve"> Dec 4/14</t>
  </si>
  <si>
    <t xml:space="preserve">UAW: 18 CuNiTi Re-activated OCS with archwire stop uncrimped and SS laced UL2 to UAW UL2 is in edge-to-edge with lower teeth LAW: 18 CuNiTi NV: Adjustment 
UAW: 18 CuNiTi Re-activated OCS with archwire stop uncrimped and SS laced UL2 to UAW UL2 is in edge-to-edge with lower teeth LAW: 18 CuNiTi Pt reports that her jaw has not locked since last time-- told pt to continue doing prescribed exercises NV: Adjustment</t>
  </si>
  <si>
    <t xml:space="preserve"> , 0.018"</t>
  </si>
  <si>
    <t xml:space="preserve">Jan 15/15</t>
  </si>
  <si>
    <t xml:space="preserve">UAW: 18 CuNiTi with all teeth engaged incl. UL2 (which is out of x-bite) LAW: 17x25 NiTi NV: Adjustment</t>
  </si>
  <si>
    <t xml:space="preserve">Feb 3/15</t>
  </si>
  <si>
    <t xml:space="preserve">UAW: 18 CuNiTi with all teeth engaged incl. UL2 (which is out of x-bite) LAW: 17x25 NiTi TMJ symptoms much improved-- pt reports of no recent clicking/popping/locking NV: Adjustment</t>
  </si>
  <si>
    <t xml:space="preserve">flase</t>
  </si>
  <si>
    <t xml:space="preserve">Feb 26/15</t>
  </si>
  <si>
    <t xml:space="preserve">UAW: 17x25 NiTi LAW: 19x25 TMA Md midline shifted to R by 1mm UL2 has come into alignment No locking of jaw since ortho tx has started! NV: Adjustment LAW: start detailing and finishing UAW: 19x25 TMA Asess for elastics</t>
  </si>
  <si>
    <t xml:space="preserve">Apr 2/15</t>
  </si>
  <si>
    <t xml:space="preserve">UAW: 19x25 TMA Step up M of U6s and step up M of UL5 LAW: re-tied 19x25 TMA M out on L2s L midline off 1mm to the Slightly excess B OJ</t>
  </si>
  <si>
    <t xml:space="preserve">May 7/15</t>
  </si>
  <si>
    <t xml:space="preserve">UAW: re- 
UAW and LAW: 19x25 TMA Increased step up on UL6, UR5, UR6 Increased M out on LR2 Excess OJ but CL-I molar and canine: IPR 0.2mm from M of U3-3= total 1.0mm PC U6-6 backed up with CL-II elastics NTO Kangaroo U3-L6 bilaterally L midline slightly to R (&lt;1mm) NV: Assess for D in on LR2 and OJ</t>
  </si>
  <si>
    <t xml:space="preserve">Jun 11/15</t>
  </si>
  <si>
    <t xml:space="preserve">Still increased OJ U3-3 IPR PC closed U6-6 CL-II elastics Kangaroo L: NTO R: FT to shift U midline to R UAW and LAW: re-tied 19x25 TMA Increased U6 M step up both sides LR2 D in (slight bend)</t>
  </si>
  <si>
    <t xml:space="preserve">Jul 30/15</t>
  </si>
  <si>
    <t xml:space="preserve">Re-tied 19x25 TMA UAW and LAWs Finishing bends placed Continuation of same elastic pattern NV: Debond</t>
  </si>
  <si>
    <t xml:space="preserve">Aug 18/15</t>
  </si>
  <si>
    <t xml:space="preserve">Aug 27/15</t>
  </si>
  <si>
    <t xml:space="preserve">Pt presents for debond Removed all brackets Polished all teeth Took final records and took impressions for Hawleys NV: Deliver Hawleys to allow for settling</t>
  </si>
  <si>
    <t xml:space="preserve">Sep 2/15</t>
  </si>
  <si>
    <t xml:space="preserve">Patient presents for delivery of upper and lower hawley Fit was ideal and patient does not have any discomfort articualting paper used to detemrine any interferences NV: 1 month check up</t>
  </si>
  <si>
    <t xml:space="preserve">Oct 8/15</t>
  </si>
  <si>
    <t xml:space="preserve">CC" upper retainer pinching gums" Lower Hawley fitting well Upper Hawley loose. Tightened upper hawley and the gingival impingement vanished. NV: 3 month retainer check</t>
  </si>
  <si>
    <t xml:space="preserve">Nov 19/14</t>
  </si>
  <si>
    <t xml:space="preserve">New Patient Exam 10 yo female presents with mother for NPE CC:
New Patient Exam 10 yo female presents with mother for NPE CC: Pt said "This tooth here (UR3) is hard to brush". Mom said she had a tooth in the middle when she was a baby, and the new teeth are growing crooked IOE: Dentition: Full permanent- L7s erupted, U7s almost fully erupted Class I molar R/L Class I canine L; Canine R undeterminable-erupting ectopically to the buccal OJ: 4 mm OB: 3 mm U1s; UL2 2 mm openbite; UR2 1 mm openbite Maxilla 4 mm crowding Mandible 3 mm crowding- mesial-in rotations of L1s Recommended: Full tx child Does not qualify for Denti-cal coverage Pano recently taken on 10/22/14 NV: records (ceph, scan, photos)</t>
  </si>
  <si>
    <t xml:space="preserve">Jul 20/16</t>
  </si>
  <si>
    <t xml:space="preserve">Female presents for consulation and bonding of U/L arches CC: Want to fix my teeth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3M Victory 22 Upper Wire: 014 Niti Lower Wire: 014 NiTi Mechanics Note: OCS LR1 - Bonded U/L arches NV: Bond LR1</t>
  </si>
  <si>
    <t xml:space="preserve">Aug 17/16</t>
  </si>
  <si>
    <t xml:space="preserve">CHANGE OF TX PLAN ***** Non- Extraction to Extraction of all 2nd premolars (#4,13,20,29) Pt is developping an open bite, and has incompetent lips. Discussed at length the RBA to continuing tx as is, and the RBA to extractions Pt and mother and [DOCTOR] all agreed that we should extract all second premolars. Pt scheduled consult and ext with OS. NV: After ext - Eval</t>
  </si>
  <si>
    <t xml:space="preserve">Oct 5/16</t>
  </si>
  <si>
    <t xml:space="preserve">Upper 018 Niti Lower 014 OCS 2-2 CChain L3s-7s</t>
  </si>
  <si>
    <t xml:space="preserve">Nov 2/16</t>
  </si>
  <si>
    <t xml:space="preserve">NiTi L 013 Niti Engaged L1s</t>
  </si>
  <si>
    <t xml:space="preserve">0.013"</t>
  </si>
  <si>
    <t xml:space="preserve">Nov 16/16</t>
  </si>
  <si>
    <t xml:space="preserve">Comfort Visit - Broken UR7 Rebonded 22 slot Victory U18x25 Niti L 013 Niti</t>
  </si>
  <si>
    <t xml:space="preserve">Nov 30/16</t>
  </si>
  <si>
    <t xml:space="preserve">Steel Tied L1s No changes to wires</t>
  </si>
  <si>
    <t xml:space="preserve">Steel tight</t>
  </si>
  <si>
    <t xml:space="preserve">Jan 18/17</t>
  </si>
  <si>
    <t xml:space="preserve">17x25SS L 013 Niti broken lace LR1 (retied) CChain U6-6
Tx U 17x25 SS L 013 Niti broken lace LR1 (retied) CChain U6-6</t>
  </si>
  <si>
    <t xml:space="preserve">Powerchain Upper, Steel tight</t>
  </si>
  <si>
    <t xml:space="preserve">Feb 15/17</t>
  </si>
  <si>
    <t xml:space="preserve">continue same mechanics - waiting on derotation LR1</t>
  </si>
  <si>
    <t xml:space="preserve">Mar 15/17</t>
  </si>
  <si>
    <t xml:space="preserve">U 17x25 SS Cchain Reduced 6-6
L 18x25 NitiNV: Go into SS on lower - Begin CChain Lower + Cl II Elastics - Coordinate Arches</t>
  </si>
  <si>
    <t xml:space="preserve">Apr 12/17</t>
  </si>
  <si>
    <t xml:space="preserve">U/L 17x25 SS CChain U/L 6-6 Cl II Impala FT</t>
  </si>
  <si>
    <t xml:space="preserve">May 10/17</t>
  </si>
  <si>
    <t xml:space="preserve">May 31/17</t>
  </si>
  <si>
    <t xml:space="preserve">U/L 17x25 SS CChain U/L 6-6 Cl II Impala FT. Reverse curve added to lower</t>
  </si>
  <si>
    <t xml:space="preserve">Jun 21/17</t>
  </si>
  <si>
    <t xml:space="preserve">Pano done - consider repo LR4 maybe UL2 in future U/L 19x25 SS IPR done L3-3 Impala Cl II FT CChain Reduced upper Closed L 7-7 U 6-6 Mild RCOS added to lower</t>
  </si>
  <si>
    <t xml:space="preserve">Aug 9/17</t>
  </si>
  <si>
    <t xml:space="preserve">19x25 SS U/L Impala Triangle Elastics U3 L3-4 Gang Tied U/L 3-3</t>
  </si>
  <si>
    <t xml:space="preserve">Aug 30/17</t>
  </si>
  <si>
    <t xml:space="preserve">ABO Patient - PLEASE ONLY SCHEDULE WITH [DOCTOR]</t>
  </si>
  <si>
    <t xml:space="preserve">Dec 22/17</t>
  </si>
  <si>
    <t xml:space="preserve">Over corrected. Edge to Edge Bite Coordinated Arches Cl I Triangle FT Impala.</t>
  </si>
  <si>
    <t xml:space="preserve">Feb 2/18</t>
  </si>
  <si>
    <t xml:space="preserve">Mout LR3 Step down U2-2 Distal out UL2 Cl II Impala FT</t>
  </si>
  <si>
    <t xml:space="preserve">Apr 5/18</t>
  </si>
  <si>
    <t xml:space="preserve">Patient presents for appliance adjustment. Patient arrived on time: yes Minor patient accompanied by: mother Significant Med/Dental Hx/Changes Med/Dental Hx: none Presenting OH: good Alerts if any: * Describe if other alert: * Prophy needed? no Radiogrraph needed? yes- PANO Faculty assigned: Covering faculty if different from assigned; * Compliance: average- elastic compliance NTO Molar/Canine: class 1 left, super class 1 right OJ/OB: oj = 2 mm; ob = 2 mm Treatment progress evaluation: UL5-6-7 in crossbite. Lower left 6 and 6 excessive buccal torque UAW: SS wire LAW: SS Wire Elastics: impala elastics Appointment notes: Case transferred from [DOCTOR]. I'm seeing patient in lieu of [DOCTOR] and patients care will be continued with Dr ALbertson after this appointment. Explained this to patient and mother. Evaluated for debond: CR-CO shift noted to the left 2 mm. Lower arch and upper arch not coordinated- constricted the lower archwire, which should correct the crossbite on the UL5-6-7. Cut wire distal to the UR6 to let the UR7 settle as lingual cusp was touching the lower central fossa Reinforced class 2 elastic use as patient reported wearing NTO. Instructed pt to wear elastics on left full time, on right NTO. From 3-7. Gave patient impala elastics Progress pano needed- check root divergence on the lower right 1-2. Informed patient that she will likely be in braces for another 6 months NV: Progress Pano; repo PRN; finish and detailing bends; make sure upper left is out of crossbite</t>
  </si>
  <si>
    <t xml:space="preserve">Jun 7/18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</si>
  <si>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Average Molar/Canine: Class III Right and Class I Left OJ/OB: OB: 0 mm and OJ: 0 mm Treatment progress evaluation: Pt is edge-to-edge, propping her bite open in the posterior, and shifts slightly. Lower midline deviated to the Left. Crossbite present on left side. Wire is cut distal to UR6 to allow UR7 to settle. UAW: 19x25 SS LAW: 19x25 SS Elastics: NTO Right: Class III Inverted Triangle Bear UR3-6 to LR3 Midline: Bear UR3-LL3 Left: Vertical Triangle Kangaroo UL3 to LL3-4 Appointment notes: Administered TAC topical. Performed 0.2 mm IPR Distal L3-3. PC L6-6. Expanded UL and constricted LL wire. NV: Assess OJ, Midline correction, and AP</t>
  </si>
  <si>
    <t xml:space="preserve">Jul 19/18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</si>
  <si>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II Right and Class I Left OJ/OB: OB: 0.5 mm and OJ: 2 mm Treatment progress evaluation: Pt is occluding on LR6 bracket. Interference present on UL2/LL3. Crossbite on left side. UAW: * LAW: * Elastics: Class II Triangle Impala U3 to L3-6 Appointment notes: Constricted lower wire and expanded UR wire. Used bur to remove bracket tie wings on LR6 bracket to eliminate interference. Plan is to correct crossbite and torque on lower teeth with constriction to help close posterior open bite down. Bends: UL3 Step-Up LL3 Step-Down NV: Assess Posterior Open Bite</t>
  </si>
  <si>
    <t xml:space="preserve">impala</t>
  </si>
  <si>
    <t xml:space="preserve">Aug 9/18</t>
  </si>
  <si>
    <t xml:space="preserve">Patient presents for appliance adjustment. Patient arrived on time: Yes Minor patient accompanied by: * Significant Med/Dental Hx/Changes Med/Dental Hx: * Presenting OH: * Alerts if any: * Describe if other alert: * Prophy needed? * Radiogrraph needed? * Faculty assigned: [DOCTOR] Covering faculty if different from assigned; * Compliance: Good Molar/Canine: Class II Right and Class III Left OJ/OB: OB: 0.5 mm and OJ: 2 mm Treatment progress evaluation: Pt is 1 mm Class II Canine on the Right and 1 mm Class III on the Left. Lower midline deviated 1 mm to the Left. Pt is still biting on LR6 bracket despite adjusting tie wings at last appointment. UAW: 19x25 SS LAW: 19x25 SS Elastics: Kangaroo Right: Vertical Triangle UR3 to LR3-4 Left: Class III Triangle UL3-6 to LL3 Appointment notes: Decided since pt is occluding on LR6 bracket and since tooth is in good position to debond LR6 bracket and place closed coil spring to hold the space. Adjusted UL4-7 and LL4-7 cusps to eliminate interferences from upper and lower lingual cusps and allow posterior bite to close down. Placed Kobe tie on LR4. Bends: UL4-7 Lingual Crown Torque LL4-7 Lingual Crown Torque NV: Assess Left Side AP Correction and Left Side Crossbite Correction</t>
  </si>
  <si>
    <t xml:space="preserve">Aug 16/18</t>
  </si>
  <si>
    <t xml:space="preserve">Discussed transfer case with [DOCTOR] and [DOCTOR] Hx: -EXT's U/L 5's -LR6 bracket off and holding with CCS -Lingual crown torque on the LL6, LL7 -Right vertical triangular elastics Plan: -Check iff LL8 is in occlusion and if it needs an enameloplasty -May need to add box elastics on the left (3-6/3-6)
Transfer Note: Case discussed with [DOCTOR] and [DOCTOR].</t>
  </si>
  <si>
    <t xml:space="preserve">Sep 13/18</t>
  </si>
  <si>
    <t xml:space="preserve">Patient presents for appliance adjustment. Patient arrived on time: yes Minor patient accompanied by: mother Significant Med/Dental Hx/Changes Med/Dental Hx: none Presenting OH: good Alerts if any: * Describe if other alert: * Prophy needed? * Radiogrraph needed? * Faculty assigned: Covering faculty if different from assigned; * Compliance: poor with elastics Molar/Canine: class 3 right left 1 mm class 2 right s OJ/OB: oj = 1 mm; on = 1 mm Treatment progress evaluation: clicking noted on the left TMJ - monitor on progress CBCT? lower midlijne deviated to the left 1 mm UAW: 19 x 25 SS with UR3 mesial out bend LAW: 19 x 25 SS Elastics: right side leastics NTO; class 2 elastics right (UR-L3-L7) ; full (3-3-6) left side full time Appointment notes: informed patient and mom that we need patient comply with full time elastic use NV: check occlusal interference of UR3 mesial</t>
  </si>
  <si>
    <t xml:space="preserve">ss</t>
  </si>
  <si>
    <t xml:space="preserve">Oct 18/18</t>
  </si>
  <si>
    <t xml:space="preserve">Appliance adjustment MDH, DH updated - no changes from last visit Clinical Note: OJ = 3 mm OB = 2 mm Midlines: coincident with facial midline; space present between L1's Right: class 2 canine .5 mm Left: class 2 UAW: 19 x 25 SS LAW: 19 x 25 SS (L6-6) Bends: LL2 step up extrusion bend accentuated Class 2 canines bilaterally Extrude UL5 (step down bend) Elastics: Right: Full time class 2 elastics (U3-L3-L7) Left: Full time class 2elastics (U3-L3-L6) Attending: [DOCTOR] NV- make sure space has closed between the L1's; check that LL2 distal has extruded and that UL5 has extruded; check class 2 correction on canine relationship</t>
  </si>
  <si>
    <t xml:space="preserve">Nov 15/18</t>
  </si>
  <si>
    <t xml:space="preserve">Appliance Adjustment MDH updated- no changes Pt arrives on time. Pleasant demeanor Clinical Note: Space closed between the L1's Good elastic use Contact present on the L6's but not on the L5's or L3's UAW: 19 x 25 SS. LAW: 19 x 25 SS (L6-6). constricted lower arch to help with the deficient transverse on the upper arch. Step up bend on the LR3 and LL5 OJ = 2 mm. no anterior coupling present OB = 2 mm Elastics: class 2 delta left (3-3-7) and class 2 right ( 3-3-7) kangaroo Midline: coincident Right: class 2 canine .25 mm Left: class 2 .25 mm Attending: [DOCTOR] NV - assess AP correction; assess if anterior coupling present and that bite has closed on the posterior right</t>
  </si>
  <si>
    <t xml:space="preserve">Dec 20/18</t>
  </si>
  <si>
    <t xml:space="preserve">Appliance Adjustment MDH updated- no changes Pt arrives on time. Pleasant demeanor Clinical Note: Space closed between the L1's Good elastic use Contact present on the L6's but not on the L5's or L3's UAW: 19 x 25 SS.Extrude upper left 3, with upper left 3 cant down bend. LAW: 19 x 25 SS (L6-6). Lower left 3 cant up bend to compensate for lower incisors that are canted OJ = 2 mm. no anterior coupling present OB = 2 mm Elastics: delta left (3-3-4) and class 2 right ( 3-3-7) kangaroo Midline: coincident Right: class 1 canine Left: class 3 canine Attending: [DOCTOR] NV - assess if anterior coupling present and that lower incisors have uncanted</t>
  </si>
  <si>
    <t xml:space="preserve">Feb 7/19</t>
  </si>
  <si>
    <t xml:space="preserve">Appliance Adjustment MDH updated- no changes Pt arrives on time. Pleasant demeanor Clinical Note: Lower incisors have uncanted Elastics use: average. reinforced. UAW: 19 x 25 SS.Extrude upper left 3, with upper left 3 cant down bend. LAW: 19 x 25 SS (L6-6). Accentuated lower 2-2 to extrude lowers and close bite more OJ = 2 mm. no anterior coupling present OB = 2 mm Elastics: class 3 elastics left, class 2 elastics right Midline: coincident Right: class 2 canine, 1 mm Left: class 3 canine, 2 mm Attending: [DOCTOR] NV - appliance adjustment; check class 3 correction on the left and class 2 correction on the right</t>
  </si>
  <si>
    <t xml:space="preserve">Anterior Extrusion</t>
  </si>
  <si>
    <t xml:space="preserve">Mar 7/19</t>
  </si>
  <si>
    <t xml:space="preserve">Appliance Adjustment MDH updated- no changes Pt arrives on time. Pleasant demeanor Clinical Note: Elastics use: average. reinforced. Coordinated the arches more: Rolled out UL side, rolled in UR side, tucked in LL prescribed midline elastics to help the uneven OJ (UR3-LL3) UAW: 19 x 25 SS.Extrude upper left 3, with upper left 3 cant down bend. LAW: 19 x 25 SS (L6-6). Accentuated lower 2-2 to extrude lowers and close bite more OJ = 2 mm. no anterior coupling present OB = 2 mm Elastics: class 3 elastics left, class 2 elastics right ; prescribed midline elastics to help the uneven OJ (UR3-LL3) Midline: coincident Right: class 2 canine, 1 mm Left: class 3 canine, 1.5 mm Attending: [DOCTOR] NV - appliance adjustment; check class 3 correction on the left and class 2 correction on the right</t>
  </si>
  <si>
    <t xml:space="preserve">Apr 25/19</t>
  </si>
  <si>
    <t xml:space="preserve">Appliance Adjustment MDH updated- no changes Pt arrives on time. Pleasant demeanor Clinical Note: Elastics use: poor. patient and mom reported no/minmal elastic use Class 2 correction on the right: none Class 3 correction on the left: none At this point, we just want to finish the case. Cut wire distal to the U4's to let the posteriors sock in UAW: 19 x 25 SS.Extrude upper left 3, with upper left 3 cant down bend. Triangle elastic UL4-UL3-LL4-LL3. Removed U6' bands LAW: 19 x 25 SS (L6-6). Accentuated lower 2-2 to extrude lowers and close bite more OJ = 2 mm. no anterior coupling present OB = 2 mm Elastics: no more AP elastics ; midline elastics to help the uneven OJ (UR3-LL3) ; boX elastics left, delta elastic right Midline: coincident Right: class 2 canine, 1 mm Left: class 3 canine, 1.5 mm Attending: [DOCTOR] NV - appliance adjustment; check class 3 correction on the left and class 2 correction on the right</t>
  </si>
  <si>
    <t xml:space="preserve">poor</t>
  </si>
  <si>
    <t xml:space="preserve">May 23/19</t>
  </si>
  <si>
    <t xml:space="preserve">Appliance Adjustment MDH updated- no changes Pt arrives on time. Pleasant demeanor Clinical Note: Elastics use: improved Posterior right has socked in nicely - will evaluate for debond at the next appointment UAW: 19 x 25 SS. Extrude upper left 3, with upper left 3 cant down bend. Triangle elastic UL4-UL3-LL4-LL3. Removed U6' bands LAW: 19 x 25 SS (L6-6). Accentuated lower 2-2 to extrude lowers and close bite even more OJ = 2 mm. no anterior coupling present OB = 2 mm Midline: coincident Elastics: continue boX elastics left, vertical (3-3-4) delta triangle right Midline: coincident Right: class 2 canine, 1 mm Left: class 3 canine, 1.5 mm Attending: [DOCTOR] NV - evaluate for debond</t>
  </si>
  <si>
    <t xml:space="preserve">Jun 25/19</t>
  </si>
  <si>
    <t xml:space="preserve">Appliance Adjustment MDH updated- no changes Pt arrives on time. Pleasant demeanor Clinical Note: Update to previous failed appointment: spoke with mom regarding third failed appointment. Informed mom that we would have to take off braces as patient has already been in braces and we are just prolonging treatment at this point Prescribed finishing elastics and cut U/L wire distal to the 2's. Instructed patient to wear the following elastics: -Trapezoid U1-1 - L2-2, NTO -Lingual UL3-4 to LL4-5 -Buccal UL6-7 to LL6-5 UAW: 19 x 25 SS from 2-2 LAW: 19 x 25 SS from 2-2 OJ = 2 mm OB = 2 mm Midline: deviated to the right 1 mm Elastics: see above for prescribed elastics Midline: coincident Right: class 2 canine, 1 mm Left: class 3 canine, 1.5 mm Attending: [DOCTOR] NV - debond</t>
  </si>
  <si>
    <t xml:space="preserve">Aug 1/19</t>
  </si>
  <si>
    <t xml:space="preserve">Aug 1/19 D0470F C Final Diagnostic Casts Both
Debond appt All contract and paperwork signed Clinical Note: Lower midline deviated to the right 1 mm Occlusion not ideal, ending slightly class 2 on the right and slightly class 3 on the left. Because of failed appointments and length of treatment (3.5 years to date), need to debond and get patient out of braces OJ = 2 mm OB = 2 mm U6's are rotated mesial in Pt and mom content with position of teeth and would like to have braces removed. Removed braces and removed excess composite with high speed bur and polished crowns with polishing burs Retainer prescribed: trutain's for open bite tendency Attending: Dr [DOCTOR] NV - retainer delivery</t>
  </si>
  <si>
    <t xml:space="preserve">Aug 20/19</t>
  </si>
  <si>
    <t xml:space="preserve">TT retainer delivery appt Excelelnt fit instructed patient to wear full time NV - 1 month retainer check</t>
  </si>
  <si>
    <t xml:space="preserve">Sep 18/19</t>
  </si>
  <si>
    <t xml:space="preserve">Excelelnt fit. No relapse noted instructed patient to wear NTO Attending:  NV - 6 month retainer check</t>
  </si>
  <si>
    <t xml:space="preserve">Feb 16/16</t>
  </si>
  <si>
    <t xml:space="preserve">Ortho Consult: Pt. presented with [GUARDIAN] for consult, "i need braces because my lower teeth are crooked". RMH Asthma new pt. exam completed. HLD filled but will not qualify. Pt is interested in starting TX anyway. NV. Records</t>
  </si>
  <si>
    <t xml:space="preserve">Apr 19/16</t>
  </si>
  <si>
    <t xml:space="preserve">Ortho Appt: U: AO self ligating 0.022 0.014 CuNiTi L: AO self ligating 0.022 0.014 CuNiTi Bite turbos on L6s NV. Progress</t>
  </si>
  <si>
    <t xml:space="preserve">AO Self Ligating 0.22"</t>
  </si>
  <si>
    <t xml:space="preserve">Jun 14/16</t>
  </si>
  <si>
    <t xml:space="preserve">Ortho Progress: U: 0.018 medium CuNiTi L: 0.014 broad CuNiTi, 0.3mm IPR L1s NV. Progress
</t>
  </si>
  <si>
    <t xml:space="preserve">Jul 26/16</t>
  </si>
  <si>
    <t xml:space="preserve">Ortho Progress: Pt. presented with [GUARDIAN] for Ortho visit. RMH, NSF. Pt. and [GUARDIAN] are very happy with the progress. OH is good, so we gave her o-ties. U: Moved to 18x25 NiTi broad L: moved to 0.018 round broad NV. progress and evaluate for the timing of pano, repo and bonding 7s.</t>
  </si>
  <si>
    <t xml:space="preserve">Jul 27/16</t>
  </si>
  <si>
    <t xml:space="preserve">Progress Ortho: Replaced wire after pedo visit. several upper bracjets were broken. tied with o-ties, NV. replace U brackets.</t>
  </si>
  <si>
    <t xml:space="preserve">Oct 4/16</t>
  </si>
  <si>
    <t xml:space="preserve">Ortho Progress: Pt. presented with [GUARDIAN] for Ortho visit. RMH, NSF. Pt. and [GUARDIAN] are very happy with the progress. OH is ok, not been flossing, flossing emphasized U: Moved to 16x22 SSreduced power chain L: moved to 16x22 NiTi' NV. take pano and adjustment</t>
  </si>
  <si>
    <t xml:space="preserve">Nov 29/16</t>
  </si>
  <si>
    <t xml:space="preserve">Ortho Progress: U: Repo, UR3 mesial root tip. UR2 and UL2 moved gingival UR4, UR5 doors broken, replaced.U7s bonded. 0.016 NiTi L: Repo, LR1 more gingival to extrude slightly, LL2 more gingival LL4 door broken, LR5 and LL5 more mesial to de-rotate. 7s bonded. 0.016 NiTi OH had drammatically deterioratred. White spots noted. OHI given, bleeding noted. Pt. to use MI paste. NV. progress in 7wks</t>
  </si>
  <si>
    <t xml:space="preserve">Dec 6/16</t>
  </si>
  <si>
    <t xml:space="preserve">Took photos.
</t>
  </si>
  <si>
    <t xml:space="preserve">Jan 17/17</t>
  </si>
  <si>
    <t xml:space="preserve">Took photos.
Ortho Progress: OH is doing much better, been using MI paste. U: moved to 0.018x0.018 NiTi L: 0.018 NiTi. NV. progress</t>
  </si>
  <si>
    <t xml:space="preserve">0.018"x0.018"</t>
  </si>
  <si>
    <t xml:space="preserve">Mar 7/17</t>
  </si>
  <si>
    <t xml:space="preserve">Ortho Progress: OH is doing much better. U: moved to 18x25 NiTi L: 0.018x0.018 NiTi. LR2 had been debonded, NV. progress</t>
  </si>
  <si>
    <t xml:space="preserve">Apr 10/17</t>
  </si>
  <si>
    <t xml:space="preserve">Ortho Progress: OH is doing much better. but emphasized on the back teeth. U: moved to 17x25 SS, closed PC 6-6 L: 18x25 NiTi, NV. evaluate for removing bite turbos</t>
  </si>
  <si>
    <t xml:space="preserve">May 23/17</t>
  </si>
  <si>
    <t xml:space="preserve">Ortho Progress: U: stayed in 17x25 SS, closed PC 6-6 L: stayed in18x25 NiTi, closed PC 6-6 Class III elastiocs 3/16" 4.5 oz R side only.</t>
  </si>
  <si>
    <t xml:space="preserve">Jun 27/17</t>
  </si>
  <si>
    <t xml:space="preserve">Ortho Progress: [DOCTOR] 2mm of space between UR1-2 present, pt. and [GUARDIAN] advised that we can not close the space and do more class II correction without IPR on lower arch. They agreed to IPR. [DOCTOR] would like 2mm of IPR 3-3 and maybe more on R side U: 18x25 SS, closed PC 6-6 (2mm of space between UR1-2 present) L: 17x25 SS, closed PC 6-6. 1.4mm of IPR performed 3-3 more on R side. Full time class II elastics given. 3/16" 4.5oz bilaterally. Pt. and [GUARDIAN] undrestand that this is citical to the correction needed. NV. After pedo appointment</t>
  </si>
  <si>
    <t xml:space="preserve">Aug 15/17</t>
  </si>
  <si>
    <t xml:space="preserve">Ortho Progress: [DOCTOR] space on upper arch is completely closed. OJ is about 3mm OB 2mm U: added 45 degree of lingual crown torque to UL5 17x25 TMA L: repoed LL5 more gingivally to extrude. ClassII elastics both sides 3.16" 4.5oz full time NV. Pictures and progress</t>
  </si>
  <si>
    <t xml:space="preserve">Aug 23/17</t>
  </si>
  <si>
    <t xml:space="preserve">Placing archwire back after cleaning [DOCTOR] U: kept 45 degree of lingual crown torque to UL5 17x25 TMA, PC closed 6-6 L: went up to 15x25 CuNiTi, PC closed 6-6 ClassII elastics both sides 3.16" 4.5oz full time NV. Pictures and progress</t>
  </si>
  <si>
    <t xml:space="preserve">0.015"x0.025"</t>
  </si>
  <si>
    <t xml:space="preserve">Sep 26/17</t>
  </si>
  <si>
    <t xml:space="preserve">Pt. missed her last apppintment last week. I have called and left several messages and also emailed [GUARDIAN] and offered appointment for today and this week. Pt. is ABO can only be seen by [DOCTOR].</t>
  </si>
  <si>
    <t xml:space="preserve"> Sep 29/17</t>
  </si>
  <si>
    <t xml:space="preserve">Ortho Progress Saw pt. with [DOCTOR] as [DOCTOR] was out this week. Pt. reports not wearing elastics, 2more mm of Class II correction needed on canines. Encouraged her to wear elastics. We had looked at the case as potential ABO but we doubt we can finish on time without elastics wear. Pt. to be transferred. Filled out transfer form and left on [DOCTOR] desk. U: kept 45 degree of lingual crown torque to UL5 17x25 TMA, stepped down both U6s L: went up to 17x25 TMA, Stepped down both 6s ClassII elastics both sides 3.16" 4.5oz full time, pictures taken at this visit.</t>
  </si>
  <si>
    <t xml:space="preserve">Nov 28/17</t>
  </si>
  <si>
    <t xml:space="preserve">Patient presents for appliance adjustment. Patient arrived on time: yes Minor patient accompanied by: [GUARDIAN] and [GUARDIAN] Significant Med/Dental Hx/Changes Med/Dental Hx: no, pt reports last prophy was 2 months ago Presenting OH: Needs improvement Alerts if any: * Describe if other alert: * Prophy needed? No Radiogrraph needed? Yes Faculty assigned: [DOCTOR] Covering faculty if different from assigned; * Compliance: Poor Molar/Canine: class I R, slight class II L OJ/OB: slightly excess OJ Treatment progress evaluation: needs more class II correction on L, need to close upper spaces, need some finishing bends UAW: 17 x 25 TMA, reduced PC 6-6 LAW: 17 x 25 TMA Elastics: class II kangaroo L side only FT Appointment notes: First time seeing pt [GUARDIAN] expressed concern that pt hadn't been seen for an appointment in a couple of months, but I was never made aware that this pt was transferred to me. I reassured [GUARDIAN] that I would be taking over pt's tx and that we would schedule appts regularly from now on. Had lengthy discussion with [GUARDIAN] and pt about wearing elastics. They all understand that elastics are critical and need to be worn FT. Pt was given extra elastics to take to school and instructed to change to new elastics after eating. Finishing bends: UL5 distal down (occlusal) UL1 mesial out L5s distal up (occlusal) LL5 attempted distal out bend but was difficult due to severity of step bend. consider repo to correct rotation Pt will get 8x8 CBCT at NV since none has been taken during tx NV: 8x8 CBCT, continue finishing</t>
  </si>
  <si>
    <t xml:space="preserve">Dec 19/17</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</si>
  <si>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taken today Faculty assigned: [DOCTOR] Covering faculty if different from assigned; * Compliance: good Molar/Canine: some class II correction needed on L OJ/OB: some excess OJ still Treatment progress evaluation: took progress 8x8 CBCT today, needs a couple of repos pt reports she wore elastics every day, good job UAW: 17 x 25 TMA, reduced PC 6-6 LAW: 17 x 25 TMA Elastics: class II kangaroo L side only FT Appointment notes: took progress radiograph, following teeth need repos: UR6 distal root tip UR5 mesial root tip UL5 extrusion and check rotation UL6 LL5 and 6 for marginal ridge discrepancy check LR5/6, may be ok to leave as is LR2 mesial root tip Added buccal root torque to U7s NV: repos</t>
  </si>
  <si>
    <t xml:space="preserve">Jan 9/18</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</si>
  <si>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Faculty assigned: [DOCTOR] Covering faculty if different from assigned; [DOCTOR] Compliance: average Molar/Canine: slight class II on left, class I on R OJ/OB: slight excess OJ Treatment progress evaluation: PAN/REPO today UAW: .016 NiTi LAW: .016 NiTi Elastics: discontinue for now Appointment notes: Repo'd: all 5s and 6s UL3 LR2 used Damon 6s note: will need to enameloplasty DLMR of UR1 NV: step up wires</t>
  </si>
  <si>
    <t xml:space="preserve">Feb 6/18</t>
  </si>
  <si>
    <t xml:space="preserve">Patient presents for appliance adjustment. Patient arrived on time: yes Minor patient accompanied by: [GUARDIAN] Significant Med/Dental Hx/Changes Med/Dental Hx: no Presenting OH: average Alerts if any: * Describe if other alert: * Prophy needed? no Radiogrraph needed? no Faculty assigned: [DOCTOR] Covering faculty if different from assigned; * Compliance: average Molar/Canine: slightly class II L, class I R OJ/OB: slight excess OJ Treatment progress evaluation: repo'd LV UAW: .016 NiTi LAW: .016 NiTi Elastics: none Appointment notes: Pt presented with LL6 debonded, rebonded with Damon standard torque Door on LL3 bracket is broken, will need replacement Placement of U6s, LR1, and UL3 needs improvement, repo at NV NV: repo U6s, UL3, LL3, LR1
</t>
  </si>
  <si>
    <t xml:space="preserve">Mar 13/18</t>
  </si>
  <si>
    <t xml:space="preserve">Patient presents for appliance adjustment. Patient arrived on time: yes Minor patient accompanied by: [GUARDIAN] Significant Med/Dental Hx/Changes Med/Dental Hx: no Presenting OH: average Alerts if any: * Describe if other alert: * Prophy needed? yes Radiogrraph needed? no Faculty assigned: [DOCTOR] Covering faculty if different from assigned; * Compliance: average Molar/Canine: slightly class II L, class I R OJ/OB: slight excess OJ Treatment progress evaluation: * UAW: .018 NiTi LAW: .018 NiTi Elastics: none Appointment notes: repo'd: U6s LL3 LR1 pt is due for a prophy, will schedule NV: step up wires</t>
  </si>
  <si>
    <t xml:space="preserve">Mar 22/18</t>
  </si>
  <si>
    <t xml:space="preserve">Patient presents for comfort visit. Patient arrived on time: yes Minor patient accompanied by: [GUARDIAN] CC: poking wire Appointment notes: shifted lower wire back to the right so it would not poke added stops to U/L wires to prevent wire from shifting again Faculty: * NV: as scheduled, step up wires</t>
  </si>
  <si>
    <t xml:space="preserve">Apr 17/18</t>
  </si>
  <si>
    <t xml:space="preserve">Patient presents for appliance adjustment. Patient arrived on time: yes Minor patient accompanied by: [GUARDIAN] Significant Med/Dental Hx/Changes Med/Dental Hx: n/a Presenting OH: average Alerts if any: * Describe if other alert: * Prophy needed? yes Radiogrraph needed? no Faculty assigned: [DOCTOR] Covering faculty if different from assigned; * Compliance: good Molar/Canine: close to class I OJ/OB: 3/3mm Treatment progress evaluation: * UAW: 17 x 25 NiTi LAW: 17 x 25 NiTi Elastics: none Appointment notes: stepped up wires [GUARDIAN] will schedule prophy pt is graduating this year, going to [school] next year. has placement exam in Math this Saturday NV: TMA wires</t>
  </si>
  <si>
    <t xml:space="preserve">Jun 12/18</t>
  </si>
  <si>
    <t xml:space="preserve">Patient presents for appliance adjustment. Patient arrived on time: yes Minor patient accompanied by: [GUARDIAN] Significant Med/Dental Hx/Changes Med/Dental Hx: no Presenting OH: needs improvement Alerts if any: * Describe if other alert: * Prophy needed? yes Radiogrraph needed? no Faculty assigned: [DOCTOR] Covering faculty if different from assigned; * Compliance: average Molar/Canine: slightly class II on L, good occl on R OJ/OB: ~3/3mm Treatment progress evaluation: some space opened distal to UR2 UAW: 19 x 25 TMA, PC 6-6 LAW: 19 x 25 TMA Elastics: kangaroo Left: class II U3-L6, Right: triangle U3-L3-4 full time Appointment notes: finishing bends: step up LL5, LL7 LL3 distal root tip UL4 buccal root torque watch marginal ridges between UL5-6 (UL5 may need distal down, DR tip) encouraged good elastic use!! walked pt over to make appt with dentist here. pt will need to be transferred from pedo to main clinic. appt made for initial visit, encouraged good OH. pt is in summer school for enrichment she is starting high school in the fall. she is going to the same high school that her  [GUARDIAN] went to. she is kind of nervous to start high school, but has some friends that will be in her same class. NV: continue finishing</t>
  </si>
  <si>
    <t xml:space="preserve">Jul 17/18</t>
  </si>
  <si>
    <t xml:space="preserve">Patient presents for appliance adjustment. Patient arrived on time: yes Minor patient accompanied by: [GUARDIAN] Significant Med/Dental Hx/Changes Med/Dental Hx: no Presenting OH: needs improvement Alerts if any: * Describe if other alert: * Prophy needed? yes Radiogrraph needed? no Faculty assigned: [DOCTOR] Covering faculty if different from assigned; * Compliance: average/needs improvement Molar/Canine: slightly class II on L, good class I R OJ/OB: 3/3mm approx Treatment progress evaluation: finishing UAW: 19 x 25 TMA, PC6-6 LAW: 19 x 25 TMA, PC6-6 Elastics: kangaroo Left: class II U3-L6 Right: triangle U3-L3-4 full time Appointment notes: there is space mesial to UR2 and some space L1-1 enameloplasty lingual marginal ridges of U2-2 where lower incisors were occluding repo'd LL1 bracket more gingivally to help extrude and give more clearance between bracket and upper teeth extrude UL4 buccal root torque UL4-5 bent a step down for LL1 to make the wire more passive -- will need to extrude tooth NV decided to leave root of UR3 where it is because the tooth is in good class I occlusion (the root is slightly mesial) pt just finished summer school last Friday. She is enjoying spending time in bed for the rest of the summer and watching Netflix. She finished her summer reading for next year during summer school. Instructed pt to floss more (gave floss threaders) and wear her elastics more (pt reports wearing them every other day) NV: extrude LL1, continue finishing bends</t>
  </si>
  <si>
    <t xml:space="preserve">Aug 7/18</t>
  </si>
  <si>
    <t xml:space="preserve">Patient presents for appliance adjustment. Patient arrived on time: yes, early Minor patient accompanied by: [GUARDIAN] Significant Med/Dental Hx/Changes Med/Dental Hx: pt has an appt with main clinic dentist on Thursday Presenting OH: needs improvement Alerts if any: * Describe if other alert: * Prophy needed? yes Radiogrraph needed? at debond Faculty assigned: [DOCTOR] Covering faculty if different from assigned; * Compliance: average Molar/Canine: class II L a little bit OJ/OB: 3/3mm approx Treatment progress evaluation: finishing UAW: 19 x 25 TMA, PC6-6 LAW: 19 x 25 TMA, PC6-6 Elastics: kangaroo Left: class II U3-L6 Right: Triangle U3-L3-4 full time Appointment notes: still some space mesial to UR2 (less than .5mm) noted fremitus of UL2 enameloplasty lingual marginal ridges of U2-2 where teeth were contacting fremitus of UL2 was relieved pt is happy with outcome, just need to close residual space NV: eval for debond</t>
  </si>
  <si>
    <t xml:space="preserve">Aug 23/18</t>
  </si>
  <si>
    <t xml:space="preserve">[DOCTOR] and [DOCTOR] today to discuss treatment. She needs closure of residual spaces. NV with me and then I will transfer to [DOCTOR].
[DOCTOR] and [DOCTOR] today to discuss treatment. She needs closure of residual spaces.</t>
  </si>
  <si>
    <t xml:space="preserve">Aug 28/18</t>
  </si>
  <si>
    <t xml:space="preserve">Patient presents for appliance adjustment. Patient arrived on time: yes Minor patient accompanied by: [GUARDIAN] Significant Med/Dental Hx/Changes Med/Dental Hx: no Presenting OH: average Alerts if any: * Describe if other alert: * Prophy needed? yes Radiogrraph needed? at debond Faculty assigned: [DOCTOR] Covering faculty if different from assigned; * Compliance: average Molar/Canine: slightly class II on L OJ/OB: * Treatment progress evaluation: finishing, need upper space closure UAW: 19 x 25 TMA, PC6-6 LAW: 19 x 25 TMA, PC 6-6 Elastics: kangaroo R triangle U3-L3-4 L class II FT Appointment notes: stepped down (intruded) L2-2 to give more clearance from bracket on LR2 that appears to be interfering and preventing space closure distal to UR1. pt just has a little more space to close in upper arch NV: assess upper space closure</t>
  </si>
  <si>
    <t xml:space="preserve">tma</t>
  </si>
  <si>
    <t xml:space="preserve">Sep 25/18</t>
  </si>
  <si>
    <t xml:space="preserve">Patient presents for appliance adjustment. Patient arrived on time: yes Minor patient accompanied by: [GUARDIAN] Significant Med/Dental Hx/Changes Med/Dental Hx: no updates reported Presenting OH: poor Alerts if any: * Describe if other alert: * Prophy needed? yes Radiogrraph needed? no Faculty assigned: [DOCTOR] Covering faculty if different from assigned; * Compliance: poor as reported Molar/Canine: I/I OJ/OB: 2/2 Treatment progress evaluation: teeth are well aligned, some minor adjustmentst to ideal upper 2-2 needed and to close bite at premolars. UAW: 019x025 reduced PC 6-6 LAW: 019x025 closes PC 6-6 Elastics: right triangle at upper 3 to lower 3-4 Appointment notes: remooved upper and lower archwire. Alwoed patient to brush and floss. placed detal bends. discussed improtance of home care. Would like to complete tratment at next visist. NV: Eval for debond, continue detail if needed</t>
  </si>
  <si>
    <t xml:space="preserve">Nov 6/18</t>
  </si>
  <si>
    <t xml:space="preserve">Nov 6/18 D0470F C Final Diagnostic Casts Both
Clinic:
Took U/L impressions for retainers
Patient presents today for: Treatment completion Form signed: Treatment completion Patient arrived on time? yes Minor patient accompanied by: [GUARDIAN] Significant Med Hx: Asthma, no updates Changes Med Hx: nu updates Dental Hx Changes: * Prophy needed: * Radiograph needed: * Presenting OH: * Compliance: * Alerts: * Describe if Other Alert * Assigned Faculty: * Covering Faculty: * Removed: * Describe if Other * Appointment notes including results deviating from ideal: * NV: *</t>
  </si>
  <si>
    <t xml:space="preserve">Nov 12/18</t>
  </si>
  <si>
    <t xml:space="preserve">Patient arrived for delivery of retainers. Patient arrived on time: yes Minor patient accompanied by: [GUARDIAN] Significant Med/Dental Hx/Changes Med/Dental Hx: no updates reported Presenting OH: fair Alerts if any: * Faculty assigned: [DOCTOR] Covering faculty if different from assigned; * Type of retainers delivered:: upper lower hawley Retention protocol: full time wear Appointments notes: teeth all well aligned and nor spaces open. lower 1-1 level but angled incisal edge due to contour on LR1. Adjusted retainers to proper wire contact on anteriors. both are retentive. Patient reported comfort. NV: 1 month retainer eval</t>
  </si>
  <si>
    <t xml:space="preserve">Feb 11/14</t>
  </si>
  <si>
    <t xml:space="preserve">Pt presented for initial band and bond Bonded U and L 5-5 Damon Q Brackets. Low torque U L 2-2 and High torque 3's. Used AO 6 Molar tubes Placed U and L 0.14 Niti Wire. Advised pt to wear U3 to L6 parrot elastics full time. NV: Assess leveling and alignment and Class II and OJ</t>
  </si>
  <si>
    <t xml:space="preserve">Parrot</t>
  </si>
  <si>
    <t xml:space="preserve">Apr 1/14</t>
  </si>
  <si>
    <t xml:space="preserve">App adjut 0.14 Niti not fully expressed- Stay in 0.14 NITI U and L Contine Class II Parrot Elastics NV: Consider bonding 7's, check rotations.</t>
  </si>
  <si>
    <t xml:space="preserve">Apr 17/14</t>
  </si>
  <si>
    <t xml:space="preserve">Pt presented for Comfort visit U 6's debonded Rebonded AO Molar Tubes As leveling and aligning progresses, noted that patient seems protrusive. Lips are incompetent and pt shows 80-90% of his incisors at rest. Upper and lower lip are far in front of E line. Spoke to both mother and patient, showed my findings, and spoke to them both about treatment options. Showed them a case similar to Julians where teeth were extracted, and mother and patient were leaning towards taking out teeth. Mother reports she had teeth removed when she had braces, and she understood that it would improve his profile and lip competence. Will discuss with [DOCTOR], and possibly give RX for extractions</t>
  </si>
  <si>
    <t xml:space="preserve">May 13/14</t>
  </si>
  <si>
    <t xml:space="preserve">Placed 0.18 Damon CuNiti U and L After discussion with patient, parent, and [DOCTOR], decided to extract U and L 4's to improve protrusion and lip competence. Gave RX for extractions. PT has OS apt 5/21. NV: Add 7's</t>
  </si>
  <si>
    <t xml:space="preserve">May 20/14</t>
  </si>
  <si>
    <t xml:space="preserve">App adjut 0.14 Niti not fully expressed- Stay in 0.14 NITI U and L Contine Class II Parrot Elastics NV: Consider bonding 7's, check rotations.
Pt presented for Comfort visit U 6's debonded Rebonded AO Molar Tubes As leveling and aligning progresses, noted that patient seems protrusive. Lips are incompetent and pt shows 80-90% of his incisors at rest. Upper and lower lip are far in front of E line. Spoke to both mother and patient, showed my findings, and spoke to them both about treatment options. Showed them a case similar to Julians where teeth were extracted, and mother and patient were leaning towards taking out teeth. Mother reports she had teeth removed when she had braces, and she understood that it would improve his profile and lip competence. Did not receive start check because window for start check ran out. Pt was seen by faculty indicated Will discuss with [DOCTOR], and possibly give RX for extractions</t>
  </si>
  <si>
    <t xml:space="preserve">May 21/14</t>
  </si>
  <si>
    <t xml:space="preserve">Removed U and L wires for extraction of U and L 4's
Replaced archwires.</t>
  </si>
  <si>
    <t xml:space="preserve">May 23/14</t>
  </si>
  <si>
    <t xml:space="preserve">Start check was not gotten because appt scheduled was only 15 minutes and by the time I ([DOCTOR]) was asked to fill in for [DOCTOR] to replace the wires, the start check period was over.</t>
  </si>
  <si>
    <t xml:space="preserve">Jun 24/14</t>
  </si>
  <si>
    <t xml:space="preserve">Fit U6 bands and took upper pickup impression for RPE</t>
  </si>
  <si>
    <t xml:space="preserve">RPE</t>
  </si>
  <si>
    <t xml:space="preserve">Jun 25/14</t>
  </si>
  <si>
    <t xml:space="preserve">Bonded U 7's. Was unable to bond UR7 U and L 14x25 NITI Discussed space closure with [DOCTOR]- will likely do reciprocal with NITI springs NV: Bond UR7Move to heavier wire</t>
  </si>
  <si>
    <t xml:space="preserve">Aug 5/14</t>
  </si>
  <si>
    <t xml:space="preserve">Bonded UR7 and Lower 7's. Pt was biting on L 7's so placed bite turbos on L6's U and L 18x25 NV: 19x25 SS and space closure</t>
  </si>
  <si>
    <t xml:space="preserve">Oct 7/14</t>
  </si>
  <si>
    <t xml:space="preserve">Rebonded UL7 Powerchained U and L 3-3 to consolidate anterior segment NV: SS wires and maximum anchorage with gable bend and NITI coil springs. If losing anchorage, consider TADS for indirect anchorage</t>
  </si>
  <si>
    <t xml:space="preserve">Oct 28/14</t>
  </si>
  <si>
    <t xml:space="preserve">Bent lower 19x25 TMA with T closing loops distal to L3's Added labial crown torque to L3-3 Placed gable bend down to L posteriors When activating R side, LR7 debonded. Placed LR7 band and cemented. Activated R and L side approx 6-8mm and cinched back NV: Place Upper TADs between 5 and 6- 17x25 SS and NITI springs</t>
  </si>
  <si>
    <t xml:space="preserve">Worked with [DOCTOR]-LL7 had debonded- Determined L closing loops only had to go to 6's On lower re-bent closing loops and added differential moment on posterior Laced L7-5 U- Decided to do canine retraction first 17x25 SS Laced U7-5- removed lacing 3-3 Placed NITI coil spring from U3 to U6 After U3 halfway retracted- can place prebent reverse curve TMA with closing loops NV: Watch torque control on L anterior, reactivate closing loops, check anchorage, monitor anterior torque</t>
  </si>
  <si>
    <t xml:space="preserve">Jan 20/15</t>
  </si>
  <si>
    <t xml:space="preserve">Spaces halfway closed. Moved U niti coil spring to U7 Instructed pt to continue class II elastics Reactivated L closing loops- more on L than on R Powerchain U2-2 NV: 2 loop TMA wire on U to close U 2-2. Reactivate closing Loops on L. Check U midline. Maybe activate closing loops on U one side more than other</t>
  </si>
  <si>
    <t xml:space="preserve">Feb 24/15</t>
  </si>
  <si>
    <t xml:space="preserve">Took photos.
Pt reports he has not been wearign class II elastics Space closed distal to UL3, space remains UR3 L spaces now more symmetrical, activated lower closing loops equally Removed U lacing U- Inadequate OJ to close U2-2 spaces. Activated lower only to generate OJ to make room to close space. PC U7-3. Laced U2-2 NV: Check space distal to UL3. Check canine relationship. 2 loop TMa wire on U to close 2-2. Add anterior torque? Had low torque Brackets on U. Step up Upper 2-2 when closing space. Check lower spaces. Remove bite turbos?</t>
  </si>
  <si>
    <t xml:space="preserve">Powerchain Upper, Steel Lacing Upper</t>
  </si>
  <si>
    <t xml:space="preserve">Mar 31/15</t>
  </si>
  <si>
    <t xml:space="preserve">Reactivated lower closing loops U- 19x25 2 loop TMA with reverse curve. Stepped up U2-2. Be aware U 2-2 are low torque brackets- may need to change at repo Pt open from 6-4. Removed bite turbos. NV: Check open bite, check proclination and intrusion of U incisors, check Class I canine and molar? Check L space closure and if OJ is present to continue to retract U anterior
</t>
  </si>
  <si>
    <t xml:space="preserve">Apr 28/15</t>
  </si>
  <si>
    <t xml:space="preserve">OJ on lower present to close U spaces. Removed U7's from wire. Will wait to further activate closing loops until NV. Will leave U7's off wire to prevent further bite opening L- small space remains distal to LL3. L midline to R L curve needs leveling- placed 19x25 reverse curve NITI NV: Check lower leveling. Check OJ. Once U spaces closed, will need to do full repo. Check U and L Midline</t>
  </si>
  <si>
    <t xml:space="preserve">Jun 2/15</t>
  </si>
  <si>
    <t xml:space="preserve">Some OJ now present to close U spaces. Midline is on and lower spaces closed U- Activated R and L closing loops L- 19x25 SS with reverse curve to further level COS NV: Some space distal to UR3, may need to close later. Pt needs full pano repo. NV full pano/repo. After pano/repo, assess occlusion</t>
  </si>
  <si>
    <t xml:space="preserve">Aug 19/15</t>
  </si>
  <si>
    <t xml:space="preserve">Took photos.
Last Visit- Removed U and L appliances and bonded U and L MBT Victory Brackets 7-7 This visit- Placed 19x25 TMA U and L and PC U and L</t>
  </si>
  <si>
    <t xml:space="preserve">0.012"</t>
  </si>
  <si>
    <t xml:space="preserve">Dec 18/15</t>
  </si>
  <si>
    <t xml:space="preserve">Dec 18/15 D0470F C Final Diagnostic Casts Both
Clinic:
Debonded- U and L trutains. Will retake records on retainer delivery</t>
  </si>
  <si>
    <t xml:space="preserve">Feb 12/16</t>
  </si>
  <si>
    <t xml:space="preserve">Debonded- U and L trutains. Will retake records on retainer delivery</t>
  </si>
  <si>
    <t xml:space="preserve">Mar 11/16</t>
  </si>
  <si>
    <t xml:space="preserve">pt presented with mom. ret wear excellent. told to wear full time. nv: 3 mo ret chk. sched in 2 mos;
</t>
  </si>
  <si>
    <t xml:space="preserve">May 25/16</t>
  </si>
  <si>
    <t xml:space="preserve">del vivera ret's. told pt to wear full time for 1 mo then only at nights for 5 mos. nv: 9 mo ret chk</t>
  </si>
  <si>
    <t xml:space="preserve">RETAINER CHECK Patient appears to be wearing well. Slight diastema U1-1 observed. Patient not concerned yet - will re-evaluate at next retainer check.</t>
  </si>
  <si>
    <t xml:space="preserve">Feb 10/14</t>
  </si>
  <si>
    <t xml:space="preserve">NP exam. CC: Dentist in Spain said that pt has an arch developing earlier than the other arch. Referred them to see an orthodontist. MHx: NSF, NKDA. Convex profile with mid-mixed dentition (still has upper C-E's and lower E's, no mobility on primary dentition). End-on Class II-div 2 canines and molars. OJ: 6 mm/OB: 5 mm. Coincident Mx midline and Mn midline deviated 2 mm to left. Sufficient space on lower arch and 4 mm of spacing on the upper arch due to peg laterals. Repose: 4 mm/ Animation: 100%. Good hygiene. No TMJ issues. Mother brought panoramic taken in Dec 2013. Sent pt to the pediatric clinic to become a pt of record and gave her referral for extractions of upper C's. Seen with [DOCTOR]. Recommended extractions of at least the C's and maybe the D's. Ideally, extract all the primary dentition to allow for permanent dentition to erupt early. Then take advantage of the growth potential in the pt to allow for favorable mandibular growth and achieve Class I molar occlusion. Decided to start with the upper C's and then re-evaluate in 6 months. NV: Evaluate dentition and the eruption of the upper 3's.</t>
  </si>
  <si>
    <t xml:space="preserve">Jun 10/14</t>
  </si>
  <si>
    <t xml:space="preserve">Attempted to call patient. Mom was in meeting. Mom will call on 6/12/14 (Thursday) in regards to her daughter.</t>
  </si>
  <si>
    <t xml:space="preserve">Aug 11/14</t>
  </si>
  <si>
    <t xml:space="preserve">Caucasian (from Spain) presents to ortho clinic for observation. Pt had both Max Cs ext in March and Max 3s have not started to erupt. Parents are concerned that Max 3s are not present Pt CC: "I want braces." Pt in mixed late dentition with 3 of 4 Es present (all are loose). Significant spacing in Max anterior due to unerupted 3s and peg laterals. Class II molar relationship bilaterally. One parent if Class II Div 1, the other Class II Div 2. Family is eager to start ortho tx; discussed necessity for surgical uncovering of 3s and forced exfoliation of remaining Es. NV: records.</t>
  </si>
  <si>
    <t xml:space="preserve">Oct 13/14</t>
  </si>
  <si>
    <t xml:space="preserve">Placed a separator at the UL6 only. The primary tooth next to the LL6 came out when I tried to place separator.</t>
  </si>
  <si>
    <t xml:space="preserve">Oct 16/14</t>
  </si>
  <si>
    <t xml:space="preserve">Initial Band and Bond. Start check with [DOCTOR] after time window expired. Banded all 6s. Bond U4-5 and L2-2. Innovation brackets used. URE still exists and pt did not want to take it out today. Need to bond UR5 in future. .016 Niti wire placed in Max. .016 SS wire in Man with stop loops and intrusion bends. Intended to place chairside TPA but forgot to band with lingual sheaths. Plan to accomlish at future appointments. NV: Reband Upper 6s with chairside TPA for molar rotation. Bond L3-5 bilaterally.</t>
  </si>
  <si>
    <t xml:space="preserve">Nov 5/14</t>
  </si>
  <si>
    <t xml:space="preserve">Comfort visit. SS AW in LL came out of molar tube when pt was eating. Replaced the AW. NV: bond L3-5 and replace U6 bands to include L sheath.</t>
  </si>
  <si>
    <t xml:space="preserve">Appliance Adjustment. OH: good. Max: Replaced bands on U6 with GAC bands (size 17). Chairside TPA construced for rotation of U6s. Bands and TPA cemented as one unit. .016 CuNiTi AW. Man: Bonded 3s and 4s with Innovation brackets. Unable to bond 5s because teeth were not erupted enough. .014 CuNiTi AW with wire ligature tied on top of brackets for intrusion of 2-2. NV: Max-check TPA to make sure it is not impingiing on palate. AW advancement. Man-engage LR3. NNV: Headgear delivery.</t>
  </si>
  <si>
    <t xml:space="preserve">Dec 10/14</t>
  </si>
  <si>
    <t xml:space="preserve">Appliance Adjustment. OH: good. Pt says that TPA bothered here a little, but she got used to it. TPA is impinging on palate. U: Adjusted TPA for additional M out rotation and to stop palatal impingment, .018 CuNiTi AW. L: Replaced .014CuNiTi wire. Unable to engage LR3. Open coil spring placed to create space for LR3. NV: deliver headgear. Remove TPA?. Bond erupting 5s? Engage LR3.</t>
  </si>
  <si>
    <t xml:space="preserve">Jan 14/15</t>
  </si>
  <si>
    <t xml:space="preserve">Progress Visit. OH good. No CC. Worked with [DOCTOR]. TPA is again impinging on palate. U: Removed TPA. .018 CuNiTi. L: Bonded lingual button on LR3 to aid in rotation. .014 CuNiTi with power chain facial LR3-6 and 2-2 to lingual button of LL3 for rotation. Cervical pull headgear fit, demod and pt and father practiced insertion and removal. Instructions for nightly wear 11 hours per night (8pm to 7am). Explained that this moves molars backwards. NV: check rotation of LR3. Move up in AWs? Check headgear compliance.</t>
  </si>
  <si>
    <t xml:space="preserve">Feb 19/15</t>
  </si>
  <si>
    <t xml:space="preserve">Progress visit. OH good. No CC. Worked with [DOCTOR] (pt could not come in on Wed). Rotation of LR3 is improving; now able to engage AW. Eruption of 5s is progressing. Nearly Class I on L side. Pt reports good wear of HG. Neck strap is well worn; pt can take HG on and off quickly. U: .018 CuNiTi with power chain 2-2 to keep incisors together. L: .014 CuNiTi with open coil 5-6 to open space for eruption of 5. Encouraged pt to move to 4th hole of HG for 250g force. NV: U: bond UR5. L: bond LL5, LR5, reposition LR3. Progress to .016 CuNiTi. Check HG compliance. Discuss radiograph to check on eruption of 3s.</t>
  </si>
  <si>
    <t xml:space="preserve">Comfort Visit. OH good. CC: UL5 debonded. Worked with [DOCTOR]. Discussed unerupted U canines with father and informed him that we are not worried about the lack of eruption, but that if they are in a hurry, we can take radiograph and discuss surgical uncovering. Father didn't seem inclined to take action, but said he would talk to mother. U: Bonded UR5 and UL5. Continue .018 CuNiTi AW. NV: bond LL5, LR5, reposition LR3. AW progression.</t>
  </si>
  <si>
    <t xml:space="preserve">Mar 18/15</t>
  </si>
  <si>
    <t xml:space="preserve">Progress Visit. OH: fair. No CC. Worked with [DOCTOR]. Molar relationship improving due to excellent HG wear. U: .017x.025 Nitinol AW. L: Bonded LL5, LR3, LR5. .016 Nitinol AW. Continue HG wear. Intraoral photos taken. NV: AW progression.</t>
  </si>
  <si>
    <t xml:space="preserve">Apr 22/15</t>
  </si>
  <si>
    <t xml:space="preserve">Progress visit. OH: fair. CC: "my headgear is hard to put in." Worked with [DOCTOR]. Molar relationship continues to improve due to excellend HG wear. Rotation of LR3 still needs to be worked out. U: .018x.025 SS AW L: .018 Nitinol AW. Rebond LR3. Continue HG wear. NV: Consider rebonding of LR1-2 (clip failure) and LR2 may need to be placed more gingivally. Retract UL4. AW progression in L.</t>
  </si>
  <si>
    <t xml:space="preserve">Jun 4/15</t>
  </si>
  <si>
    <t xml:space="preserve">Progress visit. OH fair. No CC. Worked with [DOCTOR]. Molar relationship continues to improve. Informed pt that with good compliance, may be done with HG wear by end of summer. Rotation of LR3 worked out. U3s not erupting yet. Discussed non-eruption of U3s with pt and with father and recommended that they be surgically uncovered by the end of the summer if they have not erupted on their own. This recommendation was made because we will be running out of other treatment objectives. Currently, the molars have a small amount more of correction and the bite is a little deep. U: continue .018x.025 SS AW. Added accentuated curve of Spee to it to reduce deep bite. Powerchain 4-6 bilaterally for retraction of U4s. L: .017x.025 Nitinol AW. NV: Laser uncovering of U3s and bond for traction. Continue AW progression.</t>
  </si>
  <si>
    <t xml:space="preserve">Jun 10/15</t>
  </si>
  <si>
    <t xml:space="preserve">Aug 5/15</t>
  </si>
  <si>
    <t xml:space="preserve">Progress visit. OH fair. No CC. Worked with [DOCTOR]. Little to no progress on molar correction. Plan to continue HG wear but plan on Forsus in the future. U3s not erupted. Discussed uncovering/forced eruption again with father and gained consent. 1ml 2% lidocaine 1:100,000 epi in areas of U3s. Cauderizer used to remove window of tissue and bonded buttons on U3s. U: .016 CuNiTi AW with steel ties to U3s. L: .018x.025 SS AW to continue leveling curve of spee. NV: AW progression in upper until able to bond U3s.</t>
  </si>
  <si>
    <t xml:space="preserve">Sep 16/15</t>
  </si>
  <si>
    <t xml:space="preserve">Progress visit. OH good. No CC. Worked with [DOCTOR]. No molar correction. Pt is non-compliant with HG (self admitted). Forsus planned for future Class II correction. U3 visible and able to be bonded. U: .018 Nitinol AW. C chain 2-2 to prevent spacing. L: 18x25 SS RC to level lower arch. C chain 4-4 to close spaces. NV: continue leveling lower arch. C chain 5-5 L. AW progress in U. Bond U7s, if available.</t>
  </si>
  <si>
    <t xml:space="preserve">Oct 28/15</t>
  </si>
  <si>
    <t xml:space="preserve">Progress visit. OH fair. NO CC. Worked with [DOCTOR]. U: 16x22 Nitinol. L: continue 18x25 SS RC for leveling. C chain 5-5. NV: 18x25 Nitinol U and bond 7s. C chain L 6-6. Begin Class II elastics. Future: plan for Forsus for Class II correction. Pt expressed desire to have lateral incisors built up.</t>
  </si>
  <si>
    <t xml:space="preserve">Dec 9/15</t>
  </si>
  <si>
    <t xml:space="preserve">Progress visit. OH fair. NO CC. Worked with [DOCTOR]. Debonded UR5. Rebonded UR5. End on Class II bilaterally. Need 3-4 mm correction. U: 18x25 Nitinol. L: 18x25 SS RC for leveling. Steel lace 6-6 in preparation for Forsus. Elastics: Bear Class II elastics. NV: U 18x25 SS AW. Forsus.</t>
  </si>
  <si>
    <t xml:space="preserve">Jan 6/16</t>
  </si>
  <si>
    <t xml:space="preserve">Progress visitl. OH fair. No CC. Worked with [DOCTOR]. 1mm Class II correction noted. Plan to continue elastics while making space for U2s. U: 18x25 SS with OCS M and D to U2s. U1s are 9mm in width. U2s are about 6mm in width. L: 18x25 SS with RC. Elastics: bear elastics NV: continue mechanics. PLace forus.</t>
  </si>
  <si>
    <t xml:space="preserve">Jan 15/16</t>
  </si>
  <si>
    <t xml:space="preserve">Comfort Visit: UL1 wire was not engaged into bracket Placed UL1 wire into bracket and closed door. Steel tied UL1</t>
  </si>
  <si>
    <t xml:space="preserve">Adequate space for restoration of UR2. Reactivated OCSs for restoration of UL2. Continue Class II elastics NV: restore U2s, begin space closure</t>
  </si>
  <si>
    <t xml:space="preserve">Mar 2/16</t>
  </si>
  <si>
    <t xml:space="preserve">Buildup U2s. OH fair. NO CC. Worked with [DOCTOR]. Class I molar/canine bilaterally. Buildup of U2s with etch/solo/Tetric Evo Flow A1 and A2. U: 17x25SS with C chain 6-6. L: 18x25 SS with RC. Elastics: Bear fulltime Class II. NV: Pano/repo.</t>
  </si>
  <si>
    <t xml:space="preserve">Apr 6/16</t>
  </si>
  <si>
    <t xml:space="preserve">Progress visit. OH fair. No CC. Worked with [DOCTOR]. Pt is happy with buildup of U2s. Progress 8x8 taken. Based on 8x8: repo the folllowing: U: none L: 5 (down), 3 (MRT and M out rotation) | 5 (MRT) Bonded U/L 7s U: 16x22 Nitinol L: 16x22 Nitinol Elastics: Bear Class II elastics full time. Bite turbos placed on U6s to prevent biting of L7s. NV: Eval for removal of bite turbos. AW progression to 19x25 Nitinol NNV: Eval for progression to 18x25 SS (this is last visit before they go to Spain for 2 months) Goal is to debond by Oct 1, so only have 2-3 visits after their trip.</t>
  </si>
  <si>
    <t xml:space="preserve">May 4/16</t>
  </si>
  <si>
    <t xml:space="preserve">Progress visit. OH fair. NO CC. Worked with [DOCTOR]. Compliance with elastics has waned a bit. 3mm Class II R side; 1 mm class II L side. Reinforced with pt that she will be done wearing elastics when OJ is eliminated and midlines on. U: 19x25 TMA with steps in 4-5-6 area to level marginal ridges. L: 17x25 TMA with step up LR5. Elastics: Bear Class II elastics full time. NV: eval marginal ridges, consider torque adjustments, consider bite turbos for disarticulation</t>
  </si>
  <si>
    <t xml:space="preserve">Jun 1/16</t>
  </si>
  <si>
    <t xml:space="preserve">Progress visit. OH fair. No CC. Worked with [DOCTOR] just nightime wear of elastics; no improvement with Class II. Reinforced importance of elastics; that pt may be finished with treatment by October if she is very compliant. U: 19x25 TMA L: 17x25 TMA. Steel lace LL3 to LR6 and C chain LL3 to LL6 to close space LL4-5. Elastics: Bear Class II elastics full time R side; Class I triangle L side NV: alginate impression for evaluation</t>
  </si>
  <si>
    <t xml:space="preserve">Aug 10/16</t>
  </si>
  <si>
    <t xml:space="preserve">Progress visit. OH good. NO CC. Worked with [DOCTOR]. Class I canine and molar bilaterally with mild anterior spacing U arch. U: 19x25 TMA with C chain 4-4 L: 17x25 TMA to 7s. Elastics: Class II full time bilaterally (Bear) Study models taken, but, based on clinical exam, make the following changes: 1. UL1 MRT 2. LR2-3 step for LR3 M out</t>
  </si>
  <si>
    <t xml:space="preserve">Aug 16/16</t>
  </si>
  <si>
    <t xml:space="preserve">Progress visit. OH good. No CC. Worked with [DOCTOR]. U: 19x25 TMA with C chain 5-5 In out bends for U1s (UR1 M in), UR5-6 (UR6 M in) Bayonette bend for UL1 MRT Marginal ridge bend for UR4-5 and UL5-6 BRT added UR 6-7 L: 17x25 TMA In out bends LR5-6 (LR6 M out) Converted brackets for L6s and steps L6-7 bilaterally with LRT Elastics: Bear Class II triangle NV: step bend for LR2 (M out) and LR3 (M out) and other finishing bends prn</t>
  </si>
  <si>
    <t xml:space="preserve">Sep 7/16</t>
  </si>
  <si>
    <t xml:space="preserve">OR .XRayTech</t>
  </si>
  <si>
    <t xml:space="preserve">Sep 21/16</t>
  </si>
  <si>
    <t xml:space="preserve">Debond. OH good. No CC. Worked with [DOCTOR]. Debond agreement signed by mother. Mother opts for Vivera retainers. Removed U/L fixed appliances. Noted that pt is socked in Class I on L side but about 2mm Class II on R side. Final records taken. NV: deliver U/L trutain retainers. NNV: deliver U/L Vivera retainers.</t>
  </si>
  <si>
    <t xml:space="preserve">Sep 22/16</t>
  </si>
  <si>
    <t xml:space="preserve">Clinic:
Retainer delivery. OH good. No CC. No faculty. Delvier U/L Trutain retainers; however noted spacing around UR6. Cut U Trutain distal to UR5 to allow for space closure and settling. Nighttime wear only for the next two weeks to allow for settling. Discussed presence of 8s and recommended general dentist monitor for ext. Recommended she see general dentist for routine checkup and cleaning. NV: retainer check and scan for Vivera retainers if space is closed</t>
  </si>
  <si>
    <t xml:space="preserve">Nov 18/16</t>
  </si>
  <si>
    <t xml:space="preserve">Vivera retainer delivery. CC: My bottom tooth (points to LR1) moved just a little bit, I just noticed it last week. LR1 slightly buccally positioned. Settling of U7s improved. Delivered U/L Vivera retainer (all 4 sets). U/L Vivera retainer well fitting. Gave pt retainer care instructions. Instructed pt for 3 months FTW. Pt understood and left satisfied. NV: 3 month retainer check</t>
  </si>
  <si>
    <t xml:space="preserve">Feb 17/17</t>
  </si>
  <si>
    <t xml:space="preserve">TT Vivera retainer check. CC: None Pt did not bring Vivera retainers, but pt reports it being well fitting and comfortable Pt reports FTW, however slight relapse noted on following teeth: LR1 moved 1mm buccal UL1 moved 1mm buccal Informed pt that she needs to wear her retainers more because some relapse is present. Instructed pt to wear retainers FTW with chewies to get teeth back into its proper space, pt and mother understood and left satisfied, NV: 3 month Vivera retainer check</t>
  </si>
  <si>
    <t xml:space="preserve">Clinic:
CC: None Pt wearing U/L Vivera extremely well! Teeth have moved back into line. Instructed pt to switch to NTW for U/L Vivera. ***Pt informed me that she and her entire family will be moving back to Spain permanently in 1 month :'( Informed pt that if she needs to, she can alway give our office a call for any problems.</t>
  </si>
  <si>
    <t xml:space="preserve">Feb 27/14</t>
  </si>
  <si>
    <t xml:space="preserve">Clinic:
CC: I want braces bc I want my teeth straightened. MHx: NSF, NKDA. Convex profile with bimaxillary protrusiveness. Pt still has a LR#E that displays Cl-III mobility. Asked pt to begin wiggling the tooth more. LR#E has mesial caries. R: Undeterminable molar relationship with Cl III canine; L: Cl-I molar with Cl-III canine. Pt is missing her UR6 (dentist extracted the tooth recently due to toothache). Pt's UL5 is starting to erupt in. OJ: 6 mm; OB: 4 mm. Mild crowding on upper and lower arches. 0.5 mm diastema. Coincident midlines. No TMJ issues. Pt is quite scared of the dentist because of shots. Seen with [DOCTOR]. Recommend taking initial records. May need extractions. NV: Pt consultation. Possible send to DentiCal with letter if pt cannot afford tx.</t>
  </si>
  <si>
    <t xml:space="preserve">Mar 6/14</t>
  </si>
  <si>
    <t xml:space="preserve">Clinic:
Mother reported that she would not have a job by the end of this month. She wondered if there was anyway to get a discount on treatment. Explained to mother that we could send her daughter's casts to government and see if they would accept them. Otherwise, our clinic has payment plans. Mother understood. models and occlusal wax bite taken. Explained to pt and mother that they should get a response in 2 months. Pt was very curious and could not stay in one place for very long. NV: Initial records</t>
  </si>
  <si>
    <t xml:space="preserve">Mar 19/14</t>
  </si>
  <si>
    <t xml:space="preserve">Clinic:
Treatment plan is to do upper and lower fixed orthodontic appliances. Possible upper and lower extractions after evaluation of all initial records.</t>
  </si>
  <si>
    <t xml:space="preserve">Apr 7/14</t>
  </si>
  <si>
    <t xml:space="preserve">Aug 6/14</t>
  </si>
  <si>
    <t xml:space="preserve">Aug 12/14</t>
  </si>
  <si>
    <t xml:space="preserve">Clinic:
Panorex and ceph extracted from iCAT taken on 8/12/14 for orthodontic diagnosis and treatment planning</t>
  </si>
  <si>
    <t xml:space="preserve">Aug 28/14</t>
  </si>
  <si>
    <t xml:space="preserve">Clinic:
Asian female presents for consultation. Reviewed tx plan with pt including ext of U and L 4s. Pt agrees with tx. Set up appointment with Oral Surgery for consult to occur next week. Consider bonding before ext.</t>
  </si>
  <si>
    <t xml:space="preserve">Sep 11/14</t>
  </si>
  <si>
    <t xml:space="preserve">Clinic:
Initial Bond. Bond U6-6 (except for 4s). Bond L6-6 (except 4s and LRE). Pt went to OS and ext 4s and LRE. Pt returned with debonded UL5 and LL5 and placed archwires. Elastic Tie LL2 because could not engage archwire. Chain elastics 3-6. NV: change wire; rebond UL5 and LL5.</t>
  </si>
  <si>
    <t xml:space="preserve">Oct 23/14</t>
  </si>
  <si>
    <t xml:space="preserve">Clinic:
Appliance adjustment. Rebond LL5. Rather than rebond UL5, bonded lingual buttons on UL5 and UL6 with powerchain to correct rotations. LR5 erupting; plan to bond at next appointment. .018 Nitinol AW Max, .016 Nitinol AW Man. Powerchains L 3-6 to help resolve incisor crowding. Caries noted UL6. Pt notified and instructed pt to tell parents and to go to a dentist for restoration (pt came to clinic with a friend, not parents). OHI reviewed with emphasis on brushing. NV: appliance adjustment; bond LR5.</t>
  </si>
  <si>
    <t xml:space="preserve">General Dentist</t>
  </si>
  <si>
    <t xml:space="preserve">Dec 4/14</t>
  </si>
  <si>
    <t xml:space="preserve">Clinic:
Appliance adjustment. OH poor. Caries still present UL6. Pt says she has appointment for filling. Reviewed importance of OH. U: Bonded UL5. .016 Nitinol AW placed. Continue powerchain lingual UL5-UL6. L: Bonded LR5. .016 Nitinol AW placed. Intraoral photos taken. NV: increase AW size. Bond LL7 and LR7.</t>
  </si>
  <si>
    <t xml:space="preserve">Clinic:
Appliance Adjustment. OH fair. Pt 15 min late to appointment (this is a trend). Caries still present on UL6. Pt says she missed her appointment. Faculty [DOCTOR]. U: .018 Nitinol AW. Discontinue power chain. L: .018 Nitinol AW. Separator placed between LR6-7. Instructed pt to let me know when her appointment is scheduled for restoration and to get prophy at same appointment. Plan to schedule next visit for after prophy. NV: bond L7s. .020 x.020 Nitinol AWs. NNV: placement of TADs between U5-6s for maximum anchorage.</t>
  </si>
  <si>
    <t xml:space="preserve">Mar 5/15</t>
  </si>
  <si>
    <t xml:space="preserve">Clinic:
Appliance adjustment. OH good. Praised pt for improved OH. No CC. Worked with [DOCTOR]. U: .017x.025 Nitinol AW. L: Bonded L7s with Victory brackets (same MBT Rx, we were out of LL7s for AO LP). .016x.022 Nitinol AW. NV: placement of TADs between U5-6s for maximum anchorage.</t>
  </si>
  <si>
    <t xml:space="preserve">Clinic:
Appliance Adjustment. OH fair (good in Max, poor in Man). Praised pt for improved OH in Maxilla, but showed plaque accumulations on lower and demonstrated proper brushing technique. No CC. Worked with [DOCTOR]. Placed microimplants between U5-6 bilaterally. (AbsAnchor SH1413-06, MI402070 and AbsAnchor SH1413-06, MI21024C). R side went in with good resistance; L side lacking resistance; plan to not load for about 2 months. U: .018x.025 SS AW. L: .019x.025 RC Nitinol AW. Pt given instructions for OHI of microimplants; contact clinic if problems develop. NV: continue U/L incisor intrusion (add curve to U AW). SS AW in L? NNV: begin retraction.</t>
  </si>
  <si>
    <t xml:space="preserve">Apr 30/15</t>
  </si>
  <si>
    <t xml:space="preserve">Clinic:
Progress visit. OH good. CC: "I broke the thing you put in last time." Worked with [DOCTOR]. UR microimplant failed; pt did not bring implant in. Debond UR6. Broke L wire. UL implant failing. Leveling of lower arch (intrusion of incisors) still needed before retraction. Removed UL microimplant. U: rebond UR6. .019x.025 Nitinol AW. L: .019 x .025 RC Nitinol AW. NV: continue intrusion of lower incisors before retraction. NNV: replace microimplants?</t>
  </si>
  <si>
    <t xml:space="preserve">Jun 18/15</t>
  </si>
  <si>
    <t xml:space="preserve">Clinic:
Progress visit. Pt 20 mins late for appt. CC: "The bracket is loose on my tooth." Worked with [DOCTOR]. Rebonded UR1. Still need leveling of lower arch (intrusion of incisors before retraction. U: .019x.025 Nitinol with C-chain 3-3 to consolodate spaces. L: .019x.025 RC Nitinol. Reduction of marginal ridges U3-3. NV: begin retraction.</t>
  </si>
  <si>
    <t xml:space="preserve">Jul 23/15</t>
  </si>
  <si>
    <t xml:space="preserve">Clinic:
Progress visit. OH poor. No CC. Worked with [DOCTOR]. Lower arch is mostly leveled. Still need space for upper retraction. U: .017x.025 SS AC C chain 6-6 L: .017x.025 SS RC C chain 6-6. NV: continue retraction.</t>
  </si>
  <si>
    <t xml:space="preserve">Clinic:
Progress visit. OH fair. No CC. Worked with [DOCTOR]. Bite is opening. Lower arch mostly level. U molars need crown mesial movement. U: .017x.025 SS AC C chain 6-6 L: .017x.025 SS RC C chain 6-6 Elastics: #32 elastics Class II to aid in space closure. Full time wear. Note: didn't need to do this, but I forsee compliance being an issue. NV: continue space closure mechanics. NNV: if space is closed, leveling wire and schedule for progress pano.</t>
  </si>
  <si>
    <t xml:space="preserve">Oct 8/15 </t>
  </si>
  <si>
    <t xml:space="preserve">Clinic:
Progress visit. OH fair. No CC. Worked with [DOCTOR]. Continue space closure. Pt not very compliant with Cl II elastics; wore them only at night. Encouraged full time wear. U: 17x25SS AC C chain 6-6 L: 17x25 SS RC C chain 6-6 Elastics: Cl II full time (#32). NV: continue space closure. After space closure, schedule for progress pano.</t>
  </si>
  <si>
    <t xml:space="preserve">Nov 5/15</t>
  </si>
  <si>
    <t xml:space="preserve">Clinic:
Progress visit. OH fair. No CC. Worked with [DOCTOR]. Debonded UL5. Rebonded UL5. Continue space closure. Pt reports compliance with Class II elastics. U: 17x25 SS AC. C chain 6-6. L: 17x25 SS RC. C chain 6-6. Elastics full time Class II (#42). NV: check space closure. Progress pano after space closure.</t>
  </si>
  <si>
    <t xml:space="preserve">Dec 10/15</t>
  </si>
  <si>
    <t xml:space="preserve">Clinic:
Progress visit. OH poor. No CC. Worked with [DOCTOR]. Progress 8x8 taken today. 1.5mm still exists in UR. Slightly Class II. NO OJ remaining. 1mm IPR done L 2-3. U: 17x25 SS AC C chain 6-6. L: 17x25 SS RC C chain 6-6. Elastics full time Class II (#42) NV: eval for space closure.</t>
  </si>
  <si>
    <t xml:space="preserve">Jan 14/16</t>
  </si>
  <si>
    <t xml:space="preserve">Clinic:
Progress visit. OH fair. CC: "I broke a few brackets." Worked with [DOCTOR]. Debonded brackets: LL5-6 and UR2. Rebonded those brackets as well as LL7. **Future rebonds to include U6s and UR3.** U: 17x25 SS with tipback at U6s. Chain 6-6. L: 19x25 Nitinol. Elastics: #42 nighttime only. NV: if space is closed, consider repo of U6s. Move to SS AW in L.</t>
  </si>
  <si>
    <t xml:space="preserve">Feb 18/16</t>
  </si>
  <si>
    <t xml:space="preserve">Clinic:
Progress visit. OH fair. No CC. Worked with [DOCTOR]. Debonded UR5. Rebonded UR5. Space closed in U. Steel lace 6-6 to keep spaces closed. Rebond U6s for MRT, UL3 for MRT, and UR3 for D out. Rebond UR1 for slight extrusion U: .018 Nitinol AW L: 19x25 TMA Elastics: none. NV: reduce lingual of UR1 to provide OJ. Eval sagittal correction (she is actually slightly Class III on R side)</t>
  </si>
  <si>
    <t xml:space="preserve">Mar 17/16</t>
  </si>
  <si>
    <t xml:space="preserve">Clinic:
Progress visit. OH fair. NO CC. Worked with [DOCTOR]. Space opened between U1s. Reduced lingual of UR1. U: 19x25 TMA with C chain 6-6. L: 19x25 TMA Elastics: Rabbit Class II L side, Class III R side full time. NV: eval LL7 and UL7 pending ABO qualification</t>
  </si>
  <si>
    <t xml:space="preserve">Rabbit</t>
  </si>
  <si>
    <t xml:space="preserve">Apr 14/16</t>
  </si>
  <si>
    <t xml:space="preserve">Clinic:
Progress visit. OH fair. NO CC. Worked with [DOCTOR]. U: 19x25 TMA. Bend placed UL5-6 for marginal ridge. Tip back bend placed for UR5-6. C chain 6-6 to close space U1s. L: 19x25 TMA. Bend placed LR 5-6 for marginal ridge. Z bend placed for rotation of LL2. Marginal ridge bend LL6-7 (LL6 converted) Elastics: continue Rabbit Class II L side and Class III R side. NV: IPR U1s if space has not closed. Finshing bends prn.</t>
  </si>
  <si>
    <t xml:space="preserve">May 12/16</t>
  </si>
  <si>
    <t xml:space="preserve">Clinic:
Progress visit. OH fair. CC: "I broke a bracket." Worked with [DOCTOR]. Broken bracket LL6. Rebonded bracket for slight extrusion. Small space opened up LL3-4. U: 19x25 TMA. L: 19x25 TMA. C chain 6-6. NV: not scheduled because pt did not know when parent could come in for debond. Pt said she will contact me with dates,</t>
  </si>
  <si>
    <t xml:space="preserve">May 31/16</t>
  </si>
  <si>
    <t xml:space="preserve">Clinic:
Progress visit. OH poor. CC: "there is still a space between my two front teeth." Worked with [DOCTOR]. Contact exists between U1s, but due to strange anatomy of UL1, it appears as though there is a diastema (lingual aspect of UL1 is thicker than B aspect). Slight IPR on M of UL1 and powerchain to close space. NV: debond.</t>
  </si>
  <si>
    <t xml:space="preserve">Jul 12/16</t>
  </si>
  <si>
    <t xml:space="preserve">Appointments:
Jul 12/16 D0470F C Final Diagnostic Casts Both
Clinic:
Took final photos.
Did iTero scan for final record.
[DOCTOR] took alginate impression for Mx Hawley retainer which will be sent to Forst Lab.
Mn alginate impression was for mn Hawley retainer.
Debond. OH fair. NO CC. Worked with [DOCTOR]. Debond agreement signed by father (translation by [STAFF]). Removed U/L fixed appliances and cement. Polish. Final records taken and impressions taken for U/L Hawley retainers. NV: deliver Hawley retainers</t>
  </si>
  <si>
    <t xml:space="preserve">Jul 19/16</t>
  </si>
  <si>
    <t xml:space="preserve">Clinic:
Retainer delivery. OH good. NO CC. Worked with dr . Diastema evident U1s. Deliver U/L Hawley retaienrs with full time wear instructions. OHI given verbally. Pt demonstrated competance with removal and seating of retainers. Showed pt 3rd molars on radiograph and advised letting #1 erupt into occlusion and a consult about removal of #17, 32 in approximately 2 years. NV: 1 month retainer check.</t>
  </si>
  <si>
    <t xml:space="preserve">Aug 29/16</t>
  </si>
  <si>
    <t xml:space="preserve">Clinic:
Retainer check (2 months). OH good. NO CC. Worked with [DOCTOR]. Reviewed final 8x8 CBCT with pt: UR8 hopefully will erupt into bite and be a tooth in occlusion; LL8 and LR8 probably will require ext in the future. Informed pt that she should continue to see general dentist on a regular basis and he/she will monitor L8s for ext. U/L Hawley retainer fit well, Minor rotation noted of LR2 (D out). Otherwise good alignment in retention. Instructed pt to continue to wear retainers full time until end of September then wear them only at night. NV: 6 months retainer check.</t>
  </si>
  <si>
    <t xml:space="preserve">Dec 8/16</t>
  </si>
  <si>
    <t xml:space="preserve">
Hawley retainer check. CC: None Pt did not bring U/L Hawley to appt, however no relapse noted from last appt. UR8 not yet erupted. Instructed pt to continue NTW of retainers. Pt understood and left satisfied. NV: 6 month retainer check</t>
  </si>
  <si>
    <t xml:space="preserve">Jul 25/17</t>
  </si>
  <si>
    <t xml:space="preserve">Clinic:
Patient presents today for retainer check. Patient arrived on time? Yes Minor patient accompanied by: No Significant Med Hx: Not signifcant Changes Med Hx: No changes Dental Hx Changes: U7s have erupted Monitoring L8s Presenting OH: Good Alerts: * Describe if Other * Faculty: [DOCTOR] completion date: 07/12/2016 Presenting retention protocol: U/L Hawley Compliance: Good Significant findings: Part of acrylic of U Hawley at area of UR1 slightly chipped, but retainer is still well fitting and functional L Hawley well fitting Tighted labial bow of both U/L Hawley Changes to protocol: Continue U/L Hawley NTW NV: 1 year U/L Hawley retainer check, MAKE REFERRAL TO OS FOR EXT/MONITORING OF L8s</t>
  </si>
  <si>
    <t xml:space="preserve">Apr 7/23</t>
  </si>
  <si>
    <t xml:space="preserve">Time Out performed with (faculty name):</t>
  </si>
  <si>
    <t xml:space="preserve">May 16/13</t>
  </si>
  <si>
    <t xml:space="preserve">Clinic:
Went over fees for treatment with the mom. She had brought her 3 daughters in tonight for exams. She states, she can only afford to have one of them treated at this time. It was decided by [DOCTOR] that this patient could just have a spring retianer treatment and not full treatment. Quoted the mom $650 for spring retainer and $350 for records. DM</t>
  </si>
  <si>
    <t xml:space="preserve">May 17/13</t>
  </si>
  <si>
    <t xml:space="preserve">Clinic:
THe pt has 2 other sisters and the mother wanted to triage their care. As such, [DOCTOR] suggested that instead of full fixed we could do a limited treatment with just an activated hawley with labial bow that would allow us to fis the buccal crossbite of UL4. NV: initial records, ceph, pano</t>
  </si>
  <si>
    <t xml:space="preserve">Clinic:
Female Pt presents with mom for Initial Orthodontic Consultation Note: * On time: On Covering Faculty: [DOCTOR]: " Diastema " RMHx: No contraindications to today's consultation. Significant Findings: Diastema and buccal cross bite UL4 RDHx: * EOE: Convex profile IOE: WNL R Molar Classification: 1 L Molar Classification: 1 TMJ: ( No ) Crepitus, ( No ) , No Clicking of TMJ, Pain on Palpation, ( No ) Hx of Trauma Recommendations: Yes Records to be taken, CBCT ( Full + Report ) , IO and EO photographs, Scan/Models of Maxillary and Mandibular Arches. Full CHild Fixed NV: Consultation of Tx Options, Begin Tx upon approval</t>
  </si>
  <si>
    <t xml:space="preserve">Nov 15/16</t>
  </si>
  <si>
    <t xml:space="preserve">Clinic:
Took photos.
Did iTero scan for initial record.</t>
  </si>
  <si>
    <t xml:space="preserve">Jan 10/17</t>
  </si>
  <si>
    <t xml:space="preserve">Clinic:
Female presents for consulation and bonding of U/L arches CC: diastema, crowding . RMHx: Pt denies any changes Significant Findings: UL4 xbite, mod lower crowding, upper diastema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Victory MBT .018 slot Bonded U/L 6-6. Added prn steel ties. Upper Wire: .016 niti Lower Wire: .014 niti Mechanics Note: * NV: 1. Step up upper to 16x22 nitit or square 17x17 niti, lower to .018 niti. Four months later, PANO, repo, bond 7s.</t>
  </si>
  <si>
    <t xml:space="preserve">MBT conventional 0.018"</t>
  </si>
  <si>
    <t xml:space="preserve">Feb 7/17</t>
  </si>
  <si>
    <t xml:space="preserve">Clinic:
EO progress photos U: .016 niti sentalloy L: stepped up to .016 niti sentalloy NV: step up wires to 16x22 niti</t>
  </si>
  <si>
    <t xml:space="preserve">Mar 14/17</t>
  </si>
  <si>
    <t xml:space="preserve">Clinic:
Rebonded UL1 to bring root more distal, tapered/converging crown as you go incisal more mesial to close diastema. U: 17x25 sentalloy. Rebonded UL1. L: 17x25 sentalloy. Bonded L7s. NV: bond U7s withVictory .018 slot. LR7 bracket double check.</t>
  </si>
  <si>
    <t xml:space="preserve">Apr 18/17</t>
  </si>
  <si>
    <t xml:space="preserve">Clinic:
Bonded U7s (minitubes) U: 17x25 sentalloy L: 17x25 sentalloy (lower wire still deflected) NV: retie, PC upper to close disatemas?</t>
  </si>
  <si>
    <t xml:space="preserve">Clinic:
Retie, PC U2-2 to close diastema between U1s, steel tied U2s. Canines slighly class II. Rx: Class II vertical bear elastics bilat. (to help extrude L4s since interarch spacing betw. L4s and upper teeth present.) Wear from U3 to L4,L6 triangle. NV: progress pics with RDA, PANO, reset brackets (LL6 place it more distal to bring distal out, extrude L4's.) Remove turbos.</t>
  </si>
  <si>
    <t xml:space="preserve">Clinic:
PANO, reset UR4 MRT, UR1 MRT (diastema will open due to shape of clinical crown), UL1 MRT) (diastema will open due to shape of clinical crown), UL4 (MRT), LL7 - extrusion, LL4 - extrusion, LR4 - extrusion. U: 17x25 niti L: 17x25 niti Rx: discontinue bilat. class II bear triangle elastics (U3 to L4, L6) for L4s extrusion. Pt. will return from India 8-14-17. Pt. consents to LA IPR rather than restoring small U2s. NV: pics with RDA at 1 PM. Evaluate reset brackets. Retie.</t>
  </si>
  <si>
    <t xml:space="preserve">Aug 22/17</t>
  </si>
  <si>
    <t xml:space="preserve">Clinic:
Patient presents for appliance adjustment. Patient arrived on time: y Minor patient accompanied by: * Significant Med/Dental Hx/Changes Med/Dental Hx: * Presenting OH: Needs improvement Alerts if any: * Describe if other alert: * Prophy needed? * Radiogrraph needed? * Faculty assigned: Covering faculty if different from assigned; * Compliance: Good Molar/Canine: Class II canine bilat. Molars Class I OJ/OB: mod. OB Treatment progress evaluation: * UAW: 17x25 SS, ACOS to reduce deep bite. LAW: 17x25 SS, RCOS to reduce deep bite. Elastics: 4.5 oz, 1/4 inch elastics 12hrs/day from L6s to U3s. PCU6-6 to close UA spacings. Appointment notes: * NV: check reduction of OB, closure of UA spacing. Check canines.</t>
  </si>
  <si>
    <t xml:space="preserve">Nov 14/17</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</si>
  <si>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Bilat.Class I molar.Bilat.U3s 1mm Cl II OJ/OB: 1 mm OB, 0.5 mm OJ Treatment progress evaluation: * UAW: 17x25 Niti. 17x25 SS wire wouldn't fit into UR7 bracket. LAW: Same 17x25 SS, mild RCOS Elastics: Bears bilat class II, 12hrs/day from L6s to U3s. Appointment notes: IPR L2-2, 0.1 mm each and PCL6-6 to create more OJ for Class II correction. U2s are small. UR7 debonded at end of appt. Rebonded UR7 Victory 0.18 slot. NV: Place upper 17x25 SS (wire in cabinet) and PC6-6. Check AP.</t>
  </si>
  <si>
    <t xml:space="preserve">Jan 30/18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</si>
  <si>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Bilat.Class I molar.Bilat.U3s 1mm Cl II OJ/OB: 1 mm OB, 3 mm OJ Treatment progress evaluation: * UAW: 17x25 SS, PC6-6 LAW: Same 17x25 SS, mild RCOS Elastics: FT Bears bilat class II, L6s to U3s. Appointment notes: U2s are small. Victory 0.18 slot. NV: WIre adj, Check AP.</t>
  </si>
  <si>
    <t xml:space="preserve">Mar 6/18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</si>
  <si>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 premolars 1/2 mm Cl II. Bilat.U3s 1mm Cl II OJ/OB: 1 mm OB, 1 mm OJ (2 mm OJ reduction since last visit) Treatment progress evaluation: * UAW: same 17x25 SS, PC6-6 LAW: Same 17x25 SS, PC6-6, same mild RCOS Elastics: FT Bears Cl II trapezoid to seat down U3s. Bilat U3,4,5 to L4,5,6. Appointment notes: U2s are small. Victory 0.18 slot. Midlines on. U disatema 0.5 mm today. NV: Check AP, OB. IPR more L2-2 as needed for ideal OJ/OB.</t>
  </si>
  <si>
    <t xml:space="preserve">Apr 24/18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</si>
  <si>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Bilat premolars 1/2 mm Cl II. Bilat.U3s 1mm Cl II OJ/OB: 1.5 mm OB, 2 mm OJ Treatment progress evaluation: * UAW: same 17x25 SS, PC6-6. Upper diastema today 0.5 mm. LAW: Same 17x25 SS, PC6-6, same mild RCOS Elastics: FT Impala. Cl II bilat. trapezoid to seat down U2s. Bilat U2s,3s to L3s,4s. Also bilat. U4s,5s to 5s,6s. Appointment notes: U2s are small. Victory 0.18 slot. Midlines on. U disatema 0.5 mm still today. NV: Check AP, OB. IPR more L2-2 for ideal OJ/OB.</t>
  </si>
  <si>
    <t xml:space="preserve">Jul 31/18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</si>
  <si>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PC6-6. LAW: Same 17x25 SS, PC6-6, same mild RCOS Elastics: FT Impala. Cl II bilat. trapezoid to seat down U2s. Bilat U2s,3s to L3s,4s. Also bilat. U4s,5s to 5s,6s. Appointment notes: U2s are small. Victory 0.18 slot. Midlines on. NV: Reset UR7 Victory 0.18 slot, dec. wire to 17x25 niti. Stretch out upper PC before placement since niti wire.</t>
  </si>
  <si>
    <t xml:space="preserve">Aug 14/18</t>
  </si>
  <si>
    <t xml:space="preserve">Clinic:
Transfers [DOCTOR], [DOCTOR]/What has been done: Spacing, mild lower crowding, still some space left interproximally between the U1's due to anatomical contour of the interproximal areas but patient is ok with the space. What needs to be done: Talk to patient about restoration of the interproximal areas. finishing bends, socking in occlusion with short elastics, a few more months of tx. Consider extruding/stepping down UR2. [DOCTOR] is treating the sister and they like to come together in the late afternoons.
Discussed patient's treatment for transfer with faculty and resident.</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</si>
  <si>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IPRed U1s to reduce large incisal embrasure, laced U1s, then PC U6-6. Also, U1s DRT to reduce incisal embrasure. LAW: Same 17x25 SS, PC6-6, same mild RCOS Elastics: FT Impala. UR 2,3,4 to LR3,4,5. Left: Same UL2,3 to LL3,4. Appointment notes: U2s are small. Victory 0.18 slot. Midlines on. NV: Eval U1s embrasure for debond NV.</t>
  </si>
  <si>
    <t xml:space="preserve">Sep 11/18</t>
  </si>
  <si>
    <t xml:space="preserve">Clinic:
Patient presents for appliance adjustment. Patient arrived on time: y Minor patient accompanied by: mom Significant Med/Dental Hx/Changes Med/Dental Hx: * Presenting OH: Needs improvement Alerts if any: * Describe if other alert: * Prophy needed? * Radiogrraph needed? * Faculty assigned: Covering faculty if different from assigned; Compliance: Good Molar/Canine: OJ/OB: 1.5 mm OB, 2 mm OJ Treatment progress evaluation: * UAW: same 17x25 SS, Last visit IPRed U1s to reduce large incisal embrasure, same laced U1s, new PC U6-6. Also, last visit U1s DRT to reduce incisal embrasure. Looks good today. LAW: Same 17x25 SS, PC6-6, same mild RCOS Elastics: FT Impala. UR 2,3,4 to LR3,4,5. Left: Same UL2,3 to LL3,4. Appointment notes: U2s are small. Victory 0.18 slot. Midlines on. **Pt. is ready for debond NV.** NV: Bond U1-1 fixed, with upper hawley with UR7 lingual acrylic relieved with circ. clasp on UR7 to reduce buccal OJ. Bond L3s pads for fixed, also TT.</t>
  </si>
  <si>
    <t xml:space="preserve">Appointments:
Sep 13/18 D0470F C Final Diagnostic Casts Both
Clinic:
Took U/L impressions for retainers (upper hawley and lower TT)
Patient presents today for: Treatment completion Form signed: Treatment completion Patient arrived on time? y Minor patient accompanied by: mom Significant Med Hx: * Changes Med Hx: * Dental Hx Changes: * Prophy needed: * Radiograph needed: * Presenting OH: Needs improvement Compliance: Average Alerts: * Describe if Other Alert * Assigned Faculty: Covering Faculty: Removed: Brackets Describe if Other * Appointment notes including results deviating from ideal: * NV: Del U hawley, lower essix. (Crossover wire for upper loop is tight with lower teeth, so lower essix was made.)</t>
  </si>
  <si>
    <t xml:space="preserve">Clinic:
Patient arrived for delivery of retainers. Patient arrived on time: y Minor patient accompanied by: * Significant Med/Dental Hx/Changes Med/Dental Hx: * Presenting OH: * Alerts if any: * Faculty assigned: Covering faculty if different from assigned; Rouleau Type of retainers delivered:: upper hawley, lower TT Retention protocol: FT for 6 mo, then NTO Appointments notes: Upper hawley initially did not seat all the way. Acrylic adjusted for better seating. [DOCTOR] said retainer was fine after adjustment. POIG. OS ref given for removal of all wisdom teeth. CC: LR gum over #32 slightly inflamed today. Rec salt water rinses and FU with OS soon. NV: 1 mo ret check</t>
  </si>
  <si>
    <t xml:space="preserve">Oct 22/18</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</si>
  <si>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[DOCTOR] completion date: 9/13/2018 Presenting retention protocol: Wear upper hawley, low TT FTW Compliance: Great - patient wore FTW Significant findings: - Both retainers fit well - U1-1 fixed retainer is stable - It appears as though the anterior bite may be opening up a bit around the U2 areas- possibly due to a tongue thrust. [DOCTOR] suggested I see the patient in 2 months to discuss with [DOCTOR] if we want to tighten the upper labial bow to allow the incisors to retract, or if we want to go to upper TT since the UR7 has come down and can potentially be covered by the TT now? Changes to retention protocol: Continue wearing retainers FTW NV: Ret ck 3 mos post debond, discuss bite</t>
  </si>
  <si>
    <t xml:space="preserve">Dec 11/18</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</si>
  <si>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Patient completion date: 9/13/2018 Presenting retention protocol: Wear upper hawley, low TT FTW Compliance: Great - patient wore FTW Significant findings: - Both retainers fit well - U1-1 fixed retainer is stable - It appears as though the anterior bite may be opening up a bit around the U2 areas- possibly due to a tongue thrust. This may be worsened with a combination of upper hawley and lower TT where the lower TT opens the bite and causes the tongue to want to rest against the opened front teeth. - Therefore we will make lower hawley for free to allow patient to close down more fully at rest. Want to stay in upper hawley to allow for the retainer bow to be tightened if need be. And no wear facets present so occlusal coverage not needed. - Today: tightened upper labial bow, impression for lower hawley, discussed extractions of wisdom teeth are recommended (patient had consult before but her mom said she never had her wisdom teeth out before so she doesn't need them out) Changes to retention protocol: Continue wearing retainers FTW NV: Deliver lower hawley</t>
  </si>
  <si>
    <t xml:space="preserve">Jan 8/19</t>
  </si>
  <si>
    <t xml:space="preserve">Clinic:
Patient arrived for delivery of retainers. Patient arrived on time: Yes Minor patient accompanied by: * Significant Med/Dental Hx/Changes Med/Dental Hx: None Presenting OH: Good Alerts if any: None Faculty assigned: [DOCTOR] faculty if different from assigned; [DOCTOR] of retainers delivered:: Lower Hawley Retainer Retention protocol: Wear lower hawley FTW (and continue wearing upper hawley FTW) Appointments notes: - We chose to deliver a lower hawley instead of a TT like she had now because it appeared as though the anterior bite may have been opening up around the U2 areas- possibly due to a tongue thrust. This may have been worsened with a combination of upper hawley and lower TT where the lower TT opened the bite and caused the tongue to want to rest against the opened front teeth. - Want to stay in upper hawley to allow for the retainer bow to be tightened if need be. And no wear facets present so occlusal coverage not needed. - Lower hawley labial bow was tightened, patient was satisfied with fit. NV: 1 month lower hawley ret ck</t>
  </si>
  <si>
    <t xml:space="preserve">Feb 26/19</t>
  </si>
  <si>
    <t xml:space="preserve">Clinic:
Took lower impression for Hawley
Patient presents today for retainer check. Patient arrived on time: Yes Minor patient accompanied by: * Significant Med/Dental Hx/Changes Med/Dental Hx: No Presenting OH: Great Alerts if any: * Prophy needed? No Radiogrraph needed? No Faculty assigned: [DOCTOR] faculty if different from assigned; * Patient completion date: 9/13/2018 Presenting retention protocol: Wear lower hawley FTW (it was delivered 1 month ago to complement the upper hawley and prevent a tongue thrust from developing more as it may have with the combo of upper hawley/lower TT that was worn previously) Compliance: Great Significant findings: - Upper hawley was slightly loose. - LL2 and LR1 are lingually positioned since last visit - we need a spring retainer + some IPR + acrylic taken away from LL1 lingual area to allow for alignment. - This new spring retainer will be free of charge to the patient since she was compliant with wearing the retainer, and the teeth shifted due to other reasons other than her compliance. - Impression was taken for lower spring retainer. Changes to retention protocol: Continue wearing lower hawley FTW until we deliver new spring retainer which will help align the lower incisors. NV: Deliver lower spring retainer</t>
  </si>
  <si>
    <t xml:space="preserve">Mar 8/19</t>
  </si>
  <si>
    <t xml:space="preserve">Clinic:
Patient presents today for spring retainer delivery. Patient arrived on time: Yes Significant Med/Dental Hx/Changes Med/Dental Hx: No Presenting OH: Great Prophy needed? No Radiograph needed? No Faculty assigned: [DOCTOR] faculty if different from assigned: [DOCTOR] completion date: 9/13/2018 Presenting retention protocol: Wearing lower hawley FTW but her incisors became mal-aligned (B/L shifts of incisors). Delivery of spring retainer today. Compliance: Great Significant findings: - LL2 and LR1 are lingually positioned - we will use a spring retainer + some IPR to allow for alignment. Today: - Tightened lower premolar clasps of lower spring retainer - Springs activated for facial movement of LL2 and LR1 (0.5mm activation) - IPR strip run through contacts 1-2 times to make loose: LR1-2, 1-1, LL1-2, LL2-3 Changes to retention protocol: Continue wearing lower hawley FTW until teeth are straight again. NV: Check lower incisor alignment, possibly remove acrylic lingual to the LL1 to cause it to go lingually if incisors still not aligned.</t>
  </si>
  <si>
    <t xml:space="preserve">Apr 5/19</t>
  </si>
  <si>
    <t xml:space="preserve">Clinic:
Patient presents today for spring retainer activation. Patient arrived on time: Yes Significant Med/Dental Hx/Changes Med/Dental Hx: No Presenting OH: Great Prophy needed? No Radiograph needed? No Faculty assigned: [DOCTOR] faculty if different from assigned: [DOCTOR] completion date: 9/13/2018 Presenting retention protocol: U Hawley FTW, lower spring retainer FTW (activated once last visit) Compliance: Great Significant findings: - LL2 and LR1 positions are improved but LL2 is still moderately lingually positioned and LR1 is mildly lingually positioned. Today: - Tightened lower labial bow to be tight across the incisors (should straighten out LR1 with other incisors) - Spring activated for facial movement of LL2 (0.5mm activation) Changes to retention protocol: Continue wearing lower hawley FTW until teeth are straight again. NV: Check lower incisor alignment, possibly remove acrylic lingual to the LL1 to cause it to go lingually if incisors still not aligned or do IPR</t>
  </si>
  <si>
    <t xml:space="preserve">pt is ready for tx- see ortho form. records - pan/ceph or CBCT photos and scan
Went over fees for treatment with mother. She had brought her 3 girls in for an exam and wants to know who needs it the most. Per [DOCTOR] this patient could just have a retainer at this time and hold off on treatment. I quoted the mom full treatment as well as the retainer cost of $200. DM</t>
  </si>
  <si>
    <t xml:space="preserve">Ortho Consult: 16yr old female presented for ortho consult with mother. RMH, NSF. has not seen a dentist in over a year. New pt. exam completed, retrognathic mandible, class II tendency. severe crowding in the bottom. please see notes for details. Mother is undecided and was hoping that we do not recommend TX, however, with both class II and severe crwoding, we are recommending full Ortho TX, and most likelt extractions</t>
  </si>
  <si>
    <t xml:space="preserve">Female presents for consulation and bonding of U/L arches CC: I want to straighten my teeth, especially my lower front teeth . RMHx: Pt denies any changes Significant Findings: Molar Class I, crowding U/L. Pt had previous ortho when she was ~10yrs old RDHx: pt denies any changes No contraindications to today's tx Has pt had cleaning since last visit? *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Victory MBT .022 Upper Wire: .014 NiTi 6-6 Lower Wire: .014 NiTi 6-6 skip LL2, LR1 Mechanics Note: OCS LL1-3 and LL1-LR2. Bite turbos U6s NV: Appliance adjustment</t>
  </si>
  <si>
    <t xml:space="preserve">Clinic:
Appliance Adjustment 17y F presents with mother for appliance adjustment. Pt did ok after initial bonding, and no brackets are broken, Bite turbos are still present. There is still crowding in lower arch. Pt is reading "Into the Wild." U: .018 NiTi 6-6 L: retie .014 NiTi 6-6 not engaging LL2 and LR1. OCS LL1-3 and LL1-LR2. Steel ligature used to tie unengaged teeth to archwire. Worked with [DOCTOR]. NV: appliance adjustment</t>
  </si>
  <si>
    <t xml:space="preserve">Clinic:
Appliance Adjustment 17y F presents to ortho clinic. She passed her driver's test recently, went to Sacramento over ski week to visit family. OH today is poor. Pt did a good job of cleaning her teeth when the wires were taken out, but need to monitor OH and encourage more frequent brushing. OHI given. Did IPR 0.2mm on mesial and distal of L2s. May need to do more IPR as we progress to prevent excessive proclination of lower incisors. Space had opened up, mostly distal to LL2 so that continuous archwire engagement could be achieved at this appt. U: .018 NiTi 6-6 (same wire) L: .016 NiTi 6-6 with ends cinched and figure 8 ties on more rotated teeth Worked with [DOCTOR]: appliance adjustment, bond 7s. Also note, pt is overdue for a cleaning. I discussed with pt's mother, and she said they had been out of insurance coverage, but that they should be starting again soon in April. Due to the patient living far away, the mother suggested scheduling cleaning in June because it will be easier to coordinate wire out/in when pt is not in school.</t>
  </si>
  <si>
    <t xml:space="preserve">Clinic:
Appliance Adjustment 17y F presents with mother for appliance adjustment, no CC, no broken brackets, OH is fair. Lower incisors have aligned nicely. Bonded 7s. U: 16 x 25 NiTi L: 18 x 18 NiTi Worked with [DOCTOR]. NV: appliance adjustment</t>
  </si>
  <si>
    <t xml:space="preserve">Clinic:
Appliance Adjustment 17y F presents on time for appliance adjustment, no CC, no broken brackets. OH was fair/poor today. Pt is excited to finish school in ~2 weeks. Pt and her sisters and mother are going to India for 5 weeks from July-August. U: 18 x 25 NiTi 7-7 L: 18 x 25 NiTi 7-7 Worked with [DOCTOR]: 18 x 25 TMA wires, start class II correction (elastics), pt will soon after need more IPR and progress 8x8</t>
  </si>
  <si>
    <t xml:space="preserve">Clinic:
Appliance Adjustment 17y F presents on time with mother, no CC, no broken brackets. OH fair. Alignment is looking pretty good, some teeth will need repo. Canines are end on class II. About 3mm of OJ, but upper incisors look upright still. U: 19 x 25 SS 7-7 L: 17 x 25 SS 7-7 Elastics: class II elastics U3-L6 bilateral, "bear" (1/4", 4.5oz) full time wear Pt is going to India, so our next appt will be at the end of August. Worked with [DOCTOR]. NV: appliance adjustment, check class II correction, 16x13 quick scan CBCT to evaluate root parallelism and incisor inclination, IPR lower as needed</t>
  </si>
  <si>
    <t xml:space="preserve">Clinic:
Patient presents for appliance adjustment. Patient arrived on time: yes Minor patient accompanied by: mother Significant Med/Dental Hx/Changes Med/Dental Hx: no Presenting OH: Needs improvement Alerts if any: * Describe if other alert: * Prophy needed? No Radiogrraph needed? Yes Faculty assigned: [DOCTOR] faculty if different from assigned; [DOCTOR]: Good Molar/Canine: molar class I, canine class II slight OJ/OB: 2/3mm Treatment progress evaluation: good compliance with class II elastics, need slightly more correction Need pano/repo. Pt was supposed to have radiograph today but there was an issue with radiology, so she was unable to have it done. Will do it NV UAW: 19 x 25 SS, reduced PC 7-7, ACOS LAW: 17 x 25 SS, reduced PC 7-7, RCOS Elastics: class II bear bilateral full time Appointment notes: placed ACOS and RCOS in U/L archwires, coordinated upper and lower arches need to do pan/repo NV goal is to finish in 6-9 mo NV: pan/repo</t>
  </si>
  <si>
    <t xml:space="preserve">Clinic:
Patient presents for appliance adjustment. Patient arrived on time: yes Minor patient accompanied by: mother Significant Med/Dental Hx/Changes Med/Dental Hx: pt had 16 x 13 CBCT today Presenting OH: Good Alerts if any: * Describe if other alert: * Prophy needed? Yes Radiogrraph needed? No Faculty assigned: [DOCTOR] faculty if different from assigned; * Compliance: Good Molar/Canine: class I R, slight class II L OJ/OB: 2/1mm Treatment progress evaluation: ready for repo, took progress pano today UAW: 19 x 25 SS, reduced PC 6-6, ACOS LAW: 17 x 25 SS, reduced PC 6-6, RCOS Elastics: bear class II bilateral night time Appointment notes: took progress CBCT Teeth that need repo: UR: 5, 6 U2-2 (distal root tip and bracket heights) UL: 5-6 LL: 3-6 (possibly 7) LR: 3 NV: repos</t>
  </si>
  <si>
    <t xml:space="preserve">Clinic:
Patient presents for appliance adjustment. Patient arrived on time: yes Minor patient accompanied by: mother Significant Med/Dental Hx/Changes Med/Dental Hx: no Presenting OH: needs improvement Alerts if any: * Describe if other alert: * Prophy needed? probably Radiogrraph needed? no Faculty assigned: [DOCTOR] faculty if different from assigned; * Compliance: good Molar/Canine: class I R, end on class II L OJ/OB: * Treatment progress evaluation: pan/repo today UAW: .016 NiTi LAW: .016 NiTi Elastics: discontinue for now Appointment notes: Repo'd: UR: 5, 6 U2-2 UL: 5,6 LL: 3-6 LR: 3 NV: step up either .018 or 16 x 22 NiTi</t>
  </si>
  <si>
    <t xml:space="preserve">Feb 13/18</t>
  </si>
  <si>
    <t xml:space="preserve">Clinic:
Patient presents for comfort visit. Patient arrived on time: yes Minor patient accompanied by: n/a CC: broken bracket Appointment notes: rebonded LL6, same wires U/L .016 NiTi Faculty: [DOCTOR]: as scheduled</t>
  </si>
  <si>
    <t xml:space="preserve">Clinic:
Patient presents for appliance adjustment. Patient arrived on time: yes Minor patient accompanied by: mother Significant Med/Dental Hx/Changes Med/Dental Hx: * Presenting OH: needs improvement, gave OHI Alerts if any: * Describe if other alert: * Prophy needed? possibly Radiogrraph needed? no Faculty assigned: [DOCTOR] faculty if different from assigned; * Compliance: average Molar/Canine: class II ~2mm L, class I R OJ/OB: 3/2mm Treatment progress evaluation: stepping up wires after repo UAW: 16 x 22 NiTi, steel lace 3-3 LAW: .018 NiTi Elastics: none Appointment notes: rebonded LL4 that had debonded encouraged better OH especially near gingival margins NV: step up wires</t>
  </si>
  <si>
    <t xml:space="preserve">Clinic:
Patient presents for appliance adjustment. Patient arrived on time: yes Minor patient accompanied by: mother Significant Med/Dental Hx/Changes Med/Dental Hx: no Presenting OH: needs improvement Alerts if any: * Describe if other alert: * Prophy needed? probably Radiogrraph needed? no Faculty assigned: [DOCTOR] faculty if different from assigned; * Compliance: average Molar/Canine: class II C left, otherwise class I OJ/OB: 4/2mm Treatment progress evaluation: stepping up wires after repos UAW: 19 x 25 NiTi LAW: 19 x 25 NiTi Elastics: none Appointment notes: will step to SS U/L NV and restart class II elastics pt has prom on June 2nd, graduation the following week. going to community college (Junior college?) in Santa Rosa for 2 years NV: SS wires</t>
  </si>
  <si>
    <t xml:space="preserve">Clinic:
Patient presents for appliance adjustment. Patient arrived on time: yes, early Minor patient accompanied by: * Significant Med/Dental Hx/Changes Med/Dental Hx: had prophy last week Presenting OH: poor Alerts if any: * Describe if other alert: * Prophy needed? no Radiogrraph needed? no Faculty assigned: [DOCTOR] faculty if different from assigned; * Compliance: avg Molar/Canine: class II L, class I R OJ/OB: 3/2mm approx Treatment progress evaluation: finishing, class II cxn on L UAW: 18 x 25 SS, PC6-6 LAW: 18 x 25 SS, PC6-6 Elastics: kangaroo R: triangle U3-L3-4 L: class II U3-L6 FULL TIME Appointment notes: pt's OH was poor, lots of food and plaque pt said she had prophy last week showed video of decalcification around brackets and gave proxy brushes, stressed importance of OH LL5 had debonded, bracket was rebonded encouraged good elastic wear to finish soon NV: finishing bends as needed, check space closure upper and class II cxn L</t>
  </si>
  <si>
    <t xml:space="preserve">Code:
pt's treatment with [DOCTOR] and [DOCTOR] today. She needs detailing, class II correction, possible enameloplasty at debond.</t>
  </si>
  <si>
    <t xml:space="preserve">Clinic:
Patient presents for appliance adjustment. Patient arrived on time: yes Minor patient accompanied by: sister, mother Significant Med/Dental Hx/Changes Med/Dental Hx: no Presenting OH: average Alerts if any: * Describe if other alert: * Prophy needed? no Radiogrraph needed? at debond Faculty assigned: [DOCTOR] faculty if different from assigned; * Compliance: good Molar/Canine: slightly class II on L, class I R OJ/OB: 3/2mm Treatment progress evaluation: finishing UAW: 18 x 25 SS, PC6-6 LAW: 18 x 25 SS, PC6-6 Elastics: kangaroo L: class II R: triangle U3-L3-4 Appointment notes: detailing bends: step up (extrude) LR1 extrude distal UL5 extrude UR2 performed 0.1mm IPR mesial L3-3 NV: assess upper space closure, more lower IPR as needed, check class II cxn on L</t>
  </si>
  <si>
    <t xml:space="preserve">Sep 18/18</t>
  </si>
  <si>
    <t xml:space="preserve">Clinic:
Patient presents for appliance adjustment. Patient arrived on time: yes Minor patient accompanied by: * Significant Med/Dental Hx/Changes Med/Dental Hx: no updates reported Presenting OH: fair Alerts if any: * Describe if other alert: * Prophy needed? no Radiogrraph needed? no Faculty assigned: [DOCTOR] faculty if different from assigned; * Compliance: good Molar/Canine: I/I bilateral OJ/OB: 1/2 Treatment progress evaluation: some minor MR ridge and smile design discrepancies , out of OJ. UAW: 018x025 SS PC 6-6 LAW: 018x025 PC 6-6 Elastics: upper 3 to lower 3-6 bilateral for vertical and maintain class II correction Appointment notes: detail bends: UR2 - step down LL2 - step up NV: eval progress, make final adjustments and schedule for debond in 1 week if indicated</t>
  </si>
  <si>
    <t xml:space="preserve">Sep 27/18</t>
  </si>
  <si>
    <t xml:space="preserve">Clinic:
Patient presents for comfort visit. Patient arrived on time: yes Minor patient accompanied by: mother CC: LR brackets lost Appointment notes: removed archwire and replaced UR 7 bracket. Replaced archwire Faculty: [DOCTOR]: final adjustments as needed and schedule for debond in 1 week</t>
  </si>
  <si>
    <t xml:space="preserve">Oct 30/18</t>
  </si>
  <si>
    <t xml:space="preserve">Clinic:
Patient presents for appliance adjustment. Patient arrived on time: yes Minor patient accompanied by: self Significant Med/Dental Hx/Changes Med/Dental Hx: no updates reported Presenting OH: fair Alerts if any: * Describe if other alert: * Prophy needed? * Radiogrraph needed? * Faculty assigned: [DOCTOR] faculty if different from assigned; * Compliance: great Molar/Canine: I/I bilat OJ/OB: 1/2 Treatment progress evaluation: teeth are class I and fully intercuspaded on both sides. LR2 is better aligned but could benifit from minor increase to vertical. Patient ready for debond UAW: 019x025 SS PC 6-6 LAW: 019x025 SS PC 6-6 Elastics: upper 3 to lower 3-6 bilateral Appointment notes: made minor detail adjustments. Patient ready to debond next visit. replaced archwires with new power chain. Patient reported being happy with results and did not desire enamel plasty on upper 3. NV: Debond</t>
  </si>
  <si>
    <t xml:space="preserve">Nov 26/18</t>
  </si>
  <si>
    <t xml:space="preserve">Clinic:
Patient presents today for: Treatment completion Form signed: Treatment completion Patient arrived on time? yes Minor patient accompanied by: * Significant Med Hx: no Changes Med Hx: no updates reported Dental Hx Changes: no updates reported Prophy needed: yes Radiograph needed: final CBCT Presenting OH: Needs improvement Compliance: Average Alerts: CRA Describe if Other Alert * Assigned Faculty: is poor and white spots present Covering Faculty: [DOCTOR]: Brackets Describe if Other * Appointment notes including results deviating from ideal: removed brackets, removed gross composite with fine carbide, polished with brown and white polishing cones. Patient reported that all teeth felt smooth. Gingival swollen on posteriors and lower anterior due to poor OH. NV: Deliver retainer and final records and CBCT
Final record has been rescheduled to be taken on 11/30/18.</t>
  </si>
  <si>
    <t xml:space="preserve">Nov 27/18</t>
  </si>
  <si>
    <t xml:space="preserve">Clinic:
Final record has been rescheduled to be taken on 11/30/18.</t>
  </si>
  <si>
    <t xml:space="preserve">Nov 30/18</t>
  </si>
  <si>
    <t xml:space="preserve">Appointments:
Nov 30/18 D0470F C Final Diagnostic Casts Both
Clinic:
Patient arrived for delivery of retainers. Patient arrived on time: * Minor patient accompanied by: * Significant Med/Dental Hx/Changes Med/Dental Hx: * Presenting OH: * Alerts if any: * Faculty assigned: * Covering faculty if different from assigned; * Type of retainers delivered:: * Retention protocol: * Appointments notes: delivered upper and lower hawley. adjusted lower hawley to improve retention. Patient reported both were comfortbale. Provided home care intruction. Intructed to wear full tiem for next month NV: 1 month eval</t>
  </si>
  <si>
    <t xml:space="preserve">Jan 11/19</t>
  </si>
  <si>
    <t xml:space="preserve">Clinic:
Patient presents today for retainer check. Patient arrived on time: yes Minor patient accompanied by: * Significant Med/Dental Hx/Changes Med/Dental Hx: No Presenting OH: good Alerts if any: * Prophy needed? No Radiogrraph needed? no Faculty assigned: [DOCTOR] faculty if different from assigned; * Patient completion date: 12/2018 Presenting retention protocol: upper and lower Hawley with full time wear Compliance: good Significant findings: teeth remain well aligned. Lower retainer retentive. Upper retainer less retentive than ideal --&gt; tightened upper retainer at clasps Changes to retention protocol: full tiem weekdays, night only on weekends untill 3 month retainer check. NV: 3 month retainer check</t>
  </si>
  <si>
    <t xml:space="preserve">Clinic:
Tightened upper and lower retainer for retention. Leveled anterior wire on upper which had become skewed with wear. Teeth maintain ideal alignment --&gt; Night wear indicated. NV: 6 month retainer check</t>
  </si>
  <si>
    <t xml:space="preserve">Additional notes</t>
  </si>
  <si>
    <t xml:space="preserve">Posterior Intrusion</t>
  </si>
  <si>
    <t xml:space="preserve">Posterior Extrusion</t>
  </si>
  <si>
    <t xml:space="preserve">Anterior Intrusion</t>
  </si>
  <si>
    <t xml:space="preserve">Distalization</t>
  </si>
  <si>
    <t xml:space="preserve">Mesialization</t>
  </si>
  <si>
    <t xml:space="preserve">Tipping</t>
  </si>
  <si>
    <t xml:space="preserve">ENT</t>
  </si>
  <si>
    <t xml:space="preserve">Endo</t>
  </si>
  <si>
    <t xml:space="preserve">PCP</t>
  </si>
  <si>
    <t xml:space="preserve">Periodontist</t>
  </si>
  <si>
    <t xml:space="preserve">Prosthodontics</t>
  </si>
  <si>
    <t xml:space="preserve"> ¾ Class II</t>
  </si>
  <si>
    <t xml:space="preserve"> full cusp class III</t>
  </si>
  <si>
    <t xml:space="preserve">open bite</t>
  </si>
  <si>
    <t xml:space="preserve">negative</t>
  </si>
  <si>
    <t xml:space="preserve">Roth conventional 0.022"</t>
  </si>
  <si>
    <t xml:space="preserve">Roth conventional 0.018"</t>
  </si>
  <si>
    <t xml:space="preserve">Standart conventional 0.018"</t>
  </si>
  <si>
    <t xml:space="preserve">Bioforce</t>
  </si>
  <si>
    <t xml:space="preserve">0.021"x0.025"</t>
  </si>
  <si>
    <t xml:space="preserve">Hummingbird</t>
  </si>
  <si>
    <t xml:space="preserve">Owl</t>
  </si>
  <si>
    <t xml:space="preserve">Road Runner</t>
  </si>
  <si>
    <t xml:space="preserve">Peacock</t>
  </si>
  <si>
    <t xml:space="preserve">Otter</t>
  </si>
  <si>
    <t xml:space="preserve">Seal</t>
  </si>
  <si>
    <t xml:space="preserve">Dolphin</t>
  </si>
  <si>
    <t xml:space="preserve">Turtle</t>
  </si>
  <si>
    <t xml:space="preserve">Donkey</t>
  </si>
  <si>
    <t xml:space="preserve">Chipmunk</t>
  </si>
  <si>
    <t xml:space="preserve">Penguin</t>
  </si>
  <si>
    <t xml:space="preserve">Monkey</t>
  </si>
  <si>
    <t xml:space="preserve">Zebra</t>
  </si>
  <si>
    <t xml:space="preserve">Camel</t>
  </si>
  <si>
    <t xml:space="preserve">Moose</t>
  </si>
  <si>
    <t xml:space="preserve">Buffalo</t>
  </si>
  <si>
    <t xml:space="preserve">Herbst</t>
  </si>
  <si>
    <t xml:space="preserve">MARA</t>
  </si>
  <si>
    <t xml:space="preserve">Twinblock</t>
  </si>
  <si>
    <t xml:space="preserve">combi head gear</t>
  </si>
  <si>
    <t xml:space="preserve">pendulum</t>
  </si>
  <si>
    <t xml:space="preserve">carriere</t>
  </si>
  <si>
    <t xml:space="preserve">MARPE</t>
  </si>
  <si>
    <t xml:space="preserve">FaceMask / Reverse pull headgear</t>
  </si>
  <si>
    <t xml:space="preserve">Quad Helix</t>
  </si>
  <si>
    <t xml:space="preserve">Pain or Discomfort</t>
  </si>
  <si>
    <t xml:space="preserve">Appliance breakage</t>
  </si>
  <si>
    <t xml:space="preserve">Lost separator</t>
  </si>
  <si>
    <t xml:space="preserve">Renainer Check</t>
  </si>
</sst>
</file>

<file path=xl/styles.xml><?xml version="1.0" encoding="utf-8"?>
<styleSheet xmlns="http://schemas.openxmlformats.org/spreadsheetml/2006/main">
  <numFmts count="4">
    <numFmt numFmtId="164" formatCode="General"/>
    <numFmt numFmtId="165" formatCode="@"/>
    <numFmt numFmtId="166" formatCode="m/d/yyyy"/>
    <numFmt numFmtId="167" formatCode="General"/>
  </numFmts>
  <fonts count="15">
    <font>
      <sz val="12"/>
      <color rgb="FF000000"/>
      <name val="Aptos Narrow"/>
      <family val="2"/>
      <charset val="1"/>
    </font>
    <font>
      <sz val="10"/>
      <name val="Arial"/>
      <family val="0"/>
    </font>
    <font>
      <sz val="10"/>
      <name val="Arial"/>
      <family val="0"/>
    </font>
    <font>
      <sz val="10"/>
      <name val="Arial"/>
      <family val="0"/>
    </font>
    <font>
      <b val="true"/>
      <sz val="16"/>
      <color rgb="FFFFFFFF"/>
      <name val="Calibri (Body)"/>
      <family val="0"/>
      <charset val="1"/>
    </font>
    <font>
      <b val="true"/>
      <sz val="14"/>
      <color rgb="FFFFFFFF"/>
      <name val="Calibri (Body)"/>
      <family val="0"/>
      <charset val="1"/>
    </font>
    <font>
      <b val="true"/>
      <sz val="18"/>
      <color rgb="FFFFFFFF"/>
      <name val="Calibri"/>
      <family val="2"/>
      <charset val="1"/>
    </font>
    <font>
      <sz val="11"/>
      <color rgb="FF242424"/>
      <name val="Aptos Narrow"/>
      <family val="0"/>
      <charset val="1"/>
    </font>
    <font>
      <sz val="12"/>
      <color rgb="FF000000"/>
      <name val="Aptos Narrow"/>
      <family val="0"/>
      <charset val="1"/>
    </font>
    <font>
      <sz val="12"/>
      <color rgb="FFFF0000"/>
      <name val="Aptos Narrow"/>
      <family val="0"/>
      <charset val="1"/>
    </font>
    <font>
      <sz val="11"/>
      <color rgb="FF000000"/>
      <name val="Calibri"/>
      <family val="2"/>
      <charset val="1"/>
    </font>
    <font>
      <b val="true"/>
      <sz val="16"/>
      <color rgb="FFFFFFFF"/>
      <name val="Calibri"/>
      <family val="2"/>
      <charset val="1"/>
    </font>
    <font>
      <b val="true"/>
      <sz val="14"/>
      <color rgb="FFFFFFFF"/>
      <name val="Calibri"/>
      <family val="2"/>
      <charset val="1"/>
    </font>
    <font>
      <sz val="12"/>
      <color rgb="FFFF0000"/>
      <name val="Aptos Narrow"/>
      <family val="2"/>
      <charset val="1"/>
    </font>
    <font>
      <sz val="16"/>
      <color rgb="FF000000"/>
      <name val="Aptos Narrow"/>
      <family val="2"/>
      <charset val="1"/>
    </font>
  </fonts>
  <fills count="6">
    <fill>
      <patternFill patternType="none"/>
    </fill>
    <fill>
      <patternFill patternType="gray125"/>
    </fill>
    <fill>
      <patternFill patternType="solid">
        <fgColor rgb="FF366092"/>
        <bgColor rgb="FF215F9A"/>
      </patternFill>
    </fill>
    <fill>
      <patternFill patternType="solid">
        <fgColor rgb="FFFFFFFF"/>
        <bgColor rgb="FFFFFFCC"/>
      </patternFill>
    </fill>
    <fill>
      <patternFill patternType="solid">
        <fgColor rgb="FFFFFF00"/>
        <bgColor rgb="FFFFFF00"/>
      </patternFill>
    </fill>
    <fill>
      <patternFill patternType="solid">
        <fgColor rgb="FF215F9A"/>
        <bgColor rgb="FF366092"/>
      </patternFill>
    </fill>
  </fills>
  <borders count="3">
    <border diagonalUp="false" diagonalDown="false">
      <left/>
      <right/>
      <top/>
      <bottom/>
      <diagonal/>
    </border>
    <border diagonalUp="false" diagonalDown="false">
      <left style="thin"/>
      <right style="thin"/>
      <top style="thin"/>
      <bottom style="thin"/>
      <diagonal/>
    </border>
    <border diagonalUp="false" diagonalDown="false">
      <left/>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8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1" xfId="0" applyFont="true" applyBorder="true" applyAlignment="true" applyProtection="false">
      <alignment horizontal="center" vertical="center" textRotation="0" wrapText="true" indent="0" shrinkToFit="false"/>
      <protection locked="true" hidden="false"/>
    </xf>
    <xf numFmtId="164" fontId="5" fillId="2" borderId="1" xfId="0" applyFont="true" applyBorder="true" applyAlignment="true" applyProtection="false">
      <alignment horizontal="center" vertical="center" textRotation="0" wrapText="true" indent="0" shrinkToFit="false"/>
      <protection locked="true" hidden="false"/>
    </xf>
    <xf numFmtId="164" fontId="6" fillId="2" borderId="1" xfId="0" applyFont="true" applyBorder="tru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0" fillId="0" borderId="1" xfId="0" applyFont="false" applyBorder="true" applyAlignment="true" applyProtection="false">
      <alignment horizontal="general" vertical="center" textRotation="0" wrapText="false" indent="0" shrinkToFit="false"/>
      <protection locked="true" hidden="false"/>
    </xf>
    <xf numFmtId="165" fontId="6" fillId="2" borderId="1" xfId="0" applyFont="true" applyBorder="true" applyAlignment="true" applyProtection="false">
      <alignment horizontal="center" vertical="center" textRotation="0" wrapText="tru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6" fontId="0" fillId="0" borderId="1" xfId="0" applyFont="fals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7" fontId="0" fillId="0" borderId="1" xfId="0" applyFont="fals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3" borderId="1" xfId="0" applyFont="false" applyBorder="true" applyAlignment="true" applyProtection="false">
      <alignment horizontal="general" vertical="center" textRotation="0" wrapText="false" indent="0" shrinkToFit="false"/>
      <protection locked="true" hidden="false"/>
    </xf>
    <xf numFmtId="166" fontId="0" fillId="3" borderId="1" xfId="0" applyFont="false" applyBorder="true" applyAlignment="true" applyProtection="false">
      <alignment horizontal="general" vertical="center" textRotation="0" wrapText="false" indent="0" shrinkToFit="false"/>
      <protection locked="true" hidden="false"/>
    </xf>
    <xf numFmtId="164" fontId="0" fillId="3" borderId="1" xfId="0" applyFont="true" applyBorder="true" applyAlignment="true" applyProtection="false">
      <alignment horizontal="general" vertical="center" textRotation="0" wrapText="true" indent="0" shrinkToFit="false"/>
      <protection locked="true" hidden="false"/>
    </xf>
    <xf numFmtId="164" fontId="7" fillId="0" borderId="1" xfId="0" applyFont="true" applyBorder="true" applyAlignment="true" applyProtection="false">
      <alignment horizontal="general" vertical="bottom" textRotation="0" wrapText="true" indent="0" shrinkToFit="false"/>
      <protection locked="true" hidden="false"/>
    </xf>
    <xf numFmtId="164" fontId="0" fillId="3" borderId="1" xfId="0" applyFont="false" applyBorder="true" applyAlignment="true" applyProtection="false">
      <alignment horizontal="general" vertical="center" textRotation="0" wrapText="false" indent="0" shrinkToFit="false"/>
      <protection locked="true" hidden="false"/>
    </xf>
    <xf numFmtId="167" fontId="0" fillId="3" borderId="1" xfId="0" applyFont="false" applyBorder="true" applyAlignment="true" applyProtection="false">
      <alignment horizontal="general" vertical="center" textRotation="0" wrapText="false" indent="0" shrinkToFit="false"/>
      <protection locked="true" hidden="false"/>
    </xf>
    <xf numFmtId="164" fontId="0" fillId="3" borderId="1" xfId="0" applyFont="true" applyBorder="true" applyAlignment="true" applyProtection="false">
      <alignment horizontal="general"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false" indent="0" shrinkToFit="false"/>
      <protection locked="true" hidden="false"/>
    </xf>
    <xf numFmtId="166"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7" fontId="0" fillId="0" borderId="0" xfId="0" applyFont="false" applyBorder="false" applyAlignment="true" applyProtection="false">
      <alignment horizontal="general" vertical="center"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8" fillId="4" borderId="0" xfId="0" applyFont="true" applyBorder="false" applyAlignment="true" applyProtection="false">
      <alignment horizontal="general" vertical="bottom" textRotation="0" wrapText="true" indent="0" shrinkToFit="false"/>
      <protection locked="true" hidden="false"/>
    </xf>
    <xf numFmtId="164" fontId="10" fillId="0" borderId="0" xfId="0" applyFont="true" applyBorder="false" applyAlignment="true" applyProtection="false">
      <alignment horizontal="general" vertical="bottom" textRotation="0" wrapText="true" indent="0" shrinkToFit="false"/>
      <protection locked="true" hidden="false"/>
    </xf>
    <xf numFmtId="164" fontId="10" fillId="3" borderId="0" xfId="0" applyFont="true" applyBorder="false" applyAlignment="true" applyProtection="false">
      <alignment horizontal="general" vertical="bottom" textRotation="0" wrapText="true" indent="0" shrinkToFit="false"/>
      <protection locked="true" hidden="false"/>
    </xf>
    <xf numFmtId="166" fontId="10"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false" applyBorder="false" applyAlignment="true" applyProtection="false">
      <alignment horizontal="general" vertical="center" textRotation="0" wrapText="true" indent="0" shrinkToFit="false"/>
      <protection locked="true" hidden="false"/>
    </xf>
    <xf numFmtId="164" fontId="8" fillId="4" borderId="0" xfId="0" applyFont="true" applyBorder="false" applyAlignment="true" applyProtection="false">
      <alignment horizontal="general" vertical="center" textRotation="0" wrapText="true" indent="0" shrinkToFit="false"/>
      <protection locked="true" hidden="false"/>
    </xf>
    <xf numFmtId="164" fontId="0" fillId="4" borderId="0" xfId="0" applyFont="true" applyBorder="false" applyAlignment="true" applyProtection="false">
      <alignment horizontal="general" vertical="center" textRotation="0" wrapText="true" indent="0" shrinkToFit="false"/>
      <protection locked="true" hidden="false"/>
    </xf>
    <xf numFmtId="164" fontId="5" fillId="2" borderId="1" xfId="0" applyFont="true" applyBorder="true" applyAlignment="true" applyProtection="false">
      <alignment horizontal="center"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6" fontId="0" fillId="4" borderId="0" xfId="0" applyFont="fals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7" fontId="0" fillId="4" borderId="0" xfId="0" applyFont="fals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11" fillId="5" borderId="1" xfId="0" applyFont="true" applyBorder="true" applyAlignment="true" applyProtection="false">
      <alignment horizontal="left" vertical="center" textRotation="0" wrapText="true" indent="0" shrinkToFit="false"/>
      <protection locked="true" hidden="false"/>
    </xf>
    <xf numFmtId="164" fontId="11" fillId="5" borderId="2" xfId="0" applyFont="true" applyBorder="true" applyAlignment="true" applyProtection="false">
      <alignment horizontal="left" vertical="center" textRotation="0" wrapText="true" indent="0" shrinkToFit="false"/>
      <protection locked="true" hidden="false"/>
    </xf>
    <xf numFmtId="164" fontId="12" fillId="5" borderId="2" xfId="0" applyFont="true" applyBorder="true" applyAlignment="true" applyProtection="false">
      <alignment horizontal="left" vertical="center" textRotation="0" wrapText="true" indent="0" shrinkToFit="false"/>
      <protection locked="true" hidden="false"/>
    </xf>
    <xf numFmtId="164" fontId="6" fillId="5" borderId="2" xfId="0" applyFont="true" applyBorder="true" applyAlignment="true" applyProtection="false">
      <alignment horizontal="left" vertical="center" textRotation="0" wrapText="true" indent="0" shrinkToFit="false"/>
      <protection locked="true" hidden="false"/>
    </xf>
    <xf numFmtId="164" fontId="0" fillId="5" borderId="0" xfId="0" applyFont="false" applyBorder="false" applyAlignment="true" applyProtection="false">
      <alignment horizontal="left" vertical="center" textRotation="0" wrapText="true" indent="0" shrinkToFit="false"/>
      <protection locked="true" hidden="false"/>
    </xf>
    <xf numFmtId="164" fontId="8" fillId="0" borderId="0" xfId="0" applyFont="true" applyBorder="false" applyAlignment="true" applyProtection="false">
      <alignment horizontal="left" vertical="bottom" textRotation="0" wrapText="true" indent="0" shrinkToFit="false"/>
      <protection locked="true" hidden="false"/>
    </xf>
    <xf numFmtId="167" fontId="8" fillId="0" borderId="0" xfId="0" applyFont="true" applyBorder="false" applyAlignment="true" applyProtection="false">
      <alignment horizontal="left" vertical="bottom" textRotation="0" wrapText="true" indent="0" shrinkToFit="false"/>
      <protection locked="true" hidden="false"/>
    </xf>
    <xf numFmtId="164" fontId="8" fillId="0" borderId="0" xfId="0" applyFont="true" applyBorder="false" applyAlignment="true" applyProtection="false">
      <alignment horizontal="left" vertical="bottom" textRotation="0" wrapText="true" indent="0" shrinkToFit="false"/>
      <protection locked="true" hidden="false"/>
    </xf>
    <xf numFmtId="164" fontId="0" fillId="0" borderId="0" xfId="0" applyFont="true" applyBorder="false" applyAlignment="true" applyProtection="false">
      <alignment horizontal="left" vertical="bottom" textRotation="0" wrapText="true" indent="0" shrinkToFit="false"/>
      <protection locked="true" hidden="false"/>
    </xf>
    <xf numFmtId="164" fontId="9" fillId="0" borderId="0" xfId="0" applyFont="true" applyBorder="false" applyAlignment="true" applyProtection="false">
      <alignment horizontal="left" vertical="bottom" textRotation="0" wrapText="true" indent="0" shrinkToFit="false"/>
      <protection locked="true" hidden="false"/>
    </xf>
    <xf numFmtId="164" fontId="11" fillId="2" borderId="1" xfId="0" applyFont="true" applyBorder="true" applyAlignment="true" applyProtection="false">
      <alignment horizontal="center" vertical="center" textRotation="0" wrapText="true" indent="0" shrinkToFit="false"/>
      <protection locked="true" hidden="false"/>
    </xf>
    <xf numFmtId="164" fontId="11" fillId="2" borderId="2" xfId="0" applyFont="true" applyBorder="true" applyAlignment="true" applyProtection="false">
      <alignment horizontal="center" vertical="center" textRotation="0" wrapText="true" indent="0" shrinkToFit="false"/>
      <protection locked="true" hidden="false"/>
    </xf>
    <xf numFmtId="164" fontId="12" fillId="2" borderId="2"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7" fontId="8" fillId="0" borderId="0" xfId="0" applyFont="true" applyBorder="false" applyAlignment="true" applyProtection="false">
      <alignment horizontal="general" vertical="bottom" textRotation="0" wrapText="tru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7" fontId="0"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7" fontId="0" fillId="0" borderId="0" xfId="0" applyFont="true" applyBorder="false" applyAlignment="true" applyProtection="false">
      <alignment horizontal="general" vertical="center" textRotation="0" wrapText="tru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13" fillId="0" borderId="0" xfId="0" applyFont="true" applyBorder="false" applyAlignment="true" applyProtection="false">
      <alignment horizontal="general" vertical="center" textRotation="0" wrapText="true" indent="0" shrinkToFit="false"/>
      <protection locked="true" hidden="false"/>
    </xf>
    <xf numFmtId="164" fontId="13" fillId="0" borderId="0" xfId="0" applyFont="true" applyBorder="false" applyAlignment="true" applyProtection="false">
      <alignment horizontal="general" vertical="center" textRotation="0" wrapText="true" indent="0" shrinkToFit="false"/>
      <protection locked="true" hidden="false"/>
    </xf>
    <xf numFmtId="167" fontId="13" fillId="0" borderId="0" xfId="0" applyFont="true" applyBorder="false" applyAlignment="true" applyProtection="false">
      <alignment horizontal="general" vertical="center" textRotation="0" wrapText="tru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7" fontId="13" fillId="0" borderId="0" xfId="0" applyFont="true" applyBorder="false" applyAlignment="true" applyProtection="false">
      <alignment horizontal="general" vertical="center" textRotation="0" wrapText="false" indent="0" shrinkToFit="false"/>
      <protection locked="true" hidden="false"/>
    </xf>
    <xf numFmtId="164" fontId="6" fillId="2" borderId="1" xfId="0" applyFont="true" applyBorder="true" applyAlignment="true" applyProtection="false">
      <alignment horizontal="left" vertical="center" textRotation="0" wrapText="true" indent="0" shrinkToFit="false"/>
      <protection locked="true" hidden="false"/>
    </xf>
    <xf numFmtId="164" fontId="14" fillId="0" borderId="0" xfId="0" applyFont="true" applyBorder="false" applyAlignment="true" applyProtection="false">
      <alignment horizontal="center" vertical="center" textRotation="0" wrapText="false" indent="0" shrinkToFit="false"/>
      <protection locked="true" hidden="false"/>
    </xf>
    <xf numFmtId="167" fontId="14" fillId="0" borderId="0" xfId="0" applyFont="true" applyBorder="false" applyAlignment="true" applyProtection="false">
      <alignment horizontal="center" vertical="center"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left" vertical="center" textRotation="0" wrapText="true" indent="0" shrinkToFit="false"/>
      <protection locked="true" hidden="false"/>
    </xf>
    <xf numFmtId="165" fontId="14" fillId="0" borderId="2" xfId="0" applyFont="true" applyBorder="true" applyAlignment="true" applyProtection="false">
      <alignment horizontal="center" vertical="center" textRotation="0" wrapText="true" indent="0" shrinkToFit="false"/>
      <protection locked="true" hidden="false"/>
    </xf>
    <xf numFmtId="164" fontId="14" fillId="0" borderId="2" xfId="0" applyFont="true" applyBorder="true" applyAlignment="true" applyProtection="false">
      <alignment horizontal="center" vertical="center" textRotation="0" wrapText="true" indent="0" shrinkToFit="false"/>
      <protection locked="true" hidden="false"/>
    </xf>
    <xf numFmtId="167" fontId="14" fillId="0" borderId="0" xfId="0" applyFont="true" applyBorder="false" applyAlignment="true" applyProtection="false">
      <alignment horizontal="center" vertical="center" textRotation="0" wrapText="true" indent="0" shrinkToFit="false"/>
      <protection locked="true" hidden="false"/>
    </xf>
    <xf numFmtId="164" fontId="14" fillId="0" borderId="1" xfId="0" applyFont="true" applyBorder="true" applyAlignment="true" applyProtection="false">
      <alignment horizontal="center" vertical="center" textRotation="0" wrapText="true" indent="0" shrinkToFit="false"/>
      <protection locked="true" hidden="false"/>
    </xf>
    <xf numFmtId="164" fontId="6" fillId="2" borderId="2" xfId="0" applyFont="true" applyBorder="tru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215F9A"/>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9900"/>
      <rgbColor rgb="FFFF6600"/>
      <rgbColor rgb="FF366092"/>
      <rgbColor rgb="FF969696"/>
      <rgbColor rgb="FF003366"/>
      <rgbColor rgb="FF00B050"/>
      <rgbColor rgb="FF003300"/>
      <rgbColor rgb="FF333300"/>
      <rgbColor rgb="FF993300"/>
      <rgbColor rgb="FF993366"/>
      <rgbColor rgb="FF333399"/>
      <rgbColor rgb="FF242424"/>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sharedStrings" Target="sharedStrings.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1.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vmlDrawing" Target="../drawings/vmlDrawing2.v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3.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vmlDrawing" Target="../drawings/vmlDrawing4.vml"/>
</Relationships>
</file>

<file path=xl/worksheets/_rels/sheet17.xml.rels><?xml version="1.0" encoding="UTF-8"?>
<Relationships xmlns="http://schemas.openxmlformats.org/package/2006/relationships"><Relationship Id="rId1" Type="http://schemas.openxmlformats.org/officeDocument/2006/relationships/comments" Target="../comments17.xml"/><Relationship Id="rId2" Type="http://schemas.openxmlformats.org/officeDocument/2006/relationships/vmlDrawing" Target="../drawings/vmlDrawing5.v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vmlDrawing" Target="../drawings/vmlDrawing6.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FF0000"/>
    <pageSetUpPr fitToPage="false"/>
  </sheetPr>
  <dimension ref="A1:CI7"/>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G2" activeCellId="0" sqref="G2"/>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6" min="5"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7" customFormat="false" ht="15.75" hidden="false" customHeight="false" outlineLevel="0" collapsed="false">
      <c r="AN7" s="8"/>
    </row>
  </sheetData>
  <dataValidations count="28">
    <dataValidation allowBlank="true" errorStyle="stop" operator="between" showDropDown="false" showErrorMessage="true" showInputMessage="true" sqref="AD2:AD1001" type="list">
      <formula1>list!$B$25:$E$25</formula1>
      <formula2>0</formula2>
    </dataValidation>
    <dataValidation allowBlank="true" errorStyle="stop" operator="between" showDropDown="false" showErrorMessage="true" showInputMessage="true" sqref="BY2:CI1001" type="list">
      <formula1>list!$B$72:$C$72</formula1>
      <formula2>0</formula2>
    </dataValidation>
    <dataValidation allowBlank="true" errorStyle="stop" operator="between" showDropDown="false" showErrorMessage="true" showInputMessage="true" sqref="BW2:BX1001" type="list">
      <formula1>list!$B$70:$F$70</formula1>
      <formula2>0</formula2>
    </dataValidation>
    <dataValidation allowBlank="true" errorStyle="stop" operator="between" showDropDown="false" showErrorMessage="true" showInputMessage="true" sqref="BV2:BV1001" type="list">
      <formula1>list!$B$69:$C$69</formula1>
      <formula2>0</formula2>
    </dataValidation>
    <dataValidation allowBlank="true" errorStyle="stop" operator="between" showDropDown="false" showErrorMessage="true" showInputMessage="true" sqref="BU2:BU1001" type="list">
      <formula1>list!$B$68:$G$68</formula1>
      <formula2>0</formula2>
    </dataValidation>
    <dataValidation allowBlank="true" errorStyle="stop" operator="between" showDropDown="false" showErrorMessage="true" showInputMessage="true" sqref="BR2:BR1001" type="list">
      <formula1>list!$B$65:$F$65</formula1>
      <formula2>0</formula2>
    </dataValidation>
    <dataValidation allowBlank="true" errorStyle="stop" operator="between" showDropDown="false" showErrorMessage="true" showInputMessage="true" sqref="BQ2:BQ1001" type="list">
      <formula1>list!$B$64:$E$64</formula1>
      <formula2>0</formula2>
    </dataValidation>
    <dataValidation allowBlank="true" errorStyle="stop" operator="between" showDropDown="false" showErrorMessage="true" showInputMessage="true" sqref="BB2:BB1001" type="list">
      <formula1>list!$B$49:$P$49</formula1>
      <formula2>0</formula2>
    </dataValidation>
    <dataValidation allowBlank="true" errorStyle="stop" operator="between" showDropDown="false" showErrorMessage="true" showInputMessage="true" sqref="AX2:BA1001 BC2:BP1001 BS2:BT1001" type="list">
      <formula1>list!$B$50:$C$50</formula1>
      <formula2>0</formula2>
    </dataValidation>
    <dataValidation allowBlank="true" errorStyle="stop" operator="between" showDropDown="false" showErrorMessage="true" showInputMessage="true" sqref="AU2:AU1001 AW2:AW1001" type="list">
      <formula1>list!$B$42:$Z$42</formula1>
      <formula2>0</formula2>
    </dataValidation>
    <dataValidation allowBlank="true" errorStyle="stop" operator="between" showDropDown="false" showErrorMessage="true" showInputMessage="true" sqref="AM2:AN1001" type="list">
      <formula1>list!$B$34:$C$34</formula1>
      <formula2>0</formula2>
    </dataValidation>
    <dataValidation allowBlank="true" errorStyle="stop" operator="between" showDropDown="false" showErrorMessage="true" showInputMessage="true" sqref="AL2:AL1001" type="list">
      <formula1>list!$B$33:$H$33</formula1>
      <formula2>0</formula2>
    </dataValidation>
    <dataValidation allowBlank="true" errorStyle="stop" operator="between" showDropDown="false" showErrorMessage="true" showInputMessage="true" sqref="AF2:AK1001" type="list">
      <formula1>list!$B$27:$C$27</formula1>
      <formula2>0</formula2>
    </dataValidation>
    <dataValidation allowBlank="true" errorStyle="stop" operator="between" showDropDown="false" showErrorMessage="true" showInputMessage="true" sqref="AE2:AE1001" type="list">
      <formula1>list!$B$26:$E$26</formula1>
      <formula2>0</formula2>
    </dataValidation>
    <dataValidation allowBlank="true" errorStyle="stop" operator="between" showDropDown="false" showErrorMessage="true" showInputMessage="true" sqref="Z2:AC1001" type="list">
      <formula1>list!$B$21:$M$21</formula1>
      <formula2>0</formula2>
    </dataValidation>
    <dataValidation allowBlank="true" errorStyle="stop" operator="between" showDropDown="false" showErrorMessage="true" showInputMessage="true" sqref="V2:W1001" type="list">
      <formula1>list!$B$17:$J$17</formula1>
      <formula2>0</formula2>
    </dataValidation>
    <dataValidation allowBlank="true" errorStyle="stop" operator="between" showDropDown="false" showErrorMessage="true" showInputMessage="true" sqref="G2:U1001" type="list">
      <formula1>list!$B$2:$C$2</formula1>
      <formula2>0</formula2>
    </dataValidation>
    <dataValidation allowBlank="true" errorStyle="stop" operator="between" showDropDown="false" showErrorMessage="true" showInputMessage="true" sqref="AO2:AO1001 AQ2:AQ1001" type="list">
      <formula1>list!$B$36:$G$36</formula1>
      <formula2>0</formula2>
    </dataValidation>
    <dataValidation allowBlank="true" errorStyle="stop" operator="between" showDropDown="false" showErrorMessage="true" showInputMessage="true" sqref="AS2:AT2 AS3: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V2:AV1001 AT3:AT1001" type="list">
      <formula1>list!$B$41:$F$41</formula1>
      <formula2>0</formula2>
    </dataValidation>
    <dataValidation allowBlank="true" errorStyle="stop" operator="between" showDropDown="false" showErrorMessage="true" showInputMessage="true" sqref="AS123:AS1001" type="list">
      <formula1>list!$B$40:$G$40</formula1>
      <formula2>0</formula2>
    </dataValidation>
    <dataValidation allowBlank="true" errorStyle="stop" operator="between" showDropDown="false" showErrorMessage="true" showInputMessage="true" sqref="Y155:Y1001" type="list">
      <formula1>list!$B$20:$H$20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P97:AP101" type="list">
      <formula1>list!$B$37:$P$37</formula1>
      <formula2>0</formula2>
    </dataValidation>
    <dataValidation allowBlank="true" errorStyle="stop" operator="between" showDropDown="false" showErrorMessage="true" showInputMessage="true" sqref="X103:X1001" type="list">
      <formula1>list!$B$19:$C$19</formula1>
      <formula2>0</formula2>
    </dataValidation>
    <dataValidation allowBlank="true" errorStyle="stop" operator="between" showDropDown="false" showErrorMessage="true" showInputMessage="true" sqref="AR100:AR1001 AP102:AP1001" type="list">
      <formula1>list!$B$37:$O$37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1048576"/>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CC2" activePane="bottomRight" state="frozen"/>
      <selection pane="topLeft" activeCell="A1" activeCellId="0" sqref="A1"/>
      <selection pane="topRight" activeCell="CC1" activeCellId="0" sqref="CC1"/>
      <selection pane="bottomLeft" activeCell="A2" activeCellId="0" sqref="A2"/>
      <selection pane="bottomRight" activeCell="B28" activeCellId="0" sqref="B28"/>
    </sheetView>
  </sheetViews>
  <sheetFormatPr defaultColWidth="10.83984375" defaultRowHeight="15.75" zeroHeight="false" outlineLevelRow="0" outlineLevelCol="0"/>
  <cols>
    <col collapsed="false" customWidth="true" hidden="false" outlineLevel="0" max="1" min="1" style="9" width="16"/>
    <col collapsed="false" customWidth="true" hidden="false" outlineLevel="0" max="2" min="2" style="9" width="19.5"/>
    <col collapsed="false" customWidth="true" hidden="false" outlineLevel="0" max="3" min="3" style="9" width="13.5"/>
    <col collapsed="false" customWidth="true" hidden="false" outlineLevel="0" max="4" min="4" style="9" width="15.16"/>
    <col collapsed="false" customWidth="true" hidden="false" outlineLevel="0" max="6" min="5" style="9" width="20.66"/>
    <col collapsed="false" customWidth="true" hidden="false" outlineLevel="0" max="7" min="7" style="9" width="16"/>
    <col collapsed="false" customWidth="true" hidden="false" outlineLevel="0" max="8" min="8" style="9" width="19.5"/>
    <col collapsed="false" customWidth="true" hidden="false" outlineLevel="0" max="9" min="9" style="9" width="13.5"/>
    <col collapsed="false" customWidth="true" hidden="false" outlineLevel="0" max="10" min="10" style="9" width="15.16"/>
    <col collapsed="false" customWidth="true" hidden="false" outlineLevel="0" max="11" min="11" style="9" width="20.66"/>
    <col collapsed="false" customWidth="true" hidden="false" outlineLevel="0" max="12" min="12" style="9" width="21.66"/>
    <col collapsed="false" customWidth="true" hidden="false" outlineLevel="0" max="13" min="13" style="9" width="42"/>
    <col collapsed="false" customWidth="true" hidden="false" outlineLevel="0" max="14" min="14" style="9" width="21.16"/>
    <col collapsed="false" customWidth="true" hidden="false" outlineLevel="0" max="15" min="15" style="9" width="23.83"/>
    <col collapsed="false" customWidth="true" hidden="false" outlineLevel="0" max="16" min="16" style="9" width="21.16"/>
    <col collapsed="false" customWidth="true" hidden="false" outlineLevel="0" max="17" min="17" style="9" width="9"/>
    <col collapsed="false" customWidth="true" hidden="false" outlineLevel="0" max="18" min="18" style="9" width="19.83"/>
    <col collapsed="false" customWidth="true" hidden="false" outlineLevel="0" max="19" min="19" style="9" width="9"/>
    <col collapsed="false" customWidth="true" hidden="false" outlineLevel="0" max="20" min="20" style="9" width="15.33"/>
    <col collapsed="false" customWidth="true" hidden="false" outlineLevel="0" max="21" min="21" style="9" width="13"/>
    <col collapsed="false" customWidth="true" hidden="false" outlineLevel="0" max="22" min="22" style="9" width="21.34"/>
    <col collapsed="false" customWidth="true" hidden="false" outlineLevel="0" max="23" min="23" style="9" width="18.16"/>
    <col collapsed="false" customWidth="true" hidden="false" outlineLevel="0" max="24" min="24" style="9" width="14.84"/>
    <col collapsed="false" customWidth="true" hidden="false" outlineLevel="0" max="25" min="25" style="9" width="12.66"/>
    <col collapsed="false" customWidth="true" hidden="false" outlineLevel="0" max="26" min="26" style="9" width="17.5"/>
    <col collapsed="false" customWidth="true" hidden="false" outlineLevel="0" max="27" min="27" style="9" width="19.5"/>
    <col collapsed="false" customWidth="true" hidden="false" outlineLevel="0" max="28" min="28" style="9" width="15.84"/>
    <col collapsed="false" customWidth="true" hidden="false" outlineLevel="0" max="29" min="29" style="9" width="14"/>
    <col collapsed="false" customWidth="true" hidden="false" outlineLevel="0" max="30" min="30" style="9" width="23"/>
    <col collapsed="false" customWidth="true" hidden="false" outlineLevel="0" max="31" min="31" style="9" width="20.33"/>
    <col collapsed="false" customWidth="true" hidden="false" outlineLevel="0" max="32" min="32" style="9" width="32"/>
    <col collapsed="false" customWidth="true" hidden="false" outlineLevel="0" max="33" min="33" style="9" width="48.33"/>
    <col collapsed="false" customWidth="true" hidden="false" outlineLevel="0" max="34" min="34" style="9" width="15"/>
    <col collapsed="false" customWidth="true" hidden="false" outlineLevel="0" max="35" min="35" style="9" width="19.83"/>
    <col collapsed="false" customWidth="true" hidden="false" outlineLevel="0" max="36" min="36" style="9" width="23.83"/>
    <col collapsed="false" customWidth="true" hidden="false" outlineLevel="0" max="37" min="37" style="9" width="24"/>
    <col collapsed="false" customWidth="true" hidden="false" outlineLevel="0" max="38" min="38" style="9" width="40.66"/>
    <col collapsed="false" customWidth="true" hidden="false" outlineLevel="0" max="39" min="39" style="9" width="35.5"/>
    <col collapsed="false" customWidth="true" hidden="false" outlineLevel="0" max="40" min="40" style="9" width="29"/>
    <col collapsed="false" customWidth="true" hidden="false" outlineLevel="0" max="41" min="41" style="9" width="18.5"/>
    <col collapsed="false" customWidth="true" hidden="false" outlineLevel="0" max="42" min="42" style="9" width="16.16"/>
    <col collapsed="false" customWidth="true" hidden="false" outlineLevel="0" max="43" min="43" style="9" width="18.33"/>
    <col collapsed="false" customWidth="true" hidden="false" outlineLevel="0" max="44" min="44" style="9" width="17.67"/>
    <col collapsed="false" customWidth="true" hidden="false" outlineLevel="0" max="45" min="45" style="9" width="19.66"/>
    <col collapsed="false" customWidth="true" hidden="false" outlineLevel="0" max="46" min="46" style="9" width="19.5"/>
    <col collapsed="false" customWidth="true" hidden="false" outlineLevel="0" max="47" min="47" style="9" width="15.84"/>
    <col collapsed="false" customWidth="true" hidden="false" outlineLevel="0" max="48" min="48" style="9" width="19.83"/>
    <col collapsed="false" customWidth="true" hidden="false" outlineLevel="0" max="49" min="49" style="9" width="18"/>
    <col collapsed="false" customWidth="false" hidden="false" outlineLevel="0" max="50" min="50" style="9" width="10.83"/>
    <col collapsed="false" customWidth="true" hidden="false" outlineLevel="0" max="53" min="51" style="9" width="9"/>
    <col collapsed="false" customWidth="true" hidden="false" outlineLevel="0" max="54" min="54" style="9" width="18.33"/>
    <col collapsed="false" customWidth="true" hidden="false" outlineLevel="0" max="56" min="55" style="9" width="9"/>
    <col collapsed="false" customWidth="true" hidden="false" outlineLevel="0" max="57" min="57" style="9" width="19.33"/>
    <col collapsed="false" customWidth="true" hidden="false" outlineLevel="0" max="58" min="58" style="9" width="16.16"/>
    <col collapsed="false" customWidth="true" hidden="false" outlineLevel="0" max="61" min="59" style="9" width="9"/>
    <col collapsed="false" customWidth="true" hidden="false" outlineLevel="0" max="62" min="62" style="9" width="21.34"/>
    <col collapsed="false" customWidth="true" hidden="false" outlineLevel="0" max="63" min="63" style="9" width="21.16"/>
    <col collapsed="false" customWidth="true" hidden="false" outlineLevel="0" max="65" min="64" style="9" width="9"/>
    <col collapsed="false" customWidth="true" hidden="false" outlineLevel="0" max="66" min="66" style="9" width="18.5"/>
    <col collapsed="false" customWidth="true" hidden="false" outlineLevel="0" max="67" min="67" style="9" width="15.84"/>
    <col collapsed="false" customWidth="true" hidden="false" outlineLevel="0" max="68" min="68" style="9" width="21"/>
    <col collapsed="false" customWidth="true" hidden="false" outlineLevel="0" max="69" min="69" style="9" width="16.16"/>
    <col collapsed="false" customWidth="true" hidden="false" outlineLevel="0" max="70" min="70" style="9" width="18.5"/>
    <col collapsed="false" customWidth="true" hidden="false" outlineLevel="0" max="71" min="71" style="9" width="20.66"/>
    <col collapsed="false" customWidth="true" hidden="false" outlineLevel="0" max="72" min="72" style="9" width="18.83"/>
    <col collapsed="false" customWidth="true" hidden="false" outlineLevel="0" max="73" min="73" style="9" width="20.66"/>
    <col collapsed="false" customWidth="true" hidden="false" outlineLevel="0" max="74" min="74" style="9" width="17.5"/>
    <col collapsed="false" customWidth="true" hidden="false" outlineLevel="0" max="75" min="75" style="9" width="15.84"/>
    <col collapsed="false" customWidth="true" hidden="false" outlineLevel="0" max="76" min="76" style="9" width="13"/>
    <col collapsed="false" customWidth="true" hidden="false" outlineLevel="0" max="77" min="77" style="9" width="16.5"/>
    <col collapsed="false" customWidth="true" hidden="false" outlineLevel="0" max="78" min="78" style="9" width="17"/>
    <col collapsed="false" customWidth="true" hidden="false" outlineLevel="0" max="79" min="79" style="9" width="20.83"/>
    <col collapsed="false" customWidth="true" hidden="false" outlineLevel="0" max="80" min="80" style="9" width="20.33"/>
    <col collapsed="false" customWidth="true" hidden="false" outlineLevel="0" max="81" min="81" style="9" width="19.5"/>
    <col collapsed="false" customWidth="true" hidden="false" outlineLevel="0" max="82" min="82" style="9" width="20.83"/>
    <col collapsed="false" customWidth="true" hidden="false" outlineLevel="0" max="83" min="83" style="9" width="17.16"/>
    <col collapsed="false" customWidth="true" hidden="false" outlineLevel="0" max="84" min="84" style="9" width="15"/>
    <col collapsed="false" customWidth="true" hidden="false" outlineLevel="0" max="85" min="85" style="9" width="13.66"/>
    <col collapsed="false" customWidth="true" hidden="false" outlineLevel="0" max="86" min="86" style="9" width="31.33"/>
    <col collapsed="false" customWidth="false" hidden="false" outlineLevel="0" max="1024" min="87" style="9" width="10.83"/>
  </cols>
  <sheetData>
    <row r="1" s="11"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10"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4" t="s">
        <v>77</v>
      </c>
      <c r="CB1" s="4" t="s">
        <v>78</v>
      </c>
      <c r="CC1" s="4" t="s">
        <v>79</v>
      </c>
      <c r="CD1" s="4" t="s">
        <v>80</v>
      </c>
      <c r="CE1" s="4" t="s">
        <v>81</v>
      </c>
      <c r="CF1" s="4" t="s">
        <v>82</v>
      </c>
      <c r="CG1" s="4" t="s">
        <v>83</v>
      </c>
      <c r="CH1" s="4" t="s">
        <v>84</v>
      </c>
      <c r="CI1" s="4" t="s">
        <v>85</v>
      </c>
    </row>
    <row r="2" customFormat="false" ht="80.25" hidden="false" customHeight="true" outlineLevel="0" collapsed="false">
      <c r="B2" s="9" t="n">
        <v>502947</v>
      </c>
      <c r="C2" s="12" t="n">
        <v>42677</v>
      </c>
      <c r="D2" s="9" t="n">
        <v>0</v>
      </c>
      <c r="E2" s="13" t="s">
        <v>86</v>
      </c>
      <c r="G2" s="14" t="b">
        <f aca="false">TRUE()</f>
        <v>1</v>
      </c>
      <c r="H2" s="14" t="b">
        <f aca="false">TRUE()</f>
        <v>1</v>
      </c>
      <c r="I2" s="14" t="b">
        <f aca="false">TRUE()</f>
        <v>1</v>
      </c>
      <c r="X2" s="14" t="b">
        <f aca="false">FALSE()</f>
        <v>0</v>
      </c>
      <c r="Z2" s="15" t="s">
        <v>87</v>
      </c>
      <c r="AA2" s="15" t="s">
        <v>87</v>
      </c>
      <c r="AB2" s="15" t="s">
        <v>87</v>
      </c>
      <c r="AC2" s="15" t="s">
        <v>87</v>
      </c>
      <c r="AH2" s="9" t="b">
        <f aca="false">TRUE()</f>
        <v>1</v>
      </c>
    </row>
    <row r="3" customFormat="false" ht="66.75" hidden="false" customHeight="true" outlineLevel="0" collapsed="false">
      <c r="B3" s="9" t="n">
        <v>502947</v>
      </c>
      <c r="C3" s="12" t="n">
        <v>42794</v>
      </c>
      <c r="D3" s="9" t="n">
        <v>3</v>
      </c>
      <c r="E3" s="13" t="s">
        <v>88</v>
      </c>
      <c r="H3" s="9" t="b">
        <f aca="false">TRUE()</f>
        <v>1</v>
      </c>
      <c r="K3" s="14" t="b">
        <f aca="false">TRUE()</f>
        <v>1</v>
      </c>
      <c r="Z3" s="15"/>
      <c r="AA3" s="15"/>
      <c r="AB3" s="15"/>
      <c r="AC3" s="15"/>
      <c r="AL3" s="9" t="s">
        <v>89</v>
      </c>
      <c r="AM3" s="14" t="b">
        <f aca="false">TRUE()</f>
        <v>1</v>
      </c>
      <c r="AO3" s="9" t="s">
        <v>90</v>
      </c>
      <c r="AP3" s="9" t="s">
        <v>91</v>
      </c>
    </row>
    <row r="4" customFormat="false" ht="84" hidden="false" customHeight="true" outlineLevel="0" collapsed="false">
      <c r="B4" s="9" t="n">
        <v>502947</v>
      </c>
      <c r="C4" s="12" t="n">
        <v>42807</v>
      </c>
      <c r="D4" s="9" t="n">
        <v>4</v>
      </c>
      <c r="E4" s="13" t="s">
        <v>92</v>
      </c>
      <c r="M4" s="9" t="b">
        <f aca="false">TRUE()</f>
        <v>1</v>
      </c>
      <c r="Z4" s="15"/>
      <c r="AA4" s="15"/>
      <c r="AB4" s="15"/>
      <c r="AC4" s="15"/>
      <c r="AL4" s="9" t="s">
        <v>89</v>
      </c>
      <c r="AN4" s="14" t="b">
        <f aca="false">TRUE()</f>
        <v>1</v>
      </c>
      <c r="AQ4" s="9" t="s">
        <v>90</v>
      </c>
      <c r="AR4" s="9" t="s">
        <v>91</v>
      </c>
      <c r="BF4" s="9" t="b">
        <f aca="false">TRUE()</f>
        <v>1</v>
      </c>
    </row>
    <row r="5" customFormat="false" ht="83.25" hidden="false" customHeight="true" outlineLevel="0" collapsed="false">
      <c r="B5" s="9" t="n">
        <v>502947</v>
      </c>
      <c r="C5" s="12" t="n">
        <v>42856</v>
      </c>
      <c r="D5" s="9" t="n">
        <v>5</v>
      </c>
      <c r="E5" s="13" t="s">
        <v>93</v>
      </c>
      <c r="Z5" s="15"/>
      <c r="AA5" s="15"/>
      <c r="AB5" s="15"/>
      <c r="AC5" s="15"/>
      <c r="AM5" s="9" t="b">
        <f aca="false">TRUE()</f>
        <v>1</v>
      </c>
      <c r="AN5" s="14" t="b">
        <f aca="false">TRUE()</f>
        <v>1</v>
      </c>
      <c r="AO5" s="9" t="s">
        <v>90</v>
      </c>
      <c r="AP5" s="9" t="s">
        <v>94</v>
      </c>
      <c r="AQ5" s="9" t="s">
        <v>90</v>
      </c>
      <c r="AR5" s="9" t="s">
        <v>94</v>
      </c>
      <c r="BS5" s="9" t="b">
        <f aca="false">TRUE()</f>
        <v>1</v>
      </c>
    </row>
    <row r="6" customFormat="false" ht="68.25" hidden="false" customHeight="true" outlineLevel="0" collapsed="false">
      <c r="B6" s="9" t="n">
        <v>502947</v>
      </c>
      <c r="C6" s="12" t="n">
        <v>42891</v>
      </c>
      <c r="D6" s="9" t="n">
        <v>7</v>
      </c>
      <c r="E6" s="13" t="s">
        <v>95</v>
      </c>
      <c r="Z6" s="15"/>
      <c r="AA6" s="15"/>
      <c r="AB6" s="15"/>
      <c r="AC6" s="15"/>
      <c r="AM6" s="9" t="b">
        <f aca="false">TRUE()</f>
        <v>1</v>
      </c>
      <c r="AN6" s="14" t="b">
        <f aca="false">TRUE()</f>
        <v>1</v>
      </c>
      <c r="AO6" s="9" t="s">
        <v>96</v>
      </c>
      <c r="AP6" s="9" t="s">
        <v>97</v>
      </c>
      <c r="AQ6" s="9" t="s">
        <v>96</v>
      </c>
      <c r="AR6" s="9" t="s">
        <v>97</v>
      </c>
    </row>
    <row r="7" customFormat="false" ht="36.75" hidden="false" customHeight="true" outlineLevel="0" collapsed="false">
      <c r="B7" s="9" t="n">
        <v>502947</v>
      </c>
      <c r="C7" s="12" t="n">
        <v>42954</v>
      </c>
      <c r="D7" s="9" t="n">
        <v>9</v>
      </c>
      <c r="E7" s="13" t="s">
        <v>98</v>
      </c>
      <c r="Z7" s="15"/>
      <c r="AA7" s="15"/>
      <c r="AB7" s="15"/>
      <c r="AC7" s="15"/>
      <c r="AN7" s="16"/>
    </row>
    <row r="8" customFormat="false" ht="91.5" hidden="false" customHeight="true" outlineLevel="0" collapsed="false">
      <c r="B8" s="9" t="n">
        <v>502947</v>
      </c>
      <c r="C8" s="12" t="n">
        <v>42961</v>
      </c>
      <c r="D8" s="9" t="n">
        <v>9</v>
      </c>
      <c r="E8" s="13" t="s">
        <v>99</v>
      </c>
      <c r="Z8" s="15"/>
      <c r="AA8" s="15"/>
      <c r="AB8" s="15"/>
      <c r="AC8" s="15"/>
      <c r="AD8" s="9" t="s">
        <v>100</v>
      </c>
      <c r="AE8" s="9" t="s">
        <v>100</v>
      </c>
      <c r="AM8" s="14" t="b">
        <f aca="false">TRUE()</f>
        <v>1</v>
      </c>
      <c r="AN8" s="14" t="b">
        <f aca="false">TRUE()</f>
        <v>1</v>
      </c>
      <c r="AO8" s="9" t="s">
        <v>101</v>
      </c>
      <c r="AP8" s="9" t="s">
        <v>97</v>
      </c>
      <c r="AQ8" s="9" t="s">
        <v>101</v>
      </c>
      <c r="AR8" s="9" t="s">
        <v>97</v>
      </c>
      <c r="AS8" s="9" t="s">
        <v>102</v>
      </c>
      <c r="BQ8" s="9" t="s">
        <v>103</v>
      </c>
      <c r="BR8" s="9" t="s">
        <v>103</v>
      </c>
    </row>
    <row r="9" customFormat="false" ht="118.5" hidden="false" customHeight="false" outlineLevel="0" collapsed="false">
      <c r="B9" s="9" t="n">
        <v>502947</v>
      </c>
      <c r="C9" s="12" t="n">
        <v>43017</v>
      </c>
      <c r="D9" s="9" t="n">
        <v>11</v>
      </c>
      <c r="E9" s="13" t="s">
        <v>104</v>
      </c>
      <c r="H9" s="9" t="b">
        <f aca="false">TRUE()</f>
        <v>1</v>
      </c>
      <c r="Z9" s="15"/>
      <c r="AA9" s="15"/>
      <c r="AB9" s="15"/>
      <c r="AC9" s="15"/>
      <c r="AK9" s="14" t="b">
        <f aca="false">TRUE()</f>
        <v>1</v>
      </c>
      <c r="AM9" s="14" t="b">
        <f aca="false">FALSE()</f>
        <v>0</v>
      </c>
      <c r="AN9" s="14" t="b">
        <f aca="false">FALSE()</f>
        <v>0</v>
      </c>
      <c r="AO9" s="9" t="s">
        <v>101</v>
      </c>
      <c r="AP9" s="9" t="s">
        <v>97</v>
      </c>
      <c r="AQ9" s="9" t="s">
        <v>101</v>
      </c>
      <c r="AR9" s="9" t="s">
        <v>97</v>
      </c>
      <c r="AS9" s="13" t="s">
        <v>105</v>
      </c>
    </row>
    <row r="10" s="17" customFormat="true" ht="68.25" hidden="false" customHeight="true" outlineLevel="0" collapsed="false">
      <c r="B10" s="17" t="n">
        <v>502947</v>
      </c>
      <c r="C10" s="18" t="n">
        <v>43059</v>
      </c>
      <c r="D10" s="17" t="n">
        <v>12</v>
      </c>
      <c r="E10" s="19" t="s">
        <v>106</v>
      </c>
      <c r="F10" s="20"/>
      <c r="G10" s="21" t="b">
        <f aca="false">TRUE()</f>
        <v>1</v>
      </c>
      <c r="O10" s="22" t="b">
        <f aca="false">TRUE()</f>
        <v>1</v>
      </c>
      <c r="AM10" s="22" t="b">
        <f aca="false">FALSE()</f>
        <v>0</v>
      </c>
      <c r="AN10" s="22" t="b">
        <f aca="false">TRUE()</f>
        <v>1</v>
      </c>
      <c r="AO10" s="23" t="s">
        <v>101</v>
      </c>
      <c r="AP10" s="23" t="s">
        <v>97</v>
      </c>
      <c r="AQ10" s="23" t="s">
        <v>107</v>
      </c>
      <c r="AR10" s="23" t="s">
        <v>97</v>
      </c>
      <c r="BQ10" s="23" t="s">
        <v>103</v>
      </c>
      <c r="BR10" s="23" t="s">
        <v>108</v>
      </c>
      <c r="BY10" s="22" t="b">
        <f aca="false">TRUE()</f>
        <v>1</v>
      </c>
      <c r="BZ10" s="21" t="b">
        <f aca="false">TRUE()</f>
        <v>1</v>
      </c>
      <c r="CA10" s="21"/>
      <c r="CB10" s="21"/>
      <c r="CC10" s="21"/>
      <c r="CD10" s="21"/>
      <c r="CE10" s="21"/>
      <c r="CF10" s="21"/>
      <c r="CG10" s="21"/>
      <c r="CH10" s="21"/>
      <c r="CI10" s="21"/>
    </row>
    <row r="11" customFormat="false" ht="76.5" hidden="false" customHeight="true" outlineLevel="0" collapsed="false">
      <c r="B11" s="9" t="n">
        <v>502947</v>
      </c>
      <c r="C11" s="12" t="n">
        <v>43087</v>
      </c>
      <c r="D11" s="9" t="n">
        <v>13</v>
      </c>
      <c r="E11" s="13" t="s">
        <v>109</v>
      </c>
      <c r="O11" s="9" t="b">
        <f aca="false">TRUE()</f>
        <v>1</v>
      </c>
      <c r="Z11" s="15" t="s">
        <v>110</v>
      </c>
      <c r="AA11" s="15" t="s">
        <v>111</v>
      </c>
      <c r="AB11" s="15" t="s">
        <v>110</v>
      </c>
      <c r="AC11" s="15" t="s">
        <v>87</v>
      </c>
      <c r="AD11" s="9" t="s">
        <v>112</v>
      </c>
      <c r="AE11" s="9" t="s">
        <v>113</v>
      </c>
      <c r="AM11" s="14" t="b">
        <f aca="false">FALSE()</f>
        <v>0</v>
      </c>
      <c r="AN11" s="14" t="b">
        <f aca="false">FALSE()</f>
        <v>0</v>
      </c>
      <c r="AO11" s="23" t="s">
        <v>101</v>
      </c>
      <c r="AP11" s="23" t="s">
        <v>97</v>
      </c>
      <c r="AQ11" s="23" t="s">
        <v>107</v>
      </c>
      <c r="AR11" s="23" t="s">
        <v>97</v>
      </c>
    </row>
    <row r="12" customFormat="false" ht="71.25" hidden="false" customHeight="true" outlineLevel="0" collapsed="false">
      <c r="B12" s="9" t="n">
        <v>502947</v>
      </c>
      <c r="C12" s="12" t="n">
        <v>43136</v>
      </c>
      <c r="D12" s="9" t="n">
        <v>15</v>
      </c>
      <c r="E12" s="13" t="s">
        <v>114</v>
      </c>
      <c r="O12" s="9" t="b">
        <f aca="false">TRUE()</f>
        <v>1</v>
      </c>
      <c r="Z12" s="15" t="s">
        <v>115</v>
      </c>
      <c r="AA12" s="15" t="s">
        <v>110</v>
      </c>
      <c r="AB12" s="15" t="s">
        <v>115</v>
      </c>
      <c r="AC12" s="15" t="s">
        <v>110</v>
      </c>
      <c r="AM12" s="14" t="b">
        <f aca="false">TRUE()</f>
        <v>1</v>
      </c>
      <c r="AN12" s="14" t="b">
        <f aca="false">FALSE()</f>
        <v>0</v>
      </c>
      <c r="AO12" s="9" t="s">
        <v>107</v>
      </c>
      <c r="AP12" s="9" t="s">
        <v>97</v>
      </c>
      <c r="AQ12" s="9" t="s">
        <v>107</v>
      </c>
      <c r="AR12" s="9" t="s">
        <v>97</v>
      </c>
      <c r="AT12" s="9" t="s">
        <v>116</v>
      </c>
      <c r="AU12" s="9" t="s">
        <v>117</v>
      </c>
      <c r="AV12" s="9" t="s">
        <v>116</v>
      </c>
      <c r="AW12" s="9" t="s">
        <v>117</v>
      </c>
      <c r="AZ12" s="9" t="b">
        <f aca="false">TRUE()</f>
        <v>1</v>
      </c>
    </row>
    <row r="13" customFormat="false" ht="67.5" hidden="false" customHeight="true" outlineLevel="0" collapsed="false">
      <c r="B13" s="9" t="n">
        <v>502947</v>
      </c>
      <c r="C13" s="12" t="n">
        <v>43178</v>
      </c>
      <c r="D13" s="9" t="n">
        <v>16</v>
      </c>
      <c r="E13" s="13" t="s">
        <v>118</v>
      </c>
      <c r="O13" s="9" t="b">
        <f aca="false">TRUE()</f>
        <v>1</v>
      </c>
      <c r="Z13" s="15"/>
      <c r="AA13" s="15"/>
      <c r="AB13" s="15"/>
      <c r="AC13" s="15"/>
      <c r="AK13" s="14" t="b">
        <f aca="false">TRUE()</f>
        <v>1</v>
      </c>
      <c r="AM13" s="14" t="b">
        <f aca="false">FALSE()</f>
        <v>0</v>
      </c>
      <c r="AN13" s="14" t="b">
        <f aca="false">FALSE()</f>
        <v>0</v>
      </c>
      <c r="AO13" s="9" t="s">
        <v>107</v>
      </c>
      <c r="AP13" s="9" t="s">
        <v>97</v>
      </c>
      <c r="AQ13" s="9" t="s">
        <v>107</v>
      </c>
      <c r="AR13" s="9" t="s">
        <v>97</v>
      </c>
      <c r="AT13" s="9" t="s">
        <v>116</v>
      </c>
      <c r="AU13" s="9" t="s">
        <v>117</v>
      </c>
      <c r="AV13" s="9" t="s">
        <v>116</v>
      </c>
      <c r="AW13" s="9" t="s">
        <v>117</v>
      </c>
      <c r="AZ13" s="14" t="b">
        <f aca="false">TRUE()</f>
        <v>1</v>
      </c>
      <c r="BQ13" s="9" t="s">
        <v>119</v>
      </c>
      <c r="BR13" s="9" t="s">
        <v>108</v>
      </c>
    </row>
    <row r="14" s="17" customFormat="true" ht="70.5" hidden="false" customHeight="true" outlineLevel="0" collapsed="false">
      <c r="B14" s="17" t="n">
        <v>502947</v>
      </c>
      <c r="C14" s="18" t="n">
        <v>43241</v>
      </c>
      <c r="D14" s="17" t="n">
        <v>18</v>
      </c>
      <c r="E14" s="19" t="s">
        <v>120</v>
      </c>
      <c r="O14" s="17" t="b">
        <f aca="false">TRUE()</f>
        <v>1</v>
      </c>
      <c r="AM14" s="22" t="b">
        <f aca="false">FALSE()</f>
        <v>0</v>
      </c>
      <c r="AN14" s="22" t="b">
        <f aca="false">FALSE()</f>
        <v>0</v>
      </c>
      <c r="AO14" s="23" t="s">
        <v>107</v>
      </c>
      <c r="AP14" s="23" t="s">
        <v>97</v>
      </c>
      <c r="AQ14" s="23" t="s">
        <v>107</v>
      </c>
      <c r="AR14" s="23" t="s">
        <v>97</v>
      </c>
      <c r="AT14" s="17" t="s">
        <v>116</v>
      </c>
      <c r="AU14" s="17" t="s">
        <v>117</v>
      </c>
      <c r="AV14" s="17" t="s">
        <v>116</v>
      </c>
      <c r="AW14" s="17" t="s">
        <v>117</v>
      </c>
      <c r="AZ14" s="22" t="b">
        <f aca="false">TRUE()</f>
        <v>1</v>
      </c>
      <c r="BQ14" s="23" t="s">
        <v>119</v>
      </c>
      <c r="BR14" s="23" t="s">
        <v>108</v>
      </c>
      <c r="BY14" s="21"/>
      <c r="BZ14" s="21"/>
      <c r="CA14" s="21"/>
      <c r="CB14" s="21" t="b">
        <f aca="false">TRUE()</f>
        <v>1</v>
      </c>
      <c r="CC14" s="21"/>
      <c r="CD14" s="21"/>
      <c r="CE14" s="21"/>
      <c r="CF14" s="21"/>
      <c r="CG14" s="21"/>
      <c r="CH14" s="21"/>
      <c r="CI14" s="21"/>
    </row>
    <row r="15" customFormat="false" ht="64.5" hidden="false" customHeight="true" outlineLevel="0" collapsed="false">
      <c r="B15" s="9" t="n">
        <v>502947</v>
      </c>
      <c r="C15" s="12" t="n">
        <v>43269</v>
      </c>
      <c r="D15" s="9" t="n">
        <v>19</v>
      </c>
      <c r="E15" s="13" t="s">
        <v>121</v>
      </c>
      <c r="O15" s="9" t="b">
        <f aca="false">TRUE()</f>
        <v>1</v>
      </c>
      <c r="Q15" s="14" t="b">
        <f aca="false">TRUE()</f>
        <v>1</v>
      </c>
      <c r="Z15" s="15"/>
      <c r="AA15" s="15"/>
      <c r="AB15" s="15"/>
      <c r="AC15" s="15"/>
      <c r="AM15" s="14" t="b">
        <f aca="false">FALSE()</f>
        <v>0</v>
      </c>
      <c r="AN15" s="14" t="b">
        <f aca="false">TRUE()</f>
        <v>1</v>
      </c>
      <c r="AO15" s="23" t="s">
        <v>107</v>
      </c>
      <c r="AP15" s="23" t="s">
        <v>97</v>
      </c>
      <c r="AQ15" s="9" t="s">
        <v>122</v>
      </c>
      <c r="AR15" s="23" t="s">
        <v>97</v>
      </c>
      <c r="AT15" s="17" t="s">
        <v>116</v>
      </c>
      <c r="AU15" s="17" t="s">
        <v>117</v>
      </c>
      <c r="AV15" s="17" t="s">
        <v>116</v>
      </c>
      <c r="AW15" s="17" t="s">
        <v>117</v>
      </c>
      <c r="AX15" s="17"/>
      <c r="AY15" s="17"/>
      <c r="AZ15" s="22" t="b">
        <f aca="false">TRUE()</f>
        <v>1</v>
      </c>
      <c r="BQ15" s="23" t="s">
        <v>119</v>
      </c>
      <c r="BR15" s="23" t="s">
        <v>108</v>
      </c>
    </row>
    <row r="16" customFormat="false" ht="45.75" hidden="false" customHeight="true" outlineLevel="0" collapsed="false">
      <c r="B16" s="9" t="n">
        <v>502947</v>
      </c>
      <c r="C16" s="12" t="n">
        <v>43304</v>
      </c>
      <c r="D16" s="9" t="n">
        <v>20</v>
      </c>
      <c r="E16" s="13" t="s">
        <v>123</v>
      </c>
      <c r="Q16" s="9" t="b">
        <f aca="false">TRUE()</f>
        <v>1</v>
      </c>
      <c r="Z16" s="15"/>
      <c r="AA16" s="15"/>
      <c r="AB16" s="15"/>
      <c r="AC16" s="15"/>
      <c r="AM16" s="14" t="b">
        <f aca="false">FALSE()</f>
        <v>0</v>
      </c>
      <c r="AN16" s="14" t="b">
        <f aca="false">FALSE()</f>
        <v>0</v>
      </c>
      <c r="AO16" s="23" t="s">
        <v>107</v>
      </c>
      <c r="AP16" s="23" t="s">
        <v>97</v>
      </c>
      <c r="AQ16" s="9" t="s">
        <v>122</v>
      </c>
      <c r="AR16" s="23" t="s">
        <v>97</v>
      </c>
      <c r="AT16" s="17" t="s">
        <v>116</v>
      </c>
      <c r="AU16" s="17" t="s">
        <v>117</v>
      </c>
      <c r="AV16" s="17" t="s">
        <v>116</v>
      </c>
      <c r="AW16" s="17" t="s">
        <v>117</v>
      </c>
      <c r="AX16" s="17"/>
      <c r="AY16" s="17"/>
      <c r="AZ16" s="22" t="b">
        <f aca="false">TRUE()</f>
        <v>1</v>
      </c>
      <c r="BQ16" s="23" t="s">
        <v>119</v>
      </c>
      <c r="BR16" s="23" t="s">
        <v>108</v>
      </c>
      <c r="CC16" s="24" t="b">
        <f aca="false">TRUE()</f>
        <v>1</v>
      </c>
    </row>
    <row r="17" customFormat="false" ht="30.75" hidden="false" customHeight="true" outlineLevel="0" collapsed="false">
      <c r="B17" s="9" t="n">
        <v>502947</v>
      </c>
      <c r="C17" s="12" t="n">
        <v>43325</v>
      </c>
      <c r="D17" s="9" t="n">
        <v>21</v>
      </c>
      <c r="E17" s="13" t="s">
        <v>124</v>
      </c>
      <c r="Z17" s="15"/>
      <c r="AA17" s="15"/>
      <c r="AB17" s="15"/>
      <c r="AC17" s="15"/>
      <c r="AM17" s="9" t="b">
        <f aca="false">FALSE()</f>
        <v>0</v>
      </c>
      <c r="AO17" s="9" t="s">
        <v>107</v>
      </c>
      <c r="AP17" s="9" t="s">
        <v>97</v>
      </c>
      <c r="AT17" s="17" t="s">
        <v>116</v>
      </c>
      <c r="AU17" s="17" t="s">
        <v>117</v>
      </c>
      <c r="AV17" s="17" t="s">
        <v>116</v>
      </c>
      <c r="AW17" s="17" t="s">
        <v>117</v>
      </c>
      <c r="AX17" s="17"/>
      <c r="AY17" s="17"/>
      <c r="AZ17" s="17" t="b">
        <f aca="false">TRUE()</f>
        <v>1</v>
      </c>
    </row>
    <row r="18" customFormat="false" ht="30.75" hidden="false" customHeight="true" outlineLevel="0" collapsed="false">
      <c r="B18" s="9" t="n">
        <v>502947</v>
      </c>
      <c r="C18" s="12" t="n">
        <v>43326</v>
      </c>
      <c r="D18" s="9" t="n">
        <v>21</v>
      </c>
      <c r="E18" s="13" t="s">
        <v>125</v>
      </c>
      <c r="Z18" s="15" t="s">
        <v>115</v>
      </c>
      <c r="AA18" s="15" t="s">
        <v>115</v>
      </c>
      <c r="AB18" s="15"/>
      <c r="AC18" s="15"/>
      <c r="AM18" s="14" t="b">
        <f aca="false">FALSE()</f>
        <v>0</v>
      </c>
      <c r="AN18" s="14" t="b">
        <f aca="false">FALSE()</f>
        <v>0</v>
      </c>
      <c r="AO18" s="23" t="s">
        <v>107</v>
      </c>
      <c r="AP18" s="23" t="s">
        <v>97</v>
      </c>
      <c r="AQ18" s="9" t="s">
        <v>122</v>
      </c>
      <c r="AR18" s="23" t="s">
        <v>97</v>
      </c>
    </row>
    <row r="19" customFormat="false" ht="84" hidden="false" customHeight="true" outlineLevel="0" collapsed="false">
      <c r="B19" s="9" t="n">
        <v>502947</v>
      </c>
      <c r="C19" s="12" t="n">
        <v>43339</v>
      </c>
      <c r="D19" s="9" t="n">
        <v>21</v>
      </c>
      <c r="E19" s="13" t="s">
        <v>126</v>
      </c>
      <c r="O19" s="9" t="b">
        <f aca="false">TRUE()</f>
        <v>1</v>
      </c>
      <c r="Q19" s="14" t="b">
        <f aca="false">TRUE()</f>
        <v>1</v>
      </c>
      <c r="Z19" s="15" t="s">
        <v>87</v>
      </c>
      <c r="AA19" s="15"/>
      <c r="AB19" s="15" t="s">
        <v>87</v>
      </c>
      <c r="AC19" s="15"/>
      <c r="AD19" s="9" t="s">
        <v>112</v>
      </c>
      <c r="AE19" s="9" t="s">
        <v>112</v>
      </c>
      <c r="AM19" s="14" t="b">
        <f aca="false">FALSE()</f>
        <v>0</v>
      </c>
      <c r="AN19" s="14" t="b">
        <f aca="false">FALSE()</f>
        <v>0</v>
      </c>
      <c r="AO19" s="23" t="s">
        <v>107</v>
      </c>
      <c r="AP19" s="23" t="s">
        <v>97</v>
      </c>
      <c r="AQ19" s="9" t="s">
        <v>122</v>
      </c>
      <c r="AR19" s="23" t="s">
        <v>97</v>
      </c>
      <c r="AS19" s="9" t="s">
        <v>102</v>
      </c>
      <c r="AT19" s="17" t="s">
        <v>116</v>
      </c>
      <c r="AU19" s="17" t="s">
        <v>117</v>
      </c>
      <c r="AV19" s="17" t="s">
        <v>116</v>
      </c>
      <c r="AW19" s="17" t="s">
        <v>117</v>
      </c>
      <c r="AX19" s="17"/>
      <c r="AY19" s="17"/>
      <c r="AZ19" s="22" t="b">
        <f aca="false">TRUE()</f>
        <v>1</v>
      </c>
      <c r="BQ19" s="9" t="s">
        <v>119</v>
      </c>
      <c r="BR19" s="9" t="s">
        <v>108</v>
      </c>
    </row>
    <row r="20" customFormat="false" ht="48" hidden="false" customHeight="true" outlineLevel="0" collapsed="false">
      <c r="B20" s="9" t="n">
        <v>502947</v>
      </c>
      <c r="C20" s="12" t="n">
        <v>43367</v>
      </c>
      <c r="D20" s="9" t="n">
        <v>22</v>
      </c>
      <c r="E20" s="13" t="s">
        <v>127</v>
      </c>
      <c r="O20" s="24" t="b">
        <f aca="false">TRUE()</f>
        <v>1</v>
      </c>
      <c r="Q20" s="14" t="b">
        <f aca="false">FALSE()</f>
        <v>0</v>
      </c>
      <c r="Z20" s="15" t="s">
        <v>87</v>
      </c>
      <c r="AA20" s="15" t="s">
        <v>128</v>
      </c>
      <c r="AB20" s="15" t="s">
        <v>87</v>
      </c>
      <c r="AC20" s="15" t="s">
        <v>128</v>
      </c>
      <c r="AD20" s="9" t="s">
        <v>112</v>
      </c>
      <c r="AE20" s="9" t="s">
        <v>112</v>
      </c>
      <c r="AM20" s="14" t="b">
        <f aca="false">FALSE()</f>
        <v>0</v>
      </c>
      <c r="AN20" s="14" t="b">
        <f aca="false">FALSE()</f>
        <v>0</v>
      </c>
      <c r="AO20" s="23" t="s">
        <v>107</v>
      </c>
      <c r="AP20" s="23" t="s">
        <v>97</v>
      </c>
      <c r="AQ20" s="9" t="s">
        <v>122</v>
      </c>
      <c r="AR20" s="23" t="s">
        <v>97</v>
      </c>
      <c r="AS20" s="13" t="s">
        <v>105</v>
      </c>
      <c r="AT20" s="9" t="s">
        <v>129</v>
      </c>
      <c r="AV20" s="9" t="s">
        <v>129</v>
      </c>
      <c r="AZ20" s="14" t="b">
        <f aca="false">FALSE()</f>
        <v>0</v>
      </c>
      <c r="BQ20" s="9" t="s">
        <v>119</v>
      </c>
      <c r="BR20" s="9" t="s">
        <v>108</v>
      </c>
    </row>
    <row r="21" customFormat="false" ht="39.75" hidden="false" customHeight="true" outlineLevel="0" collapsed="false">
      <c r="B21" s="9" t="n">
        <v>502947</v>
      </c>
      <c r="C21" s="12" t="n">
        <v>43402</v>
      </c>
      <c r="D21" s="9" t="n">
        <v>23</v>
      </c>
      <c r="E21" s="13" t="s">
        <v>130</v>
      </c>
      <c r="Z21" s="15" t="s">
        <v>87</v>
      </c>
      <c r="AA21" s="15" t="s">
        <v>87</v>
      </c>
      <c r="AB21" s="15" t="s">
        <v>128</v>
      </c>
      <c r="AC21" s="15" t="s">
        <v>87</v>
      </c>
      <c r="AD21" s="9" t="s">
        <v>112</v>
      </c>
      <c r="AE21" s="9" t="s">
        <v>112</v>
      </c>
      <c r="AM21" s="14" t="b">
        <f aca="false">TRUE()</f>
        <v>1</v>
      </c>
      <c r="AN21" s="14" t="b">
        <f aca="false">TRUE()</f>
        <v>1</v>
      </c>
      <c r="AO21" s="9" t="s">
        <v>107</v>
      </c>
      <c r="AP21" s="9" t="s">
        <v>91</v>
      </c>
      <c r="AQ21" s="9" t="s">
        <v>96</v>
      </c>
      <c r="AR21" s="9" t="s">
        <v>131</v>
      </c>
      <c r="AS21" s="9" t="s">
        <v>132</v>
      </c>
      <c r="AT21" s="9" t="s">
        <v>133</v>
      </c>
      <c r="AU21" s="9" t="s">
        <v>117</v>
      </c>
      <c r="AV21" s="9" t="s">
        <v>133</v>
      </c>
      <c r="AW21" s="9" t="s">
        <v>117</v>
      </c>
      <c r="AX21" s="14" t="b">
        <f aca="false">TRUE()</f>
        <v>1</v>
      </c>
      <c r="BQ21" s="9" t="s">
        <v>119</v>
      </c>
      <c r="BR21" s="9" t="s">
        <v>108</v>
      </c>
    </row>
    <row r="22" customFormat="false" ht="48.75" hidden="false" customHeight="true" outlineLevel="0" collapsed="false">
      <c r="B22" s="9" t="n">
        <v>502947</v>
      </c>
      <c r="C22" s="12" t="n">
        <v>43409</v>
      </c>
      <c r="D22" s="9" t="n">
        <v>24</v>
      </c>
      <c r="E22" s="13" t="s">
        <v>134</v>
      </c>
      <c r="I22" s="24" t="b">
        <f aca="false">TRUE()</f>
        <v>1</v>
      </c>
      <c r="Z22" s="15"/>
      <c r="AA22" s="15"/>
      <c r="AB22" s="15"/>
      <c r="AC22" s="15"/>
      <c r="BQ22" s="9" t="s">
        <v>135</v>
      </c>
      <c r="BR22" s="9" t="s">
        <v>108</v>
      </c>
      <c r="BV22" s="24" t="b">
        <f aca="false">TRUE()</f>
        <v>1</v>
      </c>
      <c r="CF22" s="14" t="b">
        <f aca="false">TRUE()</f>
        <v>1</v>
      </c>
      <c r="CG22" s="14" t="b">
        <f aca="false">TRUE()</f>
        <v>1</v>
      </c>
    </row>
    <row r="23" customFormat="false" ht="39.75" hidden="false" customHeight="true" outlineLevel="0" collapsed="false">
      <c r="B23" s="9" t="n">
        <v>502947</v>
      </c>
      <c r="C23" s="12" t="n">
        <v>43416</v>
      </c>
      <c r="D23" s="9" t="n">
        <v>24</v>
      </c>
      <c r="E23" s="13" t="s">
        <v>136</v>
      </c>
      <c r="Z23" s="15"/>
      <c r="AA23" s="15"/>
      <c r="AB23" s="15"/>
      <c r="AC23" s="15"/>
      <c r="BW23" s="9" t="s">
        <v>137</v>
      </c>
      <c r="BX23" s="9" t="s">
        <v>138</v>
      </c>
    </row>
    <row r="24" customFormat="false" ht="49.5" hidden="false" customHeight="true" outlineLevel="0" collapsed="false">
      <c r="B24" s="9" t="n">
        <v>502947</v>
      </c>
      <c r="C24" s="12" t="n">
        <v>43444</v>
      </c>
      <c r="D24" s="9" t="n">
        <v>25</v>
      </c>
      <c r="E24" s="13" t="s">
        <v>139</v>
      </c>
      <c r="Z24" s="15"/>
      <c r="AA24" s="15"/>
      <c r="AB24" s="15"/>
      <c r="AC24" s="15"/>
      <c r="BQ24" s="9" t="s">
        <v>103</v>
      </c>
      <c r="BR24" s="9" t="s">
        <v>103</v>
      </c>
      <c r="CH24" s="14" t="b">
        <f aca="false">TRUE()</f>
        <v>1</v>
      </c>
    </row>
    <row r="25" customFormat="false" ht="75.75" hidden="false" customHeight="true" outlineLevel="0" collapsed="false">
      <c r="B25" s="9" t="n">
        <v>502947</v>
      </c>
      <c r="C25" s="12" t="n">
        <v>43615</v>
      </c>
      <c r="D25" s="9" t="n">
        <v>30</v>
      </c>
      <c r="E25" s="13" t="s">
        <v>140</v>
      </c>
      <c r="Z25" s="15"/>
      <c r="AA25" s="15"/>
      <c r="AB25" s="15"/>
      <c r="AC25" s="15"/>
      <c r="BQ25" s="9" t="s">
        <v>103</v>
      </c>
      <c r="BR25" s="9" t="s">
        <v>103</v>
      </c>
      <c r="CH25" s="14" t="b">
        <f aca="false">TRUE()</f>
        <v>1</v>
      </c>
    </row>
    <row r="26" customFormat="false" ht="48" hidden="false" customHeight="true" outlineLevel="0" collapsed="false">
      <c r="B26" s="9" t="n">
        <v>502947</v>
      </c>
      <c r="C26" s="12" t="n">
        <v>43700</v>
      </c>
      <c r="D26" s="9" t="n">
        <v>33</v>
      </c>
      <c r="E26" s="13" t="s">
        <v>141</v>
      </c>
      <c r="Z26" s="15"/>
      <c r="AA26" s="15"/>
      <c r="AB26" s="15"/>
      <c r="AC26" s="15"/>
      <c r="CH26" s="14" t="b">
        <f aca="false">TRUE()</f>
        <v>1</v>
      </c>
    </row>
    <row r="27" customFormat="false" ht="33.75" hidden="false" customHeight="false" outlineLevel="0" collapsed="false">
      <c r="B27" s="9" t="n">
        <v>502947</v>
      </c>
      <c r="C27" s="12" t="n">
        <v>43706</v>
      </c>
      <c r="D27" s="9" t="n">
        <v>33</v>
      </c>
      <c r="E27" s="13" t="s">
        <v>142</v>
      </c>
      <c r="I27" s="24" t="b">
        <f aca="false">TRUE()</f>
        <v>1</v>
      </c>
      <c r="Z27" s="15"/>
      <c r="AA27" s="15"/>
      <c r="AB27" s="15"/>
      <c r="AC27" s="15"/>
    </row>
    <row r="28" customFormat="false" ht="38.25" hidden="false" customHeight="true" outlineLevel="0" collapsed="false">
      <c r="B28" s="9" t="n">
        <v>502947</v>
      </c>
      <c r="C28" s="12" t="n">
        <v>43718</v>
      </c>
      <c r="D28" s="9" t="n">
        <v>34</v>
      </c>
      <c r="E28" s="13" t="s">
        <v>143</v>
      </c>
      <c r="Z28" s="15"/>
      <c r="AA28" s="15"/>
      <c r="AB28" s="15"/>
      <c r="AC28" s="15"/>
      <c r="CH28" s="14" t="b">
        <f aca="false">TRUE()</f>
        <v>1</v>
      </c>
    </row>
    <row r="29" customFormat="false" ht="54" hidden="false" customHeight="true" outlineLevel="0" collapsed="false">
      <c r="B29" s="9" t="n">
        <v>502947</v>
      </c>
      <c r="C29" s="12" t="n">
        <v>43804</v>
      </c>
      <c r="D29" s="9" t="n">
        <v>37</v>
      </c>
      <c r="E29" s="13" t="s">
        <v>144</v>
      </c>
      <c r="Z29" s="15"/>
      <c r="AA29" s="15"/>
      <c r="AB29" s="15"/>
      <c r="AC29" s="15"/>
      <c r="BQ29" s="9" t="s">
        <v>103</v>
      </c>
      <c r="BR29" s="9" t="s">
        <v>103</v>
      </c>
      <c r="CH29" s="14" t="b">
        <f aca="false">TRUE()</f>
        <v>1</v>
      </c>
    </row>
    <row r="30" customFormat="false" ht="15.75" hidden="false" customHeight="false" outlineLevel="0" collapsed="false">
      <c r="Z30" s="15"/>
      <c r="AA30" s="15"/>
      <c r="AB30" s="15"/>
      <c r="AC30" s="15"/>
    </row>
    <row r="31" customFormat="false" ht="15.75" hidden="false" customHeight="false" outlineLevel="0" collapsed="false">
      <c r="Z31" s="15"/>
      <c r="AA31" s="15"/>
      <c r="AB31" s="15"/>
      <c r="AC31" s="15"/>
    </row>
    <row r="32" customFormat="false" ht="15.75" hidden="false" customHeight="false" outlineLevel="0" collapsed="false">
      <c r="Z32" s="15"/>
      <c r="AA32" s="15"/>
      <c r="AB32" s="15"/>
      <c r="AC32" s="15"/>
    </row>
    <row r="33" customFormat="false" ht="15.75" hidden="false" customHeight="false" outlineLevel="0" collapsed="false">
      <c r="Z33" s="15"/>
      <c r="AA33" s="15"/>
      <c r="AB33" s="15"/>
      <c r="AC33" s="15"/>
    </row>
    <row r="34" customFormat="false" ht="15.75" hidden="false" customHeight="false" outlineLevel="0" collapsed="false">
      <c r="Z34" s="15"/>
      <c r="AA34" s="15"/>
      <c r="AB34" s="15"/>
      <c r="AC34" s="15"/>
    </row>
    <row r="35" customFormat="false" ht="15.75" hidden="false" customHeight="false" outlineLevel="0" collapsed="false">
      <c r="Z35" s="15"/>
      <c r="AA35" s="15"/>
      <c r="AB35" s="15"/>
      <c r="AC35" s="15"/>
    </row>
    <row r="36" customFormat="false" ht="15.75" hidden="false" customHeight="false" outlineLevel="0" collapsed="false">
      <c r="Z36" s="15"/>
      <c r="AA36" s="15"/>
      <c r="AB36" s="15"/>
      <c r="AC36" s="15"/>
    </row>
    <row r="37" customFormat="false" ht="15.75" hidden="false" customHeight="false" outlineLevel="0" collapsed="false">
      <c r="Z37" s="15"/>
      <c r="AA37" s="15"/>
      <c r="AB37" s="15"/>
      <c r="AC37" s="15"/>
    </row>
    <row r="38" customFormat="false" ht="15.75" hidden="false" customHeight="false" outlineLevel="0" collapsed="false">
      <c r="Z38" s="15"/>
      <c r="AA38" s="15"/>
      <c r="AB38" s="15"/>
      <c r="AC38" s="15"/>
    </row>
    <row r="39" customFormat="false" ht="15.75" hidden="false" customHeight="false" outlineLevel="0" collapsed="false">
      <c r="Z39" s="15"/>
      <c r="AA39" s="15"/>
      <c r="AB39" s="15"/>
      <c r="AC39" s="15"/>
    </row>
    <row r="40" customFormat="false" ht="15.75" hidden="false" customHeight="false" outlineLevel="0" collapsed="false">
      <c r="Z40" s="15"/>
      <c r="AA40" s="15"/>
      <c r="AB40" s="15"/>
      <c r="AC40" s="15"/>
    </row>
    <row r="41" customFormat="false" ht="15.75" hidden="false" customHeight="false" outlineLevel="0" collapsed="false">
      <c r="Z41" s="15"/>
      <c r="AA41" s="15"/>
      <c r="AB41" s="15"/>
      <c r="AC41" s="15"/>
    </row>
    <row r="42" customFormat="false" ht="15.75" hidden="false" customHeight="false" outlineLevel="0" collapsed="false">
      <c r="Z42" s="15"/>
      <c r="AA42" s="15"/>
      <c r="AB42" s="15"/>
      <c r="AC42" s="15"/>
    </row>
    <row r="43" customFormat="false" ht="15.75" hidden="false" customHeight="false" outlineLevel="0" collapsed="false">
      <c r="Z43" s="15"/>
      <c r="AA43" s="15"/>
      <c r="AB43" s="15"/>
      <c r="AC43" s="15"/>
    </row>
    <row r="44" customFormat="false" ht="15.75" hidden="false" customHeight="false" outlineLevel="0" collapsed="false">
      <c r="Z44" s="15"/>
      <c r="AA44" s="15"/>
      <c r="AB44" s="15"/>
      <c r="AC44" s="15"/>
    </row>
    <row r="45" customFormat="false" ht="15.75" hidden="false" customHeight="false" outlineLevel="0" collapsed="false">
      <c r="Z45" s="15"/>
      <c r="AA45" s="15"/>
      <c r="AB45" s="15"/>
      <c r="AC45" s="15"/>
    </row>
    <row r="46" customFormat="false" ht="15.75" hidden="false" customHeight="false" outlineLevel="0" collapsed="false">
      <c r="Z46" s="15"/>
      <c r="AA46" s="15"/>
      <c r="AB46" s="15"/>
      <c r="AC46" s="15"/>
    </row>
    <row r="47" customFormat="false" ht="15.75" hidden="false" customHeight="false" outlineLevel="0" collapsed="false">
      <c r="Z47" s="15"/>
      <c r="AA47" s="15"/>
      <c r="AB47" s="15"/>
      <c r="AC47" s="15"/>
    </row>
    <row r="48" customFormat="false" ht="15.75" hidden="false" customHeight="false" outlineLevel="0" collapsed="false">
      <c r="Z48" s="15"/>
      <c r="AA48" s="15"/>
      <c r="AB48" s="15"/>
      <c r="AC48" s="15"/>
    </row>
    <row r="49" customFormat="false" ht="15.75" hidden="false" customHeight="false" outlineLevel="0" collapsed="false">
      <c r="Z49" s="15"/>
      <c r="AA49" s="15"/>
      <c r="AB49" s="15"/>
      <c r="AC49" s="15"/>
    </row>
    <row r="50" customFormat="false" ht="15.75" hidden="false" customHeight="false" outlineLevel="0" collapsed="false">
      <c r="Z50" s="15"/>
      <c r="AA50" s="15"/>
      <c r="AB50" s="15"/>
      <c r="AC50" s="15"/>
    </row>
    <row r="51" customFormat="false" ht="15.75" hidden="false" customHeight="false" outlineLevel="0" collapsed="false">
      <c r="Z51" s="15"/>
      <c r="AA51" s="15"/>
      <c r="AB51" s="15"/>
      <c r="AC51" s="15"/>
    </row>
    <row r="52" customFormat="false" ht="15.75" hidden="false" customHeight="false" outlineLevel="0" collapsed="false">
      <c r="Z52" s="15"/>
      <c r="AA52" s="15"/>
      <c r="AB52" s="15"/>
      <c r="AC52" s="15"/>
    </row>
    <row r="53" customFormat="false" ht="15.75" hidden="false" customHeight="false" outlineLevel="0" collapsed="false">
      <c r="Z53" s="15"/>
      <c r="AA53" s="15"/>
      <c r="AB53" s="15"/>
      <c r="AC53" s="15"/>
    </row>
    <row r="54" customFormat="false" ht="15.75" hidden="false" customHeight="false" outlineLevel="0" collapsed="false">
      <c r="Z54" s="15"/>
      <c r="AA54" s="15"/>
      <c r="AB54" s="15"/>
      <c r="AC54" s="15"/>
    </row>
    <row r="55" customFormat="false" ht="15.75" hidden="false" customHeight="false" outlineLevel="0" collapsed="false">
      <c r="Z55" s="15"/>
      <c r="AA55" s="15"/>
      <c r="AB55" s="15"/>
      <c r="AC55" s="15"/>
    </row>
    <row r="56" customFormat="false" ht="15.75" hidden="false" customHeight="false" outlineLevel="0" collapsed="false">
      <c r="Z56" s="15"/>
      <c r="AA56" s="15"/>
      <c r="AB56" s="15"/>
      <c r="AC56" s="15"/>
    </row>
    <row r="57" customFormat="false" ht="15.75" hidden="false" customHeight="false" outlineLevel="0" collapsed="false">
      <c r="Z57" s="15"/>
      <c r="AA57" s="15"/>
      <c r="AB57" s="15"/>
      <c r="AC57" s="15"/>
    </row>
    <row r="58" customFormat="false" ht="15.75" hidden="false" customHeight="false" outlineLevel="0" collapsed="false">
      <c r="Z58" s="15"/>
      <c r="AA58" s="15"/>
      <c r="AB58" s="15"/>
      <c r="AC58" s="15"/>
    </row>
    <row r="59" customFormat="false" ht="15.75" hidden="false" customHeight="false" outlineLevel="0" collapsed="false">
      <c r="Z59" s="15"/>
      <c r="AA59" s="15"/>
      <c r="AB59" s="15"/>
      <c r="AC59" s="15"/>
    </row>
    <row r="60" customFormat="false" ht="15.75" hidden="false" customHeight="false" outlineLevel="0" collapsed="false">
      <c r="Z60" s="15"/>
      <c r="AA60" s="15"/>
      <c r="AB60" s="15"/>
      <c r="AC60" s="15"/>
    </row>
    <row r="61" customFormat="false" ht="15.75" hidden="false" customHeight="false" outlineLevel="0" collapsed="false">
      <c r="Z61" s="15"/>
      <c r="AA61" s="15"/>
      <c r="AB61" s="15"/>
      <c r="AC61" s="15"/>
    </row>
    <row r="62" customFormat="false" ht="15.75" hidden="false" customHeight="false" outlineLevel="0" collapsed="false">
      <c r="Z62" s="15"/>
      <c r="AA62" s="15"/>
      <c r="AB62" s="15"/>
      <c r="AC62" s="15"/>
    </row>
    <row r="63" customFormat="false" ht="15.75" hidden="false" customHeight="false" outlineLevel="0" collapsed="false">
      <c r="Z63" s="15"/>
      <c r="AA63" s="15"/>
      <c r="AB63" s="15"/>
      <c r="AC63" s="15"/>
    </row>
    <row r="64" customFormat="false" ht="15.75" hidden="false" customHeight="false" outlineLevel="0" collapsed="false">
      <c r="Z64" s="15"/>
      <c r="AA64" s="15"/>
      <c r="AB64" s="15"/>
      <c r="AC64" s="15"/>
    </row>
    <row r="65" customFormat="false" ht="15.75" hidden="false" customHeight="false" outlineLevel="0" collapsed="false">
      <c r="Z65" s="15"/>
      <c r="AA65" s="15"/>
      <c r="AB65" s="15"/>
      <c r="AC65" s="15"/>
    </row>
    <row r="66" customFormat="false" ht="15.75" hidden="false" customHeight="false" outlineLevel="0" collapsed="false">
      <c r="Z66" s="15"/>
      <c r="AA66" s="15"/>
      <c r="AB66" s="15"/>
      <c r="AC66" s="15"/>
    </row>
    <row r="67" customFormat="false" ht="15.75" hidden="false" customHeight="false" outlineLevel="0" collapsed="false">
      <c r="Z67" s="15"/>
      <c r="AA67" s="15"/>
      <c r="AB67" s="15"/>
      <c r="AC67" s="15"/>
    </row>
    <row r="68" customFormat="false" ht="15.75" hidden="false" customHeight="false" outlineLevel="0" collapsed="false">
      <c r="Z68" s="15"/>
      <c r="AA68" s="15"/>
      <c r="AB68" s="15"/>
      <c r="AC68" s="15"/>
    </row>
    <row r="69" customFormat="false" ht="15.75" hidden="false" customHeight="false" outlineLevel="0" collapsed="false">
      <c r="Z69" s="15"/>
      <c r="AA69" s="15"/>
      <c r="AB69" s="15"/>
      <c r="AC69" s="15"/>
    </row>
    <row r="70" customFormat="false" ht="15.75" hidden="false" customHeight="false" outlineLevel="0" collapsed="false">
      <c r="Z70" s="15"/>
      <c r="AA70" s="15"/>
      <c r="AB70" s="15"/>
      <c r="AC70" s="15"/>
    </row>
    <row r="71" customFormat="false" ht="15.75" hidden="false" customHeight="false" outlineLevel="0" collapsed="false">
      <c r="Z71" s="15"/>
      <c r="AA71" s="15"/>
      <c r="AB71" s="15"/>
      <c r="AC71" s="15"/>
    </row>
    <row r="72" customFormat="false" ht="15.75" hidden="false" customHeight="false" outlineLevel="0" collapsed="false">
      <c r="Z72" s="15"/>
      <c r="AA72" s="15"/>
      <c r="AB72" s="15"/>
      <c r="AC72" s="15"/>
    </row>
    <row r="73" customFormat="false" ht="15.75" hidden="false" customHeight="false" outlineLevel="0" collapsed="false">
      <c r="Z73" s="15"/>
      <c r="AA73" s="15"/>
      <c r="AB73" s="15"/>
      <c r="AC73" s="15"/>
    </row>
    <row r="74" customFormat="false" ht="15.75" hidden="false" customHeight="false" outlineLevel="0" collapsed="false">
      <c r="Z74" s="15"/>
      <c r="AA74" s="15"/>
      <c r="AB74" s="15"/>
      <c r="AC74" s="15"/>
    </row>
    <row r="75" customFormat="false" ht="15.75" hidden="false" customHeight="false" outlineLevel="0" collapsed="false">
      <c r="Z75" s="15"/>
      <c r="AA75" s="15"/>
      <c r="AB75" s="15"/>
      <c r="AC75" s="15"/>
    </row>
    <row r="76" customFormat="false" ht="15.75" hidden="false" customHeight="false" outlineLevel="0" collapsed="false">
      <c r="Z76" s="15"/>
      <c r="AA76" s="15"/>
      <c r="AB76" s="15"/>
      <c r="AC76" s="15"/>
    </row>
    <row r="77" customFormat="false" ht="15.75" hidden="false" customHeight="false" outlineLevel="0" collapsed="false">
      <c r="Z77" s="15"/>
      <c r="AA77" s="15"/>
      <c r="AB77" s="15"/>
      <c r="AC77" s="15"/>
    </row>
    <row r="78" customFormat="false" ht="15.75" hidden="false" customHeight="false" outlineLevel="0" collapsed="false">
      <c r="Z78" s="15"/>
      <c r="AA78" s="15"/>
      <c r="AB78" s="15"/>
      <c r="AC78" s="15"/>
    </row>
    <row r="79" customFormat="false" ht="15.75" hidden="false" customHeight="false" outlineLevel="0" collapsed="false">
      <c r="Z79" s="15"/>
      <c r="AA79" s="15"/>
      <c r="AB79" s="15"/>
      <c r="AC79" s="15"/>
    </row>
    <row r="80" customFormat="false" ht="15.75" hidden="false" customHeight="false" outlineLevel="0" collapsed="false">
      <c r="Z80" s="15"/>
      <c r="AA80" s="15"/>
      <c r="AB80" s="15"/>
      <c r="AC80" s="15"/>
    </row>
    <row r="81" customFormat="false" ht="15.75" hidden="false" customHeight="false" outlineLevel="0" collapsed="false">
      <c r="Z81" s="15"/>
      <c r="AA81" s="15"/>
      <c r="AB81" s="15"/>
      <c r="AC81" s="15"/>
    </row>
    <row r="82" customFormat="false" ht="15.75" hidden="false" customHeight="false" outlineLevel="0" collapsed="false">
      <c r="Z82" s="15"/>
      <c r="AA82" s="15"/>
      <c r="AB82" s="15"/>
      <c r="AC82" s="15"/>
    </row>
    <row r="83" customFormat="false" ht="15.75" hidden="false" customHeight="false" outlineLevel="0" collapsed="false">
      <c r="Z83" s="15"/>
      <c r="AA83" s="15"/>
      <c r="AB83" s="15"/>
      <c r="AC83" s="15"/>
    </row>
    <row r="84" customFormat="false" ht="15.75" hidden="false" customHeight="false" outlineLevel="0" collapsed="false">
      <c r="Z84" s="15"/>
      <c r="AA84" s="15"/>
      <c r="AB84" s="15"/>
      <c r="AC84" s="15"/>
    </row>
    <row r="85" customFormat="false" ht="15.75" hidden="false" customHeight="false" outlineLevel="0" collapsed="false">
      <c r="Z85" s="15"/>
      <c r="AA85" s="15"/>
      <c r="AB85" s="15"/>
      <c r="AC85" s="15"/>
    </row>
    <row r="86" customFormat="false" ht="15.75" hidden="false" customHeight="false" outlineLevel="0" collapsed="false">
      <c r="Z86" s="15"/>
      <c r="AA86" s="15"/>
      <c r="AB86" s="15"/>
      <c r="AC86" s="15"/>
    </row>
    <row r="87" customFormat="false" ht="15.75" hidden="false" customHeight="false" outlineLevel="0" collapsed="false">
      <c r="Z87" s="15"/>
      <c r="AA87" s="15"/>
      <c r="AB87" s="15"/>
      <c r="AC87" s="15"/>
    </row>
    <row r="88" customFormat="false" ht="15.75" hidden="false" customHeight="false" outlineLevel="0" collapsed="false">
      <c r="Z88" s="15"/>
      <c r="AA88" s="15"/>
      <c r="AB88" s="15"/>
      <c r="AC88" s="15"/>
    </row>
    <row r="89" customFormat="false" ht="15.75" hidden="false" customHeight="false" outlineLevel="0" collapsed="false">
      <c r="Z89" s="15"/>
      <c r="AA89" s="15"/>
      <c r="AB89" s="15"/>
      <c r="AC89" s="15"/>
    </row>
    <row r="90" customFormat="false" ht="15.75" hidden="false" customHeight="false" outlineLevel="0" collapsed="false">
      <c r="Z90" s="15"/>
      <c r="AA90" s="15"/>
      <c r="AB90" s="15"/>
      <c r="AC90" s="15"/>
    </row>
    <row r="91" customFormat="false" ht="15.75" hidden="false" customHeight="false" outlineLevel="0" collapsed="false">
      <c r="Z91" s="15"/>
      <c r="AA91" s="15"/>
      <c r="AB91" s="15"/>
      <c r="AC91" s="15"/>
    </row>
    <row r="92" customFormat="false" ht="15.75" hidden="false" customHeight="false" outlineLevel="0" collapsed="false">
      <c r="Z92" s="15"/>
      <c r="AA92" s="15"/>
      <c r="AB92" s="15"/>
      <c r="AC92" s="15"/>
    </row>
    <row r="93" customFormat="false" ht="15.75" hidden="false" customHeight="false" outlineLevel="0" collapsed="false">
      <c r="Z93" s="15"/>
      <c r="AA93" s="15"/>
      <c r="AB93" s="15"/>
      <c r="AC93" s="15"/>
    </row>
    <row r="94" customFormat="false" ht="15.75" hidden="false" customHeight="false" outlineLevel="0" collapsed="false">
      <c r="Z94" s="15"/>
      <c r="AA94" s="15"/>
      <c r="AB94" s="15"/>
      <c r="AC94" s="15"/>
    </row>
    <row r="95" customFormat="false" ht="15.75" hidden="false" customHeight="false" outlineLevel="0" collapsed="false">
      <c r="Z95" s="15"/>
      <c r="AA95" s="15"/>
      <c r="AB95" s="15"/>
      <c r="AC95" s="15"/>
    </row>
    <row r="96" customFormat="false" ht="15.75" hidden="false" customHeight="false" outlineLevel="0" collapsed="false">
      <c r="Z96" s="15"/>
      <c r="AA96" s="15"/>
      <c r="AB96" s="15"/>
      <c r="AC96" s="15"/>
    </row>
    <row r="97" customFormat="false" ht="15.75" hidden="false" customHeight="false" outlineLevel="0" collapsed="false">
      <c r="Z97" s="15"/>
      <c r="AA97" s="15"/>
      <c r="AB97" s="15"/>
      <c r="AC97" s="15"/>
    </row>
    <row r="98" customFormat="false" ht="15.75" hidden="false" customHeight="false" outlineLevel="0" collapsed="false">
      <c r="Z98" s="15"/>
      <c r="AA98" s="15"/>
      <c r="AB98" s="15"/>
      <c r="AC98" s="15"/>
    </row>
    <row r="99" customFormat="false" ht="15.75" hidden="false" customHeight="false" outlineLevel="0" collapsed="false">
      <c r="Z99" s="15"/>
      <c r="AA99" s="15"/>
      <c r="AB99" s="15"/>
      <c r="AC99" s="15"/>
    </row>
    <row r="100" customFormat="false" ht="15.75" hidden="false" customHeight="false" outlineLevel="0" collapsed="false">
      <c r="Z100" s="15"/>
      <c r="AA100" s="15"/>
      <c r="AB100" s="15"/>
      <c r="AC100" s="15"/>
    </row>
    <row r="101" customFormat="false" ht="15.75" hidden="false" customHeight="false" outlineLevel="0" collapsed="false">
      <c r="Z101" s="15"/>
      <c r="AA101" s="15"/>
      <c r="AB101" s="15"/>
      <c r="AC101" s="15"/>
    </row>
    <row r="102" customFormat="false" ht="15.75" hidden="false" customHeight="false" outlineLevel="0" collapsed="false">
      <c r="Z102" s="15"/>
      <c r="AA102" s="15"/>
      <c r="AB102" s="15"/>
      <c r="AC102" s="15"/>
    </row>
    <row r="103" customFormat="false" ht="15.75" hidden="false" customHeight="false" outlineLevel="0" collapsed="false">
      <c r="Z103" s="15"/>
      <c r="AA103" s="15"/>
      <c r="AB103" s="15"/>
      <c r="AC103" s="15"/>
    </row>
    <row r="104" customFormat="false" ht="15.75" hidden="false" customHeight="false" outlineLevel="0" collapsed="false">
      <c r="Z104" s="15"/>
      <c r="AA104" s="15"/>
      <c r="AB104" s="15"/>
      <c r="AC104" s="15"/>
    </row>
    <row r="105" customFormat="false" ht="15.75" hidden="false" customHeight="false" outlineLevel="0" collapsed="false">
      <c r="Z105" s="15"/>
      <c r="AA105" s="15"/>
      <c r="AB105" s="15"/>
      <c r="AC105" s="15"/>
    </row>
    <row r="106" customFormat="false" ht="15.75" hidden="false" customHeight="false" outlineLevel="0" collapsed="false">
      <c r="Z106" s="15"/>
      <c r="AA106" s="15"/>
      <c r="AB106" s="15"/>
      <c r="AC106" s="15"/>
    </row>
    <row r="107" customFormat="false" ht="15.75" hidden="false" customHeight="false" outlineLevel="0" collapsed="false">
      <c r="Z107" s="15"/>
      <c r="AA107" s="15"/>
      <c r="AB107" s="15"/>
      <c r="AC107" s="15"/>
    </row>
    <row r="108" customFormat="false" ht="15.75" hidden="false" customHeight="false" outlineLevel="0" collapsed="false">
      <c r="Z108" s="15"/>
      <c r="AA108" s="15"/>
      <c r="AB108" s="15"/>
      <c r="AC108" s="15"/>
    </row>
    <row r="109" customFormat="false" ht="15.75" hidden="false" customHeight="false" outlineLevel="0" collapsed="false">
      <c r="Z109" s="15"/>
      <c r="AA109" s="15"/>
      <c r="AB109" s="15"/>
      <c r="AC109" s="15"/>
    </row>
    <row r="110" customFormat="false" ht="15.75" hidden="false" customHeight="false" outlineLevel="0" collapsed="false">
      <c r="Z110" s="15"/>
      <c r="AA110" s="15"/>
      <c r="AB110" s="15"/>
      <c r="AC110" s="15"/>
    </row>
    <row r="111" customFormat="false" ht="15.75" hidden="false" customHeight="false" outlineLevel="0" collapsed="false">
      <c r="Z111" s="15"/>
      <c r="AA111" s="15"/>
      <c r="AB111" s="15"/>
      <c r="AC111" s="15"/>
    </row>
    <row r="112" customFormat="false" ht="15.75" hidden="false" customHeight="false" outlineLevel="0" collapsed="false">
      <c r="Z112" s="15"/>
      <c r="AA112" s="15"/>
      <c r="AB112" s="15"/>
      <c r="AC112" s="15"/>
    </row>
    <row r="113" customFormat="false" ht="15.75" hidden="false" customHeight="false" outlineLevel="0" collapsed="false">
      <c r="Z113" s="15"/>
      <c r="AA113" s="15"/>
      <c r="AB113" s="15"/>
      <c r="AC113" s="15"/>
    </row>
    <row r="114" customFormat="false" ht="15.75" hidden="false" customHeight="false" outlineLevel="0" collapsed="false">
      <c r="Z114" s="15"/>
      <c r="AA114" s="15"/>
      <c r="AB114" s="15"/>
      <c r="AC114" s="15"/>
    </row>
    <row r="115" customFormat="false" ht="15.75" hidden="false" customHeight="false" outlineLevel="0" collapsed="false">
      <c r="Z115" s="15"/>
      <c r="AA115" s="15"/>
      <c r="AB115" s="15"/>
      <c r="AC115" s="15"/>
    </row>
    <row r="116" customFormat="false" ht="15.75" hidden="false" customHeight="false" outlineLevel="0" collapsed="false">
      <c r="Z116" s="15"/>
      <c r="AA116" s="15"/>
      <c r="AB116" s="15"/>
      <c r="AC116" s="15"/>
    </row>
    <row r="117" customFormat="false" ht="15.75" hidden="false" customHeight="false" outlineLevel="0" collapsed="false">
      <c r="Z117" s="15"/>
      <c r="AA117" s="15"/>
      <c r="AB117" s="15"/>
      <c r="AC117" s="15"/>
    </row>
    <row r="118" customFormat="false" ht="15.75" hidden="false" customHeight="false" outlineLevel="0" collapsed="false">
      <c r="Z118" s="15"/>
      <c r="AA118" s="15"/>
      <c r="AB118" s="15"/>
      <c r="AC118" s="15"/>
    </row>
    <row r="119" customFormat="false" ht="15.75" hidden="false" customHeight="false" outlineLevel="0" collapsed="false">
      <c r="Z119" s="15"/>
      <c r="AA119" s="15"/>
      <c r="AB119" s="15"/>
      <c r="AC119" s="15"/>
    </row>
    <row r="120" customFormat="false" ht="15.75" hidden="false" customHeight="false" outlineLevel="0" collapsed="false">
      <c r="Z120" s="15"/>
      <c r="AA120" s="15"/>
      <c r="AB120" s="15"/>
      <c r="AC120" s="15"/>
    </row>
    <row r="121" customFormat="false" ht="15.75" hidden="false" customHeight="false" outlineLevel="0" collapsed="false">
      <c r="Z121" s="15"/>
      <c r="AA121" s="15"/>
      <c r="AB121" s="15"/>
      <c r="AC121" s="15"/>
    </row>
    <row r="122" customFormat="false" ht="15.75" hidden="false" customHeight="false" outlineLevel="0" collapsed="false">
      <c r="Z122" s="15"/>
      <c r="AA122" s="15"/>
      <c r="AB122" s="15"/>
      <c r="AC122" s="15"/>
    </row>
    <row r="123" customFormat="false" ht="15.75" hidden="false" customHeight="false" outlineLevel="0" collapsed="false">
      <c r="Z123" s="15"/>
      <c r="AA123" s="15"/>
      <c r="AB123" s="15"/>
      <c r="AC123" s="15"/>
    </row>
    <row r="124" customFormat="false" ht="15.75" hidden="false" customHeight="false" outlineLevel="0" collapsed="false">
      <c r="Z124" s="15"/>
      <c r="AA124" s="15"/>
      <c r="AB124" s="15"/>
      <c r="AC124" s="15"/>
    </row>
    <row r="125" customFormat="false" ht="15.75" hidden="false" customHeight="false" outlineLevel="0" collapsed="false">
      <c r="Z125" s="15"/>
      <c r="AA125" s="15"/>
      <c r="AB125" s="15"/>
      <c r="AC125" s="15"/>
    </row>
    <row r="126" customFormat="false" ht="15.75" hidden="false" customHeight="false" outlineLevel="0" collapsed="false">
      <c r="Z126" s="15"/>
      <c r="AA126" s="15"/>
      <c r="AB126" s="15"/>
      <c r="AC126" s="15"/>
    </row>
    <row r="127" customFormat="false" ht="15.75" hidden="false" customHeight="false" outlineLevel="0" collapsed="false">
      <c r="Z127" s="15"/>
      <c r="AA127" s="15"/>
      <c r="AB127" s="15"/>
      <c r="AC127" s="15"/>
    </row>
    <row r="128" customFormat="false" ht="15.75" hidden="false" customHeight="false" outlineLevel="0" collapsed="false">
      <c r="Z128" s="15"/>
      <c r="AA128" s="15"/>
      <c r="AB128" s="15"/>
      <c r="AC128" s="15"/>
    </row>
    <row r="129" customFormat="false" ht="15.75" hidden="false" customHeight="false" outlineLevel="0" collapsed="false">
      <c r="Z129" s="15"/>
      <c r="AA129" s="15"/>
      <c r="AB129" s="15"/>
      <c r="AC129" s="15"/>
    </row>
    <row r="130" customFormat="false" ht="15.75" hidden="false" customHeight="false" outlineLevel="0" collapsed="false">
      <c r="Z130" s="15"/>
      <c r="AA130" s="15"/>
      <c r="AB130" s="15"/>
      <c r="AC130" s="15"/>
    </row>
    <row r="131" customFormat="false" ht="15.75" hidden="false" customHeight="false" outlineLevel="0" collapsed="false">
      <c r="Z131" s="15"/>
      <c r="AA131" s="15"/>
      <c r="AB131" s="15"/>
      <c r="AC131" s="15"/>
    </row>
    <row r="132" customFormat="false" ht="15.75" hidden="false" customHeight="false" outlineLevel="0" collapsed="false">
      <c r="Z132" s="15"/>
      <c r="AA132" s="15"/>
      <c r="AB132" s="15"/>
      <c r="AC132" s="15"/>
    </row>
    <row r="133" customFormat="false" ht="15.75" hidden="false" customHeight="false" outlineLevel="0" collapsed="false">
      <c r="Z133" s="15"/>
      <c r="AA133" s="15"/>
      <c r="AB133" s="15"/>
      <c r="AC133" s="15"/>
    </row>
    <row r="134" customFormat="false" ht="15.75" hidden="false" customHeight="false" outlineLevel="0" collapsed="false">
      <c r="Z134" s="15"/>
      <c r="AA134" s="15"/>
      <c r="AB134" s="15"/>
      <c r="AC134" s="15"/>
    </row>
    <row r="135" customFormat="false" ht="15.75" hidden="false" customHeight="false" outlineLevel="0" collapsed="false">
      <c r="Z135" s="15"/>
      <c r="AA135" s="15"/>
      <c r="AB135" s="15"/>
      <c r="AC135" s="15"/>
    </row>
    <row r="136" customFormat="false" ht="15.75" hidden="false" customHeight="false" outlineLevel="0" collapsed="false">
      <c r="Z136" s="15"/>
      <c r="AA136" s="15"/>
      <c r="AB136" s="15"/>
      <c r="AC136" s="15"/>
    </row>
    <row r="137" customFormat="false" ht="15.75" hidden="false" customHeight="false" outlineLevel="0" collapsed="false">
      <c r="Z137" s="15"/>
      <c r="AA137" s="15"/>
      <c r="AB137" s="15"/>
      <c r="AC137" s="15"/>
    </row>
    <row r="138" customFormat="false" ht="15.75" hidden="false" customHeight="false" outlineLevel="0" collapsed="false">
      <c r="Z138" s="15"/>
      <c r="AA138" s="15"/>
      <c r="AB138" s="15"/>
      <c r="AC138" s="15"/>
    </row>
    <row r="139" customFormat="false" ht="15.75" hidden="false" customHeight="false" outlineLevel="0" collapsed="false">
      <c r="Z139" s="15"/>
      <c r="AA139" s="15"/>
      <c r="AB139" s="15"/>
      <c r="AC139" s="15"/>
    </row>
    <row r="140" customFormat="false" ht="15.75" hidden="false" customHeight="false" outlineLevel="0" collapsed="false">
      <c r="Z140" s="15"/>
      <c r="AA140" s="15"/>
      <c r="AB140" s="15"/>
      <c r="AC140" s="15"/>
    </row>
    <row r="141" customFormat="false" ht="15.75" hidden="false" customHeight="false" outlineLevel="0" collapsed="false">
      <c r="Z141" s="15"/>
      <c r="AA141" s="15"/>
      <c r="AB141" s="15"/>
      <c r="AC141" s="15"/>
    </row>
    <row r="142" customFormat="false" ht="15.75" hidden="false" customHeight="false" outlineLevel="0" collapsed="false">
      <c r="Z142" s="15"/>
      <c r="AA142" s="15"/>
      <c r="AB142" s="15"/>
      <c r="AC142" s="15"/>
    </row>
    <row r="143" customFormat="false" ht="15.75" hidden="false" customHeight="false" outlineLevel="0" collapsed="false">
      <c r="Z143" s="15"/>
      <c r="AA143" s="15"/>
      <c r="AB143" s="15"/>
      <c r="AC143" s="15"/>
    </row>
    <row r="144" customFormat="false" ht="15.75" hidden="false" customHeight="false" outlineLevel="0" collapsed="false">
      <c r="Z144" s="15"/>
      <c r="AA144" s="15"/>
      <c r="AB144" s="15"/>
      <c r="AC144" s="15"/>
    </row>
    <row r="145" customFormat="false" ht="15.75" hidden="false" customHeight="false" outlineLevel="0" collapsed="false">
      <c r="Z145" s="15"/>
      <c r="AA145" s="15"/>
      <c r="AB145" s="15"/>
      <c r="AC145" s="15"/>
    </row>
    <row r="146" customFormat="false" ht="15.75" hidden="false" customHeight="false" outlineLevel="0" collapsed="false">
      <c r="Z146" s="15"/>
      <c r="AA146" s="15"/>
      <c r="AB146" s="15"/>
      <c r="AC146" s="15"/>
    </row>
    <row r="147" customFormat="false" ht="15.75" hidden="false" customHeight="false" outlineLevel="0" collapsed="false">
      <c r="Z147" s="15"/>
      <c r="AA147" s="15"/>
      <c r="AB147" s="15"/>
      <c r="AC147" s="15"/>
    </row>
    <row r="148" customFormat="false" ht="15.75" hidden="false" customHeight="false" outlineLevel="0" collapsed="false">
      <c r="Z148" s="15"/>
      <c r="AA148" s="15"/>
      <c r="AB148" s="15"/>
      <c r="AC148" s="15"/>
    </row>
    <row r="149" customFormat="false" ht="15.75" hidden="false" customHeight="false" outlineLevel="0" collapsed="false">
      <c r="Z149" s="15"/>
      <c r="AA149" s="15"/>
      <c r="AB149" s="15"/>
      <c r="AC149" s="15"/>
    </row>
    <row r="150" customFormat="false" ht="15.75" hidden="false" customHeight="false" outlineLevel="0" collapsed="false">
      <c r="Z150" s="15"/>
      <c r="AA150" s="15"/>
      <c r="AB150" s="15"/>
      <c r="AC150" s="15"/>
    </row>
    <row r="151" customFormat="false" ht="15.75" hidden="false" customHeight="false" outlineLevel="0" collapsed="false">
      <c r="Z151" s="15"/>
      <c r="AA151" s="15"/>
      <c r="AB151" s="15"/>
      <c r="AC151" s="15"/>
    </row>
    <row r="152" customFormat="false" ht="15.75" hidden="false" customHeight="false" outlineLevel="0" collapsed="false">
      <c r="Z152" s="15"/>
      <c r="AA152" s="15"/>
      <c r="AB152" s="15"/>
      <c r="AC152" s="15"/>
    </row>
    <row r="153" customFormat="false" ht="15.75" hidden="false" customHeight="false" outlineLevel="0" collapsed="false">
      <c r="Z153" s="15"/>
      <c r="AA153" s="15"/>
      <c r="AB153" s="15"/>
      <c r="AC153" s="15"/>
    </row>
    <row r="154" customFormat="false" ht="15.75" hidden="false" customHeight="false" outlineLevel="0" collapsed="false">
      <c r="Z154" s="15"/>
      <c r="AA154" s="15"/>
      <c r="AB154" s="15"/>
      <c r="AC154" s="15"/>
    </row>
    <row r="155" customFormat="false" ht="15.75" hidden="false" customHeight="false" outlineLevel="0" collapsed="false">
      <c r="Z155" s="15"/>
      <c r="AA155" s="15"/>
      <c r="AB155" s="15"/>
      <c r="AC155" s="15"/>
    </row>
    <row r="156" customFormat="false" ht="15.75" hidden="false" customHeight="false" outlineLevel="0" collapsed="false">
      <c r="Z156" s="15"/>
      <c r="AA156" s="15"/>
      <c r="AB156" s="15"/>
      <c r="AC156" s="15"/>
    </row>
    <row r="157" customFormat="false" ht="15.75" hidden="false" customHeight="false" outlineLevel="0" collapsed="false">
      <c r="Z157" s="15"/>
      <c r="AA157" s="15"/>
      <c r="AB157" s="15"/>
      <c r="AC157" s="15"/>
    </row>
    <row r="158" customFormat="false" ht="15.75" hidden="false" customHeight="false" outlineLevel="0" collapsed="false">
      <c r="Z158" s="15"/>
      <c r="AA158" s="15"/>
      <c r="AB158" s="15"/>
      <c r="AC158" s="15"/>
    </row>
    <row r="159" customFormat="false" ht="15.75" hidden="false" customHeight="false" outlineLevel="0" collapsed="false">
      <c r="Z159" s="15"/>
      <c r="AA159" s="15"/>
      <c r="AB159" s="15"/>
      <c r="AC159" s="15"/>
    </row>
    <row r="160" customFormat="false" ht="15.75" hidden="false" customHeight="false" outlineLevel="0" collapsed="false">
      <c r="Z160" s="15"/>
      <c r="AA160" s="15"/>
      <c r="AB160" s="15"/>
      <c r="AC160" s="15"/>
    </row>
    <row r="161" customFormat="false" ht="15.75" hidden="false" customHeight="false" outlineLevel="0" collapsed="false">
      <c r="Z161" s="15"/>
      <c r="AA161" s="15"/>
      <c r="AB161" s="15"/>
      <c r="AC161" s="15"/>
    </row>
    <row r="162" customFormat="false" ht="15.75" hidden="false" customHeight="false" outlineLevel="0" collapsed="false">
      <c r="Z162" s="15"/>
      <c r="AA162" s="15"/>
      <c r="AB162" s="15"/>
      <c r="AC162" s="15"/>
    </row>
    <row r="163" customFormat="false" ht="15.75" hidden="false" customHeight="false" outlineLevel="0" collapsed="false">
      <c r="Z163" s="15"/>
      <c r="AA163" s="15"/>
      <c r="AB163" s="15"/>
      <c r="AC163" s="15"/>
    </row>
    <row r="164" customFormat="false" ht="15.75" hidden="false" customHeight="false" outlineLevel="0" collapsed="false">
      <c r="Z164" s="15"/>
      <c r="AA164" s="15"/>
      <c r="AB164" s="15"/>
      <c r="AC164" s="15"/>
    </row>
    <row r="165" customFormat="false" ht="15.75" hidden="false" customHeight="false" outlineLevel="0" collapsed="false">
      <c r="Z165" s="15"/>
      <c r="AA165" s="15"/>
      <c r="AB165" s="15"/>
      <c r="AC165" s="15"/>
    </row>
    <row r="166" customFormat="false" ht="15.75" hidden="false" customHeight="false" outlineLevel="0" collapsed="false">
      <c r="Z166" s="15"/>
      <c r="AA166" s="15"/>
      <c r="AB166" s="15"/>
      <c r="AC166" s="15"/>
    </row>
    <row r="167" customFormat="false" ht="15.75" hidden="false" customHeight="false" outlineLevel="0" collapsed="false">
      <c r="Z167" s="15"/>
      <c r="AA167" s="15"/>
      <c r="AB167" s="15"/>
      <c r="AC167" s="15"/>
    </row>
    <row r="168" customFormat="false" ht="15.75" hidden="false" customHeight="false" outlineLevel="0" collapsed="false">
      <c r="Z168" s="15"/>
      <c r="AA168" s="15"/>
      <c r="AB168" s="15"/>
      <c r="AC168" s="15"/>
    </row>
    <row r="169" customFormat="false" ht="15.75" hidden="false" customHeight="false" outlineLevel="0" collapsed="false">
      <c r="Z169" s="15"/>
      <c r="AA169" s="15"/>
      <c r="AB169" s="15"/>
      <c r="AC169" s="15"/>
    </row>
    <row r="170" customFormat="false" ht="15.75" hidden="false" customHeight="false" outlineLevel="0" collapsed="false">
      <c r="Z170" s="15"/>
      <c r="AA170" s="15"/>
      <c r="AB170" s="15"/>
      <c r="AC170" s="15"/>
    </row>
    <row r="171" customFormat="false" ht="15.75" hidden="false" customHeight="false" outlineLevel="0" collapsed="false">
      <c r="Z171" s="15"/>
      <c r="AA171" s="15"/>
      <c r="AB171" s="15"/>
      <c r="AC171" s="15"/>
    </row>
    <row r="172" customFormat="false" ht="15.75" hidden="false" customHeight="false" outlineLevel="0" collapsed="false">
      <c r="Z172" s="15"/>
      <c r="AA172" s="15"/>
      <c r="AB172" s="15"/>
      <c r="AC172" s="15"/>
    </row>
    <row r="173" customFormat="false" ht="15.75" hidden="false" customHeight="false" outlineLevel="0" collapsed="false">
      <c r="Z173" s="15"/>
      <c r="AA173" s="15"/>
      <c r="AB173" s="15"/>
      <c r="AC173" s="15"/>
    </row>
    <row r="174" customFormat="false" ht="15.75" hidden="false" customHeight="false" outlineLevel="0" collapsed="false">
      <c r="Z174" s="15"/>
      <c r="AA174" s="15"/>
      <c r="AB174" s="15"/>
      <c r="AC174" s="15"/>
    </row>
    <row r="175" customFormat="false" ht="15.75" hidden="false" customHeight="false" outlineLevel="0" collapsed="false">
      <c r="Z175" s="15"/>
      <c r="AA175" s="15"/>
      <c r="AB175" s="15"/>
      <c r="AC175" s="15"/>
    </row>
    <row r="176" customFormat="false" ht="15.75" hidden="false" customHeight="false" outlineLevel="0" collapsed="false">
      <c r="Z176" s="15"/>
      <c r="AA176" s="15"/>
      <c r="AB176" s="15"/>
      <c r="AC176" s="15"/>
    </row>
    <row r="177" customFormat="false" ht="15.75" hidden="false" customHeight="false" outlineLevel="0" collapsed="false">
      <c r="Z177" s="15"/>
      <c r="AA177" s="15"/>
      <c r="AB177" s="15"/>
      <c r="AC177" s="15"/>
    </row>
    <row r="178" customFormat="false" ht="15.75" hidden="false" customHeight="false" outlineLevel="0" collapsed="false">
      <c r="Z178" s="15"/>
      <c r="AA178" s="15"/>
      <c r="AB178" s="15"/>
      <c r="AC178" s="15"/>
    </row>
    <row r="179" customFormat="false" ht="15.75" hidden="false" customHeight="false" outlineLevel="0" collapsed="false">
      <c r="Z179" s="15"/>
      <c r="AA179" s="15"/>
      <c r="AB179" s="15"/>
      <c r="AC179" s="15"/>
    </row>
    <row r="180" customFormat="false" ht="15.75" hidden="false" customHeight="false" outlineLevel="0" collapsed="false">
      <c r="Z180" s="15"/>
      <c r="AA180" s="15"/>
      <c r="AB180" s="15"/>
      <c r="AC180" s="15"/>
    </row>
    <row r="181" customFormat="false" ht="15.75" hidden="false" customHeight="false" outlineLevel="0" collapsed="false">
      <c r="Z181" s="15"/>
      <c r="AA181" s="15"/>
      <c r="AB181" s="15"/>
      <c r="AC181" s="15"/>
    </row>
    <row r="182" customFormat="false" ht="15.75" hidden="false" customHeight="false" outlineLevel="0" collapsed="false">
      <c r="Z182" s="15"/>
      <c r="AA182" s="15"/>
      <c r="AB182" s="15"/>
      <c r="AC182" s="15"/>
    </row>
    <row r="183" customFormat="false" ht="15.75" hidden="false" customHeight="false" outlineLevel="0" collapsed="false">
      <c r="Z183" s="15"/>
      <c r="AA183" s="15"/>
      <c r="AB183" s="15"/>
      <c r="AC183" s="15"/>
    </row>
    <row r="184" customFormat="false" ht="15.75" hidden="false" customHeight="false" outlineLevel="0" collapsed="false">
      <c r="Z184" s="15"/>
      <c r="AA184" s="15"/>
      <c r="AB184" s="15"/>
      <c r="AC184" s="15"/>
    </row>
    <row r="185" customFormat="false" ht="15.75" hidden="false" customHeight="false" outlineLevel="0" collapsed="false">
      <c r="Z185" s="15"/>
      <c r="AA185" s="15"/>
      <c r="AB185" s="15"/>
      <c r="AC185" s="15"/>
    </row>
    <row r="186" customFormat="false" ht="15.75" hidden="false" customHeight="false" outlineLevel="0" collapsed="false">
      <c r="Z186" s="15"/>
      <c r="AA186" s="15"/>
      <c r="AB186" s="15"/>
      <c r="AC186" s="15"/>
    </row>
    <row r="187" customFormat="false" ht="15.75" hidden="false" customHeight="false" outlineLevel="0" collapsed="false">
      <c r="Z187" s="15"/>
      <c r="AA187" s="15"/>
      <c r="AB187" s="15"/>
      <c r="AC187" s="15"/>
    </row>
    <row r="188" customFormat="false" ht="15.75" hidden="false" customHeight="false" outlineLevel="0" collapsed="false">
      <c r="Z188" s="15"/>
      <c r="AA188" s="15"/>
      <c r="AB188" s="15"/>
      <c r="AC188" s="15"/>
    </row>
    <row r="189" customFormat="false" ht="15.75" hidden="false" customHeight="false" outlineLevel="0" collapsed="false">
      <c r="Z189" s="15"/>
      <c r="AA189" s="15"/>
      <c r="AB189" s="15"/>
      <c r="AC189" s="15"/>
    </row>
    <row r="190" customFormat="false" ht="15.75" hidden="false" customHeight="false" outlineLevel="0" collapsed="false">
      <c r="Z190" s="15"/>
      <c r="AA190" s="15"/>
      <c r="AB190" s="15"/>
      <c r="AC190" s="15"/>
    </row>
    <row r="191" customFormat="false" ht="15.75" hidden="false" customHeight="false" outlineLevel="0" collapsed="false">
      <c r="Z191" s="15"/>
      <c r="AA191" s="15"/>
      <c r="AB191" s="15"/>
      <c r="AC191" s="15"/>
    </row>
    <row r="192" customFormat="false" ht="15.75" hidden="false" customHeight="false" outlineLevel="0" collapsed="false">
      <c r="Z192" s="15"/>
      <c r="AA192" s="15"/>
      <c r="AB192" s="15"/>
      <c r="AC192" s="15"/>
    </row>
    <row r="193" customFormat="false" ht="15.75" hidden="false" customHeight="false" outlineLevel="0" collapsed="false">
      <c r="Z193" s="15"/>
      <c r="AA193" s="15"/>
      <c r="AB193" s="15"/>
      <c r="AC193" s="15"/>
    </row>
    <row r="194" customFormat="false" ht="15.75" hidden="false" customHeight="false" outlineLevel="0" collapsed="false">
      <c r="Z194" s="15"/>
      <c r="AA194" s="15"/>
      <c r="AB194" s="15"/>
      <c r="AC194" s="15"/>
    </row>
    <row r="195" customFormat="false" ht="15.75" hidden="false" customHeight="false" outlineLevel="0" collapsed="false">
      <c r="Z195" s="15"/>
      <c r="AA195" s="15"/>
      <c r="AB195" s="15"/>
      <c r="AC195" s="15"/>
    </row>
    <row r="196" customFormat="false" ht="15.75" hidden="false" customHeight="false" outlineLevel="0" collapsed="false">
      <c r="Z196" s="15"/>
      <c r="AA196" s="15"/>
      <c r="AB196" s="15"/>
      <c r="AC196" s="15"/>
    </row>
    <row r="197" customFormat="false" ht="15.75" hidden="false" customHeight="false" outlineLevel="0" collapsed="false">
      <c r="Z197" s="15"/>
      <c r="AA197" s="15"/>
      <c r="AB197" s="15"/>
      <c r="AC197" s="15"/>
    </row>
    <row r="198" customFormat="false" ht="15.75" hidden="false" customHeight="false" outlineLevel="0" collapsed="false">
      <c r="Z198" s="15"/>
      <c r="AA198" s="15"/>
      <c r="AB198" s="15"/>
      <c r="AC198" s="15"/>
    </row>
    <row r="199" customFormat="false" ht="15.75" hidden="false" customHeight="false" outlineLevel="0" collapsed="false">
      <c r="Z199" s="15"/>
      <c r="AA199" s="15"/>
      <c r="AB199" s="15"/>
      <c r="AC199" s="15"/>
    </row>
    <row r="200" customFormat="false" ht="15.75" hidden="false" customHeight="false" outlineLevel="0" collapsed="false">
      <c r="Z200" s="15"/>
      <c r="AA200" s="15"/>
      <c r="AB200" s="15"/>
      <c r="AC200" s="15"/>
    </row>
    <row r="201" customFormat="false" ht="15.75" hidden="false" customHeight="false" outlineLevel="0" collapsed="false">
      <c r="Z201" s="15"/>
      <c r="AA201" s="15"/>
      <c r="AB201" s="15"/>
      <c r="AC201" s="15"/>
    </row>
    <row r="202" customFormat="false" ht="15.75" hidden="false" customHeight="false" outlineLevel="0" collapsed="false">
      <c r="Z202" s="15"/>
      <c r="AA202" s="15"/>
      <c r="AB202" s="15"/>
      <c r="AC202" s="15"/>
    </row>
    <row r="203" customFormat="false" ht="15.75" hidden="false" customHeight="false" outlineLevel="0" collapsed="false">
      <c r="Z203" s="15"/>
      <c r="AA203" s="15"/>
      <c r="AB203" s="15"/>
      <c r="AC203" s="15"/>
    </row>
    <row r="204" customFormat="false" ht="15.75" hidden="false" customHeight="false" outlineLevel="0" collapsed="false">
      <c r="Z204" s="15"/>
      <c r="AA204" s="15"/>
      <c r="AB204" s="15"/>
      <c r="AC204" s="15"/>
    </row>
    <row r="205" customFormat="false" ht="15.75" hidden="false" customHeight="false" outlineLevel="0" collapsed="false">
      <c r="Z205" s="15"/>
      <c r="AA205" s="15"/>
      <c r="AB205" s="15"/>
      <c r="AC205" s="15"/>
    </row>
    <row r="206" customFormat="false" ht="15.75" hidden="false" customHeight="false" outlineLevel="0" collapsed="false">
      <c r="Z206" s="15"/>
      <c r="AA206" s="15"/>
      <c r="AB206" s="15"/>
      <c r="AC206" s="15"/>
    </row>
    <row r="207" customFormat="false" ht="15.75" hidden="false" customHeight="false" outlineLevel="0" collapsed="false">
      <c r="Z207" s="15"/>
      <c r="AA207" s="15"/>
      <c r="AB207" s="15"/>
      <c r="AC207" s="15"/>
    </row>
    <row r="208" customFormat="false" ht="15.75" hidden="false" customHeight="false" outlineLevel="0" collapsed="false">
      <c r="Z208" s="15"/>
      <c r="AA208" s="15"/>
      <c r="AB208" s="15"/>
      <c r="AC208" s="15"/>
    </row>
    <row r="209" customFormat="false" ht="15.75" hidden="false" customHeight="false" outlineLevel="0" collapsed="false">
      <c r="Z209" s="15"/>
      <c r="AA209" s="15"/>
      <c r="AB209" s="15"/>
      <c r="AC209" s="15"/>
    </row>
    <row r="210" customFormat="false" ht="15.75" hidden="false" customHeight="false" outlineLevel="0" collapsed="false">
      <c r="Z210" s="15"/>
      <c r="AA210" s="15"/>
      <c r="AB210" s="15"/>
      <c r="AC210" s="15"/>
    </row>
    <row r="211" customFormat="false" ht="15.75" hidden="false" customHeight="false" outlineLevel="0" collapsed="false">
      <c r="Z211" s="15"/>
      <c r="AA211" s="15"/>
      <c r="AB211" s="15"/>
      <c r="AC211" s="15"/>
    </row>
    <row r="212" customFormat="false" ht="15.75" hidden="false" customHeight="false" outlineLevel="0" collapsed="false">
      <c r="Z212" s="15"/>
      <c r="AA212" s="15"/>
      <c r="AB212" s="15"/>
      <c r="AC212" s="15"/>
    </row>
    <row r="213" customFormat="false" ht="15.75" hidden="false" customHeight="false" outlineLevel="0" collapsed="false">
      <c r="Z213" s="15"/>
      <c r="AA213" s="15"/>
      <c r="AB213" s="15"/>
      <c r="AC213" s="15"/>
    </row>
    <row r="214" customFormat="false" ht="15.75" hidden="false" customHeight="false" outlineLevel="0" collapsed="false">
      <c r="Z214" s="15"/>
      <c r="AA214" s="15"/>
      <c r="AB214" s="15"/>
      <c r="AC214" s="15"/>
    </row>
    <row r="215" customFormat="false" ht="15.75" hidden="false" customHeight="false" outlineLevel="0" collapsed="false">
      <c r="Z215" s="15"/>
      <c r="AA215" s="15"/>
      <c r="AB215" s="15"/>
      <c r="AC215" s="15"/>
    </row>
    <row r="216" customFormat="false" ht="15.75" hidden="false" customHeight="false" outlineLevel="0" collapsed="false">
      <c r="Z216" s="15"/>
      <c r="AA216" s="15"/>
      <c r="AB216" s="15"/>
      <c r="AC216" s="15"/>
    </row>
    <row r="217" customFormat="false" ht="15.75" hidden="false" customHeight="false" outlineLevel="0" collapsed="false">
      <c r="Z217" s="15"/>
      <c r="AA217" s="15"/>
      <c r="AB217" s="15"/>
      <c r="AC217" s="15"/>
    </row>
    <row r="218" customFormat="false" ht="15.75" hidden="false" customHeight="false" outlineLevel="0" collapsed="false">
      <c r="Z218" s="15"/>
      <c r="AA218" s="15"/>
      <c r="AB218" s="15"/>
      <c r="AC218" s="15"/>
    </row>
    <row r="219" customFormat="false" ht="15.75" hidden="false" customHeight="false" outlineLevel="0" collapsed="false">
      <c r="Z219" s="15"/>
      <c r="AA219" s="15"/>
      <c r="AB219" s="15"/>
      <c r="AC219" s="15"/>
    </row>
    <row r="220" customFormat="false" ht="15.75" hidden="false" customHeight="false" outlineLevel="0" collapsed="false">
      <c r="Z220" s="15"/>
      <c r="AA220" s="15"/>
      <c r="AB220" s="15"/>
      <c r="AC220" s="15"/>
    </row>
    <row r="221" customFormat="false" ht="15.75" hidden="false" customHeight="false" outlineLevel="0" collapsed="false">
      <c r="Z221" s="15"/>
      <c r="AA221" s="15"/>
      <c r="AB221" s="15"/>
      <c r="AC221" s="15"/>
    </row>
    <row r="222" customFormat="false" ht="15.75" hidden="false" customHeight="false" outlineLevel="0" collapsed="false">
      <c r="Z222" s="15"/>
      <c r="AA222" s="15"/>
      <c r="AB222" s="15"/>
      <c r="AC222" s="15"/>
    </row>
    <row r="223" customFormat="false" ht="15.75" hidden="false" customHeight="false" outlineLevel="0" collapsed="false">
      <c r="Z223" s="15"/>
      <c r="AA223" s="15"/>
      <c r="AB223" s="15"/>
      <c r="AC223" s="15"/>
    </row>
    <row r="224" customFormat="false" ht="15.75" hidden="false" customHeight="false" outlineLevel="0" collapsed="false">
      <c r="Z224" s="15"/>
      <c r="AA224" s="15"/>
      <c r="AB224" s="15"/>
      <c r="AC224" s="15"/>
    </row>
    <row r="225" customFormat="false" ht="15.75" hidden="false" customHeight="false" outlineLevel="0" collapsed="false">
      <c r="Z225" s="15"/>
      <c r="AA225" s="15"/>
      <c r="AB225" s="15"/>
      <c r="AC225" s="15"/>
    </row>
    <row r="226" customFormat="false" ht="15.75" hidden="false" customHeight="false" outlineLevel="0" collapsed="false">
      <c r="Z226" s="15"/>
      <c r="AA226" s="15"/>
      <c r="AB226" s="15"/>
      <c r="AC226" s="15"/>
    </row>
    <row r="227" customFormat="false" ht="15.75" hidden="false" customHeight="false" outlineLevel="0" collapsed="false">
      <c r="Z227" s="15"/>
      <c r="AA227" s="15"/>
      <c r="AB227" s="15"/>
      <c r="AC227" s="15"/>
    </row>
    <row r="228" customFormat="false" ht="15.75" hidden="false" customHeight="false" outlineLevel="0" collapsed="false">
      <c r="Z228" s="15"/>
      <c r="AA228" s="15"/>
      <c r="AB228" s="15"/>
      <c r="AC228" s="15"/>
    </row>
    <row r="229" customFormat="false" ht="15.75" hidden="false" customHeight="false" outlineLevel="0" collapsed="false">
      <c r="Z229" s="15"/>
      <c r="AA229" s="15"/>
      <c r="AB229" s="15"/>
      <c r="AC229" s="15"/>
    </row>
    <row r="230" customFormat="false" ht="15.75" hidden="false" customHeight="false" outlineLevel="0" collapsed="false">
      <c r="Z230" s="15"/>
      <c r="AA230" s="15"/>
      <c r="AB230" s="15"/>
      <c r="AC230" s="15"/>
    </row>
    <row r="231" customFormat="false" ht="15.75" hidden="false" customHeight="false" outlineLevel="0" collapsed="false">
      <c r="Z231" s="15"/>
      <c r="AA231" s="15"/>
      <c r="AB231" s="15"/>
      <c r="AC231" s="15"/>
    </row>
    <row r="232" customFormat="false" ht="15.75" hidden="false" customHeight="false" outlineLevel="0" collapsed="false">
      <c r="Z232" s="15"/>
      <c r="AA232" s="15"/>
      <c r="AB232" s="15"/>
      <c r="AC232" s="15"/>
    </row>
    <row r="233" customFormat="false" ht="15.75" hidden="false" customHeight="false" outlineLevel="0" collapsed="false">
      <c r="Z233" s="15"/>
      <c r="AA233" s="15"/>
      <c r="AB233" s="15"/>
      <c r="AC233" s="15"/>
    </row>
    <row r="234" customFormat="false" ht="15.75" hidden="false" customHeight="false" outlineLevel="0" collapsed="false">
      <c r="Z234" s="15"/>
      <c r="AA234" s="15"/>
      <c r="AB234" s="15"/>
      <c r="AC234" s="15"/>
    </row>
    <row r="235" customFormat="false" ht="15.75" hidden="false" customHeight="false" outlineLevel="0" collapsed="false">
      <c r="Z235" s="15"/>
      <c r="AA235" s="15"/>
      <c r="AB235" s="15"/>
      <c r="AC235" s="15"/>
    </row>
    <row r="236" customFormat="false" ht="15.75" hidden="false" customHeight="false" outlineLevel="0" collapsed="false">
      <c r="Z236" s="15"/>
      <c r="AA236" s="15"/>
      <c r="AB236" s="15"/>
      <c r="AC236" s="15"/>
    </row>
    <row r="237" customFormat="false" ht="15.75" hidden="false" customHeight="false" outlineLevel="0" collapsed="false">
      <c r="Z237" s="15"/>
      <c r="AA237" s="15"/>
      <c r="AB237" s="15"/>
      <c r="AC237" s="15"/>
    </row>
    <row r="238" customFormat="false" ht="15.75" hidden="false" customHeight="false" outlineLevel="0" collapsed="false">
      <c r="Z238" s="15"/>
      <c r="AA238" s="15"/>
      <c r="AB238" s="15"/>
      <c r="AC238" s="15"/>
    </row>
    <row r="239" customFormat="false" ht="15.75" hidden="false" customHeight="false" outlineLevel="0" collapsed="false">
      <c r="Z239" s="15"/>
      <c r="AA239" s="15"/>
      <c r="AB239" s="15"/>
      <c r="AC239" s="15"/>
    </row>
    <row r="240" customFormat="false" ht="15.75" hidden="false" customHeight="false" outlineLevel="0" collapsed="false">
      <c r="Z240" s="15"/>
      <c r="AA240" s="15"/>
      <c r="AB240" s="15"/>
      <c r="AC240" s="15"/>
    </row>
    <row r="241" customFormat="false" ht="15.75" hidden="false" customHeight="false" outlineLevel="0" collapsed="false">
      <c r="Z241" s="15"/>
      <c r="AA241" s="15"/>
      <c r="AB241" s="15"/>
      <c r="AC241" s="15"/>
    </row>
    <row r="242" customFormat="false" ht="15.75" hidden="false" customHeight="false" outlineLevel="0" collapsed="false">
      <c r="Z242" s="15"/>
      <c r="AA242" s="15"/>
      <c r="AB242" s="15"/>
      <c r="AC242" s="15"/>
    </row>
    <row r="243" customFormat="false" ht="15.75" hidden="false" customHeight="false" outlineLevel="0" collapsed="false">
      <c r="Z243" s="15"/>
      <c r="AA243" s="15"/>
      <c r="AB243" s="15"/>
      <c r="AC243" s="15"/>
    </row>
    <row r="244" customFormat="false" ht="15.75" hidden="false" customHeight="false" outlineLevel="0" collapsed="false">
      <c r="Z244" s="15"/>
      <c r="AA244" s="15"/>
      <c r="AB244" s="15"/>
      <c r="AC244" s="15"/>
    </row>
    <row r="245" customFormat="false" ht="15.75" hidden="false" customHeight="false" outlineLevel="0" collapsed="false">
      <c r="Z245" s="15"/>
      <c r="AA245" s="15"/>
      <c r="AB245" s="15"/>
      <c r="AC245" s="15"/>
    </row>
    <row r="246" customFormat="false" ht="15.75" hidden="false" customHeight="false" outlineLevel="0" collapsed="false">
      <c r="Z246" s="15"/>
      <c r="AA246" s="15"/>
      <c r="AB246" s="15"/>
      <c r="AC246" s="15"/>
    </row>
    <row r="247" customFormat="false" ht="15.75" hidden="false" customHeight="false" outlineLevel="0" collapsed="false">
      <c r="Z247" s="15"/>
      <c r="AA247" s="15"/>
      <c r="AB247" s="15"/>
      <c r="AC247" s="15"/>
    </row>
    <row r="248" customFormat="false" ht="15.75" hidden="false" customHeight="false" outlineLevel="0" collapsed="false">
      <c r="Z248" s="15"/>
      <c r="AA248" s="15"/>
      <c r="AB248" s="15"/>
      <c r="AC248" s="15"/>
    </row>
    <row r="249" customFormat="false" ht="15.75" hidden="false" customHeight="false" outlineLevel="0" collapsed="false">
      <c r="Z249" s="15"/>
      <c r="AA249" s="15"/>
      <c r="AB249" s="15"/>
      <c r="AC249" s="15"/>
    </row>
    <row r="250" customFormat="false" ht="15.75" hidden="false" customHeight="false" outlineLevel="0" collapsed="false">
      <c r="Z250" s="15"/>
      <c r="AA250" s="15"/>
      <c r="AB250" s="15"/>
      <c r="AC250" s="15"/>
    </row>
    <row r="251" customFormat="false" ht="15.75" hidden="false" customHeight="false" outlineLevel="0" collapsed="false">
      <c r="Z251" s="15"/>
      <c r="AA251" s="15"/>
      <c r="AB251" s="15"/>
      <c r="AC251" s="15"/>
    </row>
    <row r="252" customFormat="false" ht="15.75" hidden="false" customHeight="false" outlineLevel="0" collapsed="false">
      <c r="Z252" s="15"/>
      <c r="AA252" s="15"/>
      <c r="AB252" s="15"/>
      <c r="AC252" s="15"/>
    </row>
    <row r="253" customFormat="false" ht="15.75" hidden="false" customHeight="false" outlineLevel="0" collapsed="false">
      <c r="Z253" s="15"/>
      <c r="AA253" s="15"/>
      <c r="AB253" s="15"/>
      <c r="AC253" s="15"/>
    </row>
    <row r="254" customFormat="false" ht="15.75" hidden="false" customHeight="false" outlineLevel="0" collapsed="false">
      <c r="Z254" s="15"/>
      <c r="AA254" s="15"/>
      <c r="AB254" s="15"/>
      <c r="AC254" s="15"/>
    </row>
    <row r="255" customFormat="false" ht="15.75" hidden="false" customHeight="false" outlineLevel="0" collapsed="false">
      <c r="Z255" s="15"/>
      <c r="AA255" s="15"/>
      <c r="AB255" s="15"/>
      <c r="AC255" s="15"/>
    </row>
    <row r="256" customFormat="false" ht="15.75" hidden="false" customHeight="false" outlineLevel="0" collapsed="false">
      <c r="Z256" s="15"/>
      <c r="AA256" s="15"/>
      <c r="AB256" s="15"/>
      <c r="AC256" s="15"/>
    </row>
    <row r="257" customFormat="false" ht="15.75" hidden="false" customHeight="false" outlineLevel="0" collapsed="false">
      <c r="Z257" s="15"/>
      <c r="AA257" s="15"/>
      <c r="AB257" s="15"/>
      <c r="AC257" s="15"/>
    </row>
    <row r="258" customFormat="false" ht="15.75" hidden="false" customHeight="false" outlineLevel="0" collapsed="false">
      <c r="Z258" s="15"/>
      <c r="AA258" s="15"/>
      <c r="AB258" s="15"/>
      <c r="AC258" s="15"/>
    </row>
    <row r="259" customFormat="false" ht="15.75" hidden="false" customHeight="false" outlineLevel="0" collapsed="false">
      <c r="Z259" s="15"/>
      <c r="AA259" s="15"/>
      <c r="AB259" s="15"/>
      <c r="AC259" s="15"/>
    </row>
    <row r="260" customFormat="false" ht="15.75" hidden="false" customHeight="false" outlineLevel="0" collapsed="false">
      <c r="Z260" s="15"/>
      <c r="AA260" s="15"/>
      <c r="AB260" s="15"/>
      <c r="AC260" s="15"/>
    </row>
    <row r="261" customFormat="false" ht="15.75" hidden="false" customHeight="false" outlineLevel="0" collapsed="false">
      <c r="Z261" s="15"/>
      <c r="AA261" s="15"/>
      <c r="AB261" s="15"/>
      <c r="AC261" s="15"/>
    </row>
    <row r="262" customFormat="false" ht="15.75" hidden="false" customHeight="false" outlineLevel="0" collapsed="false">
      <c r="Z262" s="15"/>
      <c r="AA262" s="15"/>
      <c r="AB262" s="15"/>
      <c r="AC262" s="15"/>
    </row>
    <row r="263" customFormat="false" ht="15.75" hidden="false" customHeight="false" outlineLevel="0" collapsed="false">
      <c r="Z263" s="15"/>
      <c r="AA263" s="15"/>
      <c r="AB263" s="15"/>
      <c r="AC263" s="15"/>
    </row>
    <row r="264" customFormat="false" ht="15.75" hidden="false" customHeight="false" outlineLevel="0" collapsed="false">
      <c r="Z264" s="15"/>
      <c r="AA264" s="15"/>
      <c r="AB264" s="15"/>
      <c r="AC264" s="15"/>
    </row>
    <row r="265" customFormat="false" ht="15.75" hidden="false" customHeight="false" outlineLevel="0" collapsed="false">
      <c r="Z265" s="15"/>
      <c r="AA265" s="15"/>
      <c r="AB265" s="15"/>
      <c r="AC265" s="15"/>
    </row>
    <row r="266" customFormat="false" ht="15.75" hidden="false" customHeight="false" outlineLevel="0" collapsed="false">
      <c r="Z266" s="15"/>
      <c r="AA266" s="15"/>
      <c r="AB266" s="15"/>
      <c r="AC266" s="15"/>
    </row>
    <row r="267" customFormat="false" ht="15.75" hidden="false" customHeight="false" outlineLevel="0" collapsed="false">
      <c r="Z267" s="15"/>
      <c r="AA267" s="15"/>
      <c r="AB267" s="15"/>
      <c r="AC267" s="15"/>
    </row>
    <row r="268" customFormat="false" ht="15.75" hidden="false" customHeight="false" outlineLevel="0" collapsed="false">
      <c r="Z268" s="15"/>
      <c r="AA268" s="15"/>
      <c r="AB268" s="15"/>
      <c r="AC268" s="15"/>
    </row>
    <row r="269" customFormat="false" ht="15.75" hidden="false" customHeight="false" outlineLevel="0" collapsed="false">
      <c r="Z269" s="15"/>
      <c r="AA269" s="15"/>
      <c r="AB269" s="15"/>
      <c r="AC269" s="15"/>
    </row>
    <row r="270" customFormat="false" ht="15.75" hidden="false" customHeight="false" outlineLevel="0" collapsed="false">
      <c r="Z270" s="15"/>
      <c r="AA270" s="15"/>
      <c r="AB270" s="15"/>
      <c r="AC270" s="15"/>
    </row>
    <row r="271" customFormat="false" ht="15.75" hidden="false" customHeight="false" outlineLevel="0" collapsed="false">
      <c r="Z271" s="15"/>
      <c r="AA271" s="15"/>
      <c r="AB271" s="15"/>
      <c r="AC271" s="15"/>
    </row>
    <row r="272" customFormat="false" ht="15.75" hidden="false" customHeight="false" outlineLevel="0" collapsed="false">
      <c r="Z272" s="15"/>
      <c r="AA272" s="15"/>
      <c r="AB272" s="15"/>
      <c r="AC272" s="15"/>
    </row>
    <row r="273" customFormat="false" ht="15.75" hidden="false" customHeight="false" outlineLevel="0" collapsed="false">
      <c r="Z273" s="15"/>
      <c r="AA273" s="15"/>
      <c r="AB273" s="15"/>
      <c r="AC273" s="15"/>
    </row>
    <row r="274" customFormat="false" ht="15.75" hidden="false" customHeight="false" outlineLevel="0" collapsed="false">
      <c r="Z274" s="15"/>
      <c r="AA274" s="15"/>
      <c r="AB274" s="15"/>
      <c r="AC274" s="15"/>
    </row>
    <row r="275" customFormat="false" ht="15.75" hidden="false" customHeight="false" outlineLevel="0" collapsed="false">
      <c r="Z275" s="15"/>
      <c r="AA275" s="15"/>
      <c r="AB275" s="15"/>
      <c r="AC275" s="15"/>
    </row>
    <row r="276" customFormat="false" ht="15.75" hidden="false" customHeight="false" outlineLevel="0" collapsed="false">
      <c r="Z276" s="15"/>
      <c r="AA276" s="15"/>
      <c r="AB276" s="15"/>
      <c r="AC276" s="15"/>
    </row>
    <row r="277" customFormat="false" ht="15.75" hidden="false" customHeight="false" outlineLevel="0" collapsed="false">
      <c r="Z277" s="15"/>
      <c r="AA277" s="15"/>
      <c r="AB277" s="15"/>
      <c r="AC277" s="15"/>
    </row>
    <row r="278" customFormat="false" ht="15.75" hidden="false" customHeight="false" outlineLevel="0" collapsed="false">
      <c r="Z278" s="15"/>
      <c r="AA278" s="15"/>
      <c r="AB278" s="15"/>
      <c r="AC278" s="15"/>
    </row>
    <row r="279" customFormat="false" ht="15.75" hidden="false" customHeight="false" outlineLevel="0" collapsed="false">
      <c r="Z279" s="15"/>
      <c r="AA279" s="15"/>
      <c r="AB279" s="15"/>
      <c r="AC279" s="15"/>
    </row>
    <row r="280" customFormat="false" ht="15.75" hidden="false" customHeight="false" outlineLevel="0" collapsed="false">
      <c r="Z280" s="15"/>
      <c r="AA280" s="15"/>
      <c r="AB280" s="15"/>
      <c r="AC280" s="15"/>
    </row>
    <row r="281" customFormat="false" ht="15.75" hidden="false" customHeight="false" outlineLevel="0" collapsed="false">
      <c r="Z281" s="15"/>
      <c r="AA281" s="15"/>
      <c r="AB281" s="15"/>
      <c r="AC281" s="15"/>
    </row>
    <row r="282" customFormat="false" ht="15.75" hidden="false" customHeight="false" outlineLevel="0" collapsed="false">
      <c r="Z282" s="15"/>
      <c r="AA282" s="15"/>
      <c r="AB282" s="15"/>
      <c r="AC282" s="15"/>
    </row>
    <row r="283" customFormat="false" ht="15.75" hidden="false" customHeight="false" outlineLevel="0" collapsed="false">
      <c r="Z283" s="15"/>
      <c r="AA283" s="15"/>
      <c r="AB283" s="15"/>
      <c r="AC283" s="15"/>
    </row>
    <row r="284" customFormat="false" ht="15.75" hidden="false" customHeight="false" outlineLevel="0" collapsed="false">
      <c r="Z284" s="15"/>
      <c r="AA284" s="15"/>
      <c r="AB284" s="15"/>
      <c r="AC284" s="15"/>
    </row>
    <row r="285" customFormat="false" ht="15.75" hidden="false" customHeight="false" outlineLevel="0" collapsed="false">
      <c r="Z285" s="15"/>
      <c r="AA285" s="15"/>
      <c r="AB285" s="15"/>
      <c r="AC285" s="15"/>
    </row>
    <row r="286" customFormat="false" ht="15.75" hidden="false" customHeight="false" outlineLevel="0" collapsed="false">
      <c r="Z286" s="15"/>
      <c r="AA286" s="15"/>
      <c r="AB286" s="15"/>
      <c r="AC286" s="15"/>
    </row>
    <row r="287" customFormat="false" ht="15.75" hidden="false" customHeight="false" outlineLevel="0" collapsed="false">
      <c r="Z287" s="15"/>
      <c r="AA287" s="15"/>
      <c r="AB287" s="15"/>
      <c r="AC287" s="15"/>
    </row>
    <row r="288" customFormat="false" ht="15.75" hidden="false" customHeight="false" outlineLevel="0" collapsed="false">
      <c r="Z288" s="15"/>
      <c r="AA288" s="15"/>
      <c r="AB288" s="15"/>
      <c r="AC288" s="15"/>
    </row>
    <row r="289" customFormat="false" ht="15.75" hidden="false" customHeight="false" outlineLevel="0" collapsed="false">
      <c r="Z289" s="15"/>
      <c r="AA289" s="15"/>
      <c r="AB289" s="15"/>
      <c r="AC289" s="15"/>
    </row>
    <row r="290" customFormat="false" ht="15.75" hidden="false" customHeight="false" outlineLevel="0" collapsed="false">
      <c r="Z290" s="15"/>
      <c r="AA290" s="15"/>
      <c r="AB290" s="15"/>
      <c r="AC290" s="15"/>
    </row>
    <row r="291" customFormat="false" ht="15.75" hidden="false" customHeight="false" outlineLevel="0" collapsed="false">
      <c r="Z291" s="15"/>
      <c r="AA291" s="15"/>
      <c r="AB291" s="15"/>
      <c r="AC291" s="15"/>
    </row>
    <row r="292" customFormat="false" ht="15.75" hidden="false" customHeight="false" outlineLevel="0" collapsed="false">
      <c r="Z292" s="15"/>
      <c r="AA292" s="15"/>
      <c r="AB292" s="15"/>
      <c r="AC292" s="15"/>
    </row>
    <row r="293" customFormat="false" ht="15.75" hidden="false" customHeight="false" outlineLevel="0" collapsed="false">
      <c r="Z293" s="15"/>
      <c r="AA293" s="15"/>
      <c r="AB293" s="15"/>
      <c r="AC293" s="15"/>
    </row>
    <row r="294" customFormat="false" ht="15.75" hidden="false" customHeight="false" outlineLevel="0" collapsed="false">
      <c r="Z294" s="15"/>
      <c r="AA294" s="15"/>
      <c r="AB294" s="15"/>
      <c r="AC294" s="15"/>
    </row>
    <row r="295" customFormat="false" ht="15.75" hidden="false" customHeight="false" outlineLevel="0" collapsed="false">
      <c r="Z295" s="15"/>
      <c r="AA295" s="15"/>
      <c r="AB295" s="15"/>
      <c r="AC295" s="15"/>
    </row>
    <row r="296" customFormat="false" ht="15.75" hidden="false" customHeight="false" outlineLevel="0" collapsed="false">
      <c r="Z296" s="15"/>
      <c r="AA296" s="15"/>
      <c r="AB296" s="15"/>
      <c r="AC296" s="15"/>
    </row>
    <row r="297" customFormat="false" ht="15.75" hidden="false" customHeight="false" outlineLevel="0" collapsed="false">
      <c r="Z297" s="15"/>
      <c r="AA297" s="15"/>
      <c r="AB297" s="15"/>
      <c r="AC297" s="15"/>
    </row>
    <row r="298" customFormat="false" ht="15.75" hidden="false" customHeight="false" outlineLevel="0" collapsed="false">
      <c r="Z298" s="15"/>
      <c r="AA298" s="15"/>
      <c r="AB298" s="15"/>
      <c r="AC298" s="15"/>
    </row>
    <row r="299" customFormat="false" ht="15.75" hidden="false" customHeight="false" outlineLevel="0" collapsed="false">
      <c r="Z299" s="15"/>
      <c r="AA299" s="15"/>
      <c r="AB299" s="15"/>
      <c r="AC299" s="15"/>
    </row>
    <row r="300" customFormat="false" ht="15.75" hidden="false" customHeight="false" outlineLevel="0" collapsed="false">
      <c r="Z300" s="15"/>
      <c r="AA300" s="15"/>
      <c r="AB300" s="15"/>
      <c r="AC300" s="15"/>
    </row>
    <row r="301" customFormat="false" ht="15.75" hidden="false" customHeight="false" outlineLevel="0" collapsed="false">
      <c r="Z301" s="15"/>
      <c r="AA301" s="15"/>
      <c r="AB301" s="15"/>
      <c r="AC301" s="15"/>
    </row>
    <row r="302" customFormat="false" ht="15.75" hidden="false" customHeight="false" outlineLevel="0" collapsed="false">
      <c r="Z302" s="15"/>
      <c r="AA302" s="15"/>
      <c r="AB302" s="15"/>
      <c r="AC302" s="15"/>
    </row>
    <row r="303" customFormat="false" ht="15.75" hidden="false" customHeight="false" outlineLevel="0" collapsed="false">
      <c r="Z303" s="15"/>
      <c r="AA303" s="15"/>
      <c r="AB303" s="15"/>
      <c r="AC303" s="15"/>
    </row>
    <row r="304" customFormat="false" ht="15.75" hidden="false" customHeight="false" outlineLevel="0" collapsed="false">
      <c r="Z304" s="15"/>
      <c r="AA304" s="15"/>
      <c r="AB304" s="15"/>
      <c r="AC304" s="15"/>
    </row>
    <row r="305" customFormat="false" ht="15.75" hidden="false" customHeight="false" outlineLevel="0" collapsed="false">
      <c r="Z305" s="15"/>
      <c r="AA305" s="15"/>
      <c r="AB305" s="15"/>
      <c r="AC305" s="15"/>
    </row>
    <row r="306" customFormat="false" ht="15.75" hidden="false" customHeight="false" outlineLevel="0" collapsed="false">
      <c r="Z306" s="15"/>
      <c r="AA306" s="15"/>
      <c r="AB306" s="15"/>
      <c r="AC306" s="15"/>
    </row>
    <row r="307" customFormat="false" ht="15.75" hidden="false" customHeight="false" outlineLevel="0" collapsed="false">
      <c r="Z307" s="15"/>
      <c r="AA307" s="15"/>
      <c r="AB307" s="15"/>
      <c r="AC307" s="15"/>
    </row>
    <row r="308" customFormat="false" ht="15.75" hidden="false" customHeight="false" outlineLevel="0" collapsed="false">
      <c r="Z308" s="15"/>
      <c r="AA308" s="15"/>
      <c r="AB308" s="15"/>
      <c r="AC308" s="15"/>
    </row>
    <row r="309" customFormat="false" ht="15.75" hidden="false" customHeight="false" outlineLevel="0" collapsed="false">
      <c r="Z309" s="15"/>
      <c r="AA309" s="15"/>
      <c r="AB309" s="15"/>
      <c r="AC309" s="15"/>
    </row>
    <row r="310" customFormat="false" ht="15.75" hidden="false" customHeight="false" outlineLevel="0" collapsed="false">
      <c r="Z310" s="15"/>
      <c r="AA310" s="15"/>
      <c r="AB310" s="15"/>
      <c r="AC310" s="15"/>
    </row>
    <row r="311" customFormat="false" ht="15.75" hidden="false" customHeight="false" outlineLevel="0" collapsed="false">
      <c r="Z311" s="15"/>
      <c r="AA311" s="15"/>
      <c r="AB311" s="15"/>
      <c r="AC311" s="15"/>
    </row>
    <row r="312" customFormat="false" ht="15.75" hidden="false" customHeight="false" outlineLevel="0" collapsed="false">
      <c r="Z312" s="15"/>
      <c r="AA312" s="15"/>
      <c r="AB312" s="15"/>
      <c r="AC312" s="15"/>
    </row>
    <row r="313" customFormat="false" ht="15.75" hidden="false" customHeight="false" outlineLevel="0" collapsed="false">
      <c r="Z313" s="15"/>
      <c r="AA313" s="15"/>
      <c r="AB313" s="15"/>
      <c r="AC313" s="15"/>
    </row>
    <row r="314" customFormat="false" ht="15.75" hidden="false" customHeight="false" outlineLevel="0" collapsed="false">
      <c r="Z314" s="15"/>
      <c r="AA314" s="15"/>
      <c r="AB314" s="15"/>
      <c r="AC314" s="15"/>
    </row>
    <row r="315" customFormat="false" ht="15.75" hidden="false" customHeight="false" outlineLevel="0" collapsed="false">
      <c r="Z315" s="15"/>
      <c r="AA315" s="15"/>
      <c r="AB315" s="15"/>
      <c r="AC315" s="15"/>
    </row>
    <row r="316" customFormat="false" ht="15.75" hidden="false" customHeight="false" outlineLevel="0" collapsed="false">
      <c r="Z316" s="15"/>
      <c r="AA316" s="15"/>
      <c r="AB316" s="15"/>
      <c r="AC316" s="15"/>
    </row>
    <row r="317" customFormat="false" ht="15.75" hidden="false" customHeight="false" outlineLevel="0" collapsed="false">
      <c r="Z317" s="15"/>
      <c r="AA317" s="15"/>
      <c r="AB317" s="15"/>
      <c r="AC317" s="15"/>
    </row>
    <row r="318" customFormat="false" ht="15.75" hidden="false" customHeight="false" outlineLevel="0" collapsed="false">
      <c r="Z318" s="15"/>
      <c r="AA318" s="15"/>
      <c r="AB318" s="15"/>
      <c r="AC318" s="15"/>
    </row>
    <row r="319" customFormat="false" ht="15.75" hidden="false" customHeight="false" outlineLevel="0" collapsed="false">
      <c r="Z319" s="15"/>
      <c r="AA319" s="15"/>
      <c r="AB319" s="15"/>
      <c r="AC319" s="15"/>
    </row>
    <row r="320" customFormat="false" ht="15.75" hidden="false" customHeight="false" outlineLevel="0" collapsed="false">
      <c r="Z320" s="15"/>
      <c r="AA320" s="15"/>
      <c r="AB320" s="15"/>
      <c r="AC320" s="15"/>
    </row>
    <row r="321" customFormat="false" ht="15.75" hidden="false" customHeight="false" outlineLevel="0" collapsed="false">
      <c r="Z321" s="15"/>
      <c r="AA321" s="15"/>
      <c r="AB321" s="15"/>
      <c r="AC321" s="15"/>
    </row>
    <row r="322" customFormat="false" ht="15.75" hidden="false" customHeight="false" outlineLevel="0" collapsed="false">
      <c r="Z322" s="15"/>
      <c r="AA322" s="15"/>
      <c r="AB322" s="15"/>
      <c r="AC322" s="15"/>
    </row>
    <row r="323" customFormat="false" ht="15.75" hidden="false" customHeight="false" outlineLevel="0" collapsed="false">
      <c r="Z323" s="15"/>
      <c r="AA323" s="15"/>
      <c r="AB323" s="15"/>
      <c r="AC323" s="15"/>
    </row>
    <row r="324" customFormat="false" ht="15.75" hidden="false" customHeight="false" outlineLevel="0" collapsed="false">
      <c r="Z324" s="15"/>
      <c r="AA324" s="15"/>
      <c r="AB324" s="15"/>
      <c r="AC324" s="15"/>
    </row>
    <row r="325" customFormat="false" ht="15.75" hidden="false" customHeight="false" outlineLevel="0" collapsed="false">
      <c r="Z325" s="15"/>
      <c r="AA325" s="15"/>
      <c r="AB325" s="15"/>
      <c r="AC325" s="15"/>
    </row>
    <row r="326" customFormat="false" ht="15.75" hidden="false" customHeight="false" outlineLevel="0" collapsed="false">
      <c r="Z326" s="15"/>
      <c r="AA326" s="15"/>
      <c r="AB326" s="15"/>
      <c r="AC326" s="15"/>
    </row>
    <row r="327" customFormat="false" ht="15.75" hidden="false" customHeight="false" outlineLevel="0" collapsed="false">
      <c r="Z327" s="15"/>
      <c r="AA327" s="15"/>
      <c r="AB327" s="15"/>
      <c r="AC327" s="15"/>
    </row>
    <row r="328" customFormat="false" ht="15.75" hidden="false" customHeight="false" outlineLevel="0" collapsed="false">
      <c r="Z328" s="15"/>
      <c r="AA328" s="15"/>
      <c r="AB328" s="15"/>
      <c r="AC328" s="15"/>
    </row>
    <row r="329" customFormat="false" ht="15.75" hidden="false" customHeight="false" outlineLevel="0" collapsed="false">
      <c r="Z329" s="15"/>
      <c r="AA329" s="15"/>
      <c r="AB329" s="15"/>
      <c r="AC329" s="15"/>
    </row>
    <row r="330" customFormat="false" ht="15.75" hidden="false" customHeight="false" outlineLevel="0" collapsed="false">
      <c r="Z330" s="15"/>
      <c r="AA330" s="15"/>
      <c r="AB330" s="15"/>
      <c r="AC330" s="15"/>
    </row>
    <row r="331" customFormat="false" ht="15.75" hidden="false" customHeight="false" outlineLevel="0" collapsed="false">
      <c r="Z331" s="15"/>
      <c r="AA331" s="15"/>
      <c r="AB331" s="15"/>
      <c r="AC331" s="15"/>
    </row>
    <row r="332" customFormat="false" ht="15.75" hidden="false" customHeight="false" outlineLevel="0" collapsed="false">
      <c r="Z332" s="15"/>
      <c r="AA332" s="15"/>
      <c r="AB332" s="15"/>
      <c r="AC332" s="15"/>
    </row>
    <row r="333" customFormat="false" ht="15.75" hidden="false" customHeight="false" outlineLevel="0" collapsed="false">
      <c r="Z333" s="15"/>
      <c r="AA333" s="15"/>
      <c r="AB333" s="15"/>
      <c r="AC333" s="15"/>
    </row>
    <row r="334" customFormat="false" ht="15.75" hidden="false" customHeight="false" outlineLevel="0" collapsed="false">
      <c r="Z334" s="15"/>
      <c r="AA334" s="15"/>
      <c r="AB334" s="15"/>
      <c r="AC334" s="15"/>
    </row>
    <row r="335" customFormat="false" ht="15.75" hidden="false" customHeight="false" outlineLevel="0" collapsed="false">
      <c r="Z335" s="15"/>
      <c r="AA335" s="15"/>
      <c r="AB335" s="15"/>
      <c r="AC335" s="15"/>
    </row>
    <row r="336" customFormat="false" ht="15.75" hidden="false" customHeight="false" outlineLevel="0" collapsed="false">
      <c r="Z336" s="15"/>
      <c r="AA336" s="15"/>
      <c r="AB336" s="15"/>
      <c r="AC336" s="15"/>
    </row>
    <row r="337" customFormat="false" ht="15.75" hidden="false" customHeight="false" outlineLevel="0" collapsed="false">
      <c r="Z337" s="15"/>
      <c r="AA337" s="15"/>
      <c r="AB337" s="15"/>
      <c r="AC337" s="15"/>
    </row>
    <row r="338" customFormat="false" ht="15.75" hidden="false" customHeight="false" outlineLevel="0" collapsed="false">
      <c r="Z338" s="15"/>
      <c r="AA338" s="15"/>
      <c r="AB338" s="15"/>
      <c r="AC338" s="15"/>
    </row>
    <row r="339" customFormat="false" ht="15.75" hidden="false" customHeight="false" outlineLevel="0" collapsed="false">
      <c r="Z339" s="15"/>
      <c r="AA339" s="15"/>
      <c r="AB339" s="15"/>
      <c r="AC339" s="15"/>
    </row>
    <row r="340" customFormat="false" ht="15.75" hidden="false" customHeight="false" outlineLevel="0" collapsed="false">
      <c r="Z340" s="15"/>
      <c r="AA340" s="15"/>
      <c r="AB340" s="15"/>
      <c r="AC340" s="15"/>
    </row>
    <row r="341" customFormat="false" ht="15.75" hidden="false" customHeight="false" outlineLevel="0" collapsed="false">
      <c r="Z341" s="15"/>
      <c r="AA341" s="15"/>
      <c r="AB341" s="15"/>
      <c r="AC341" s="15"/>
    </row>
    <row r="342" customFormat="false" ht="15.75" hidden="false" customHeight="false" outlineLevel="0" collapsed="false">
      <c r="Z342" s="15"/>
      <c r="AA342" s="15"/>
      <c r="AB342" s="15"/>
      <c r="AC342" s="15"/>
    </row>
    <row r="343" customFormat="false" ht="15.75" hidden="false" customHeight="false" outlineLevel="0" collapsed="false">
      <c r="Z343" s="15"/>
      <c r="AA343" s="15"/>
      <c r="AB343" s="15"/>
      <c r="AC343" s="15"/>
    </row>
    <row r="344" customFormat="false" ht="15.75" hidden="false" customHeight="false" outlineLevel="0" collapsed="false">
      <c r="Z344" s="15"/>
      <c r="AA344" s="15"/>
      <c r="AB344" s="15"/>
      <c r="AC344" s="15"/>
    </row>
    <row r="345" customFormat="false" ht="15.75" hidden="false" customHeight="false" outlineLevel="0" collapsed="false">
      <c r="Z345" s="15"/>
      <c r="AA345" s="15"/>
      <c r="AB345" s="15"/>
      <c r="AC345" s="15"/>
    </row>
    <row r="346" customFormat="false" ht="15.75" hidden="false" customHeight="false" outlineLevel="0" collapsed="false">
      <c r="Z346" s="15"/>
      <c r="AA346" s="15"/>
      <c r="AB346" s="15"/>
      <c r="AC346" s="15"/>
    </row>
    <row r="347" customFormat="false" ht="15.75" hidden="false" customHeight="false" outlineLevel="0" collapsed="false">
      <c r="Z347" s="15"/>
      <c r="AA347" s="15"/>
      <c r="AB347" s="15"/>
      <c r="AC347" s="15"/>
    </row>
    <row r="348" customFormat="false" ht="15.75" hidden="false" customHeight="false" outlineLevel="0" collapsed="false">
      <c r="Z348" s="15"/>
      <c r="AA348" s="15"/>
      <c r="AB348" s="15"/>
      <c r="AC348" s="15"/>
    </row>
    <row r="349" customFormat="false" ht="15.75" hidden="false" customHeight="false" outlineLevel="0" collapsed="false">
      <c r="Z349" s="15"/>
      <c r="AA349" s="15"/>
      <c r="AB349" s="15"/>
      <c r="AC349" s="15"/>
    </row>
    <row r="350" customFormat="false" ht="15.75" hidden="false" customHeight="false" outlineLevel="0" collapsed="false">
      <c r="Z350" s="15"/>
      <c r="AA350" s="15"/>
      <c r="AB350" s="15"/>
      <c r="AC350" s="15"/>
    </row>
    <row r="351" customFormat="false" ht="15.75" hidden="false" customHeight="false" outlineLevel="0" collapsed="false">
      <c r="Z351" s="15"/>
      <c r="AA351" s="15"/>
      <c r="AB351" s="15"/>
      <c r="AC351" s="15"/>
    </row>
    <row r="352" customFormat="false" ht="15.75" hidden="false" customHeight="false" outlineLevel="0" collapsed="false">
      <c r="Z352" s="15"/>
      <c r="AA352" s="15"/>
      <c r="AB352" s="15"/>
      <c r="AC352" s="15"/>
    </row>
    <row r="353" customFormat="false" ht="15.75" hidden="false" customHeight="false" outlineLevel="0" collapsed="false">
      <c r="Z353" s="15"/>
      <c r="AA353" s="15"/>
      <c r="AB353" s="15"/>
      <c r="AC353" s="15"/>
    </row>
    <row r="354" customFormat="false" ht="15.75" hidden="false" customHeight="false" outlineLevel="0" collapsed="false">
      <c r="Z354" s="15"/>
      <c r="AA354" s="15"/>
      <c r="AB354" s="15"/>
      <c r="AC354" s="15"/>
    </row>
    <row r="355" customFormat="false" ht="15.75" hidden="false" customHeight="false" outlineLevel="0" collapsed="false">
      <c r="Z355" s="15"/>
      <c r="AA355" s="15"/>
      <c r="AB355" s="15"/>
      <c r="AC355" s="15"/>
    </row>
    <row r="356" customFormat="false" ht="15.75" hidden="false" customHeight="false" outlineLevel="0" collapsed="false">
      <c r="Z356" s="15"/>
      <c r="AA356" s="15"/>
      <c r="AB356" s="15"/>
      <c r="AC356" s="15"/>
    </row>
    <row r="357" customFormat="false" ht="15.75" hidden="false" customHeight="false" outlineLevel="0" collapsed="false">
      <c r="Z357" s="15"/>
      <c r="AA357" s="15"/>
      <c r="AB357" s="15"/>
      <c r="AC357" s="15"/>
    </row>
    <row r="358" customFormat="false" ht="15.75" hidden="false" customHeight="false" outlineLevel="0" collapsed="false">
      <c r="Z358" s="15"/>
      <c r="AA358" s="15"/>
      <c r="AB358" s="15"/>
      <c r="AC358" s="15"/>
    </row>
    <row r="359" customFormat="false" ht="15.75" hidden="false" customHeight="false" outlineLevel="0" collapsed="false">
      <c r="Z359" s="15"/>
      <c r="AA359" s="15"/>
      <c r="AB359" s="15"/>
      <c r="AC359" s="15"/>
    </row>
    <row r="360" customFormat="false" ht="15.75" hidden="false" customHeight="false" outlineLevel="0" collapsed="false">
      <c r="Z360" s="15"/>
      <c r="AA360" s="15"/>
      <c r="AB360" s="15"/>
      <c r="AC360" s="15"/>
    </row>
    <row r="361" customFormat="false" ht="15.75" hidden="false" customHeight="false" outlineLevel="0" collapsed="false">
      <c r="Z361" s="15"/>
      <c r="AA361" s="15"/>
      <c r="AB361" s="15"/>
      <c r="AC361" s="15"/>
    </row>
    <row r="362" customFormat="false" ht="15.75" hidden="false" customHeight="false" outlineLevel="0" collapsed="false">
      <c r="Z362" s="15"/>
      <c r="AA362" s="15"/>
      <c r="AB362" s="15"/>
      <c r="AC362" s="15"/>
    </row>
    <row r="363" customFormat="false" ht="15.75" hidden="false" customHeight="false" outlineLevel="0" collapsed="false">
      <c r="Z363" s="15"/>
      <c r="AA363" s="15"/>
      <c r="AB363" s="15"/>
      <c r="AC363" s="15"/>
    </row>
    <row r="364" customFormat="false" ht="15.75" hidden="false" customHeight="false" outlineLevel="0" collapsed="false">
      <c r="Z364" s="15"/>
      <c r="AA364" s="15"/>
      <c r="AB364" s="15"/>
      <c r="AC364" s="15"/>
    </row>
    <row r="365" customFormat="false" ht="15.75" hidden="false" customHeight="false" outlineLevel="0" collapsed="false">
      <c r="Z365" s="15"/>
      <c r="AA365" s="15"/>
      <c r="AB365" s="15"/>
      <c r="AC365" s="15"/>
    </row>
    <row r="366" customFormat="false" ht="15.75" hidden="false" customHeight="false" outlineLevel="0" collapsed="false">
      <c r="Z366" s="15"/>
      <c r="AA366" s="15"/>
      <c r="AB366" s="15"/>
      <c r="AC366" s="15"/>
    </row>
    <row r="367" customFormat="false" ht="15.75" hidden="false" customHeight="false" outlineLevel="0" collapsed="false">
      <c r="Z367" s="15"/>
      <c r="AA367" s="15"/>
      <c r="AB367" s="15"/>
      <c r="AC367" s="15"/>
    </row>
    <row r="368" customFormat="false" ht="15.75" hidden="false" customHeight="false" outlineLevel="0" collapsed="false">
      <c r="Z368" s="15"/>
      <c r="AA368" s="15"/>
      <c r="AB368" s="15"/>
      <c r="AC368" s="15"/>
    </row>
    <row r="369" customFormat="false" ht="15.75" hidden="false" customHeight="false" outlineLevel="0" collapsed="false">
      <c r="Z369" s="15"/>
      <c r="AA369" s="15"/>
      <c r="AB369" s="15"/>
      <c r="AC369" s="15"/>
    </row>
    <row r="370" customFormat="false" ht="15.75" hidden="false" customHeight="false" outlineLevel="0" collapsed="false">
      <c r="Z370" s="15"/>
      <c r="AA370" s="15"/>
      <c r="AB370" s="15"/>
      <c r="AC370" s="15"/>
    </row>
    <row r="371" customFormat="false" ht="15.75" hidden="false" customHeight="false" outlineLevel="0" collapsed="false">
      <c r="Z371" s="15"/>
      <c r="AA371" s="15"/>
      <c r="AB371" s="15"/>
      <c r="AC371" s="15"/>
    </row>
    <row r="372" customFormat="false" ht="15.75" hidden="false" customHeight="false" outlineLevel="0" collapsed="false">
      <c r="Z372" s="15"/>
      <c r="AA372" s="15"/>
      <c r="AB372" s="15"/>
      <c r="AC372" s="15"/>
    </row>
    <row r="373" customFormat="false" ht="15.75" hidden="false" customHeight="false" outlineLevel="0" collapsed="false">
      <c r="Z373" s="15"/>
      <c r="AA373" s="15"/>
      <c r="AB373" s="15"/>
      <c r="AC373" s="15"/>
    </row>
    <row r="374" customFormat="false" ht="15.75" hidden="false" customHeight="false" outlineLevel="0" collapsed="false">
      <c r="Z374" s="15"/>
      <c r="AA374" s="15"/>
      <c r="AB374" s="15"/>
      <c r="AC374" s="15"/>
    </row>
    <row r="375" customFormat="false" ht="15.75" hidden="false" customHeight="false" outlineLevel="0" collapsed="false">
      <c r="Z375" s="15"/>
      <c r="AA375" s="15"/>
      <c r="AB375" s="15"/>
      <c r="AC375" s="15"/>
    </row>
    <row r="376" customFormat="false" ht="15.75" hidden="false" customHeight="false" outlineLevel="0" collapsed="false">
      <c r="Z376" s="15"/>
      <c r="AA376" s="15"/>
      <c r="AB376" s="15"/>
      <c r="AC376" s="15"/>
    </row>
    <row r="377" customFormat="false" ht="15.75" hidden="false" customHeight="false" outlineLevel="0" collapsed="false">
      <c r="Z377" s="15"/>
      <c r="AA377" s="15"/>
      <c r="AB377" s="15"/>
      <c r="AC377" s="15"/>
    </row>
    <row r="378" customFormat="false" ht="15.75" hidden="false" customHeight="false" outlineLevel="0" collapsed="false">
      <c r="Z378" s="15"/>
      <c r="AA378" s="15"/>
      <c r="AB378" s="15"/>
      <c r="AC378" s="15"/>
    </row>
    <row r="379" customFormat="false" ht="15.75" hidden="false" customHeight="false" outlineLevel="0" collapsed="false">
      <c r="Z379" s="15"/>
      <c r="AA379" s="15"/>
      <c r="AB379" s="15"/>
      <c r="AC379" s="15"/>
    </row>
    <row r="380" customFormat="false" ht="15.75" hidden="false" customHeight="false" outlineLevel="0" collapsed="false">
      <c r="Z380" s="15"/>
      <c r="AA380" s="15"/>
      <c r="AB380" s="15"/>
      <c r="AC380" s="15"/>
    </row>
    <row r="381" customFormat="false" ht="15.75" hidden="false" customHeight="false" outlineLevel="0" collapsed="false">
      <c r="Z381" s="15"/>
      <c r="AA381" s="15"/>
      <c r="AB381" s="15"/>
      <c r="AC381" s="15"/>
    </row>
    <row r="382" customFormat="false" ht="15.75" hidden="false" customHeight="false" outlineLevel="0" collapsed="false">
      <c r="Z382" s="15"/>
      <c r="AA382" s="15"/>
      <c r="AB382" s="15"/>
      <c r="AC382" s="15"/>
    </row>
    <row r="383" customFormat="false" ht="15.75" hidden="false" customHeight="false" outlineLevel="0" collapsed="false">
      <c r="Z383" s="15"/>
      <c r="AA383" s="15"/>
      <c r="AB383" s="15"/>
      <c r="AC383" s="15"/>
    </row>
    <row r="384" customFormat="false" ht="15.75" hidden="false" customHeight="false" outlineLevel="0" collapsed="false">
      <c r="Z384" s="15"/>
      <c r="AA384" s="15"/>
      <c r="AB384" s="15"/>
      <c r="AC384" s="15"/>
    </row>
    <row r="385" customFormat="false" ht="15.75" hidden="false" customHeight="false" outlineLevel="0" collapsed="false">
      <c r="Z385" s="15"/>
      <c r="AA385" s="15"/>
      <c r="AB385" s="15"/>
      <c r="AC385" s="15"/>
    </row>
    <row r="386" customFormat="false" ht="15.75" hidden="false" customHeight="false" outlineLevel="0" collapsed="false">
      <c r="Z386" s="15"/>
      <c r="AA386" s="15"/>
      <c r="AB386" s="15"/>
      <c r="AC386" s="15"/>
    </row>
    <row r="387" customFormat="false" ht="15.75" hidden="false" customHeight="false" outlineLevel="0" collapsed="false">
      <c r="Z387" s="15"/>
      <c r="AA387" s="15"/>
      <c r="AB387" s="15"/>
      <c r="AC387" s="15"/>
    </row>
    <row r="388" customFormat="false" ht="15.75" hidden="false" customHeight="false" outlineLevel="0" collapsed="false">
      <c r="Z388" s="15"/>
      <c r="AA388" s="15"/>
      <c r="AB388" s="15"/>
      <c r="AC388" s="15"/>
    </row>
    <row r="389" customFormat="false" ht="15.75" hidden="false" customHeight="false" outlineLevel="0" collapsed="false">
      <c r="Z389" s="15"/>
      <c r="AA389" s="15"/>
      <c r="AB389" s="15"/>
      <c r="AC389" s="15"/>
    </row>
    <row r="390" customFormat="false" ht="15.75" hidden="false" customHeight="false" outlineLevel="0" collapsed="false">
      <c r="Z390" s="15"/>
      <c r="AA390" s="15"/>
      <c r="AB390" s="15"/>
      <c r="AC390" s="15"/>
    </row>
    <row r="391" customFormat="false" ht="15.75" hidden="false" customHeight="false" outlineLevel="0" collapsed="false">
      <c r="Z391" s="15"/>
      <c r="AA391" s="15"/>
      <c r="AB391" s="15"/>
      <c r="AC391" s="15"/>
    </row>
    <row r="392" customFormat="false" ht="15.75" hidden="false" customHeight="false" outlineLevel="0" collapsed="false">
      <c r="Z392" s="15"/>
      <c r="AA392" s="15"/>
      <c r="AB392" s="15"/>
      <c r="AC392" s="15"/>
    </row>
    <row r="393" customFormat="false" ht="15.75" hidden="false" customHeight="false" outlineLevel="0" collapsed="false">
      <c r="Z393" s="15"/>
      <c r="AA393" s="15"/>
      <c r="AB393" s="15"/>
      <c r="AC393" s="15"/>
    </row>
    <row r="394" customFormat="false" ht="15.75" hidden="false" customHeight="false" outlineLevel="0" collapsed="false">
      <c r="Z394" s="15"/>
      <c r="AA394" s="15"/>
      <c r="AB394" s="15"/>
      <c r="AC394" s="15"/>
    </row>
    <row r="395" customFormat="false" ht="15.75" hidden="false" customHeight="false" outlineLevel="0" collapsed="false">
      <c r="Z395" s="15"/>
      <c r="AA395" s="15"/>
      <c r="AB395" s="15"/>
      <c r="AC395" s="15"/>
    </row>
    <row r="396" customFormat="false" ht="15.75" hidden="false" customHeight="false" outlineLevel="0" collapsed="false">
      <c r="Z396" s="15"/>
      <c r="AA396" s="15"/>
      <c r="AB396" s="15"/>
      <c r="AC396" s="15"/>
    </row>
    <row r="397" customFormat="false" ht="15.75" hidden="false" customHeight="false" outlineLevel="0" collapsed="false">
      <c r="Z397" s="15"/>
      <c r="AA397" s="15"/>
      <c r="AB397" s="15"/>
      <c r="AC397" s="15"/>
    </row>
    <row r="398" customFormat="false" ht="15.75" hidden="false" customHeight="false" outlineLevel="0" collapsed="false">
      <c r="Z398" s="15"/>
      <c r="AA398" s="15"/>
      <c r="AB398" s="15"/>
      <c r="AC398" s="15"/>
    </row>
    <row r="399" customFormat="false" ht="15.75" hidden="false" customHeight="false" outlineLevel="0" collapsed="false">
      <c r="Z399" s="15"/>
      <c r="AA399" s="15"/>
      <c r="AB399" s="15"/>
      <c r="AC399" s="15"/>
    </row>
    <row r="400" customFormat="false" ht="15.75" hidden="false" customHeight="false" outlineLevel="0" collapsed="false">
      <c r="Z400" s="15"/>
      <c r="AA400" s="15"/>
      <c r="AB400" s="15"/>
      <c r="AC400" s="15"/>
    </row>
    <row r="401" customFormat="false" ht="15.75" hidden="false" customHeight="false" outlineLevel="0" collapsed="false">
      <c r="Z401" s="15"/>
      <c r="AA401" s="15"/>
      <c r="AB401" s="15"/>
      <c r="AC401" s="15"/>
    </row>
    <row r="402" customFormat="false" ht="15.75" hidden="false" customHeight="false" outlineLevel="0" collapsed="false">
      <c r="Z402" s="15"/>
      <c r="AA402" s="15"/>
      <c r="AB402" s="15"/>
      <c r="AC402" s="15"/>
    </row>
    <row r="403" customFormat="false" ht="15.75" hidden="false" customHeight="false" outlineLevel="0" collapsed="false">
      <c r="Z403" s="15"/>
      <c r="AA403" s="15"/>
      <c r="AB403" s="15"/>
      <c r="AC403" s="15"/>
    </row>
    <row r="404" customFormat="false" ht="15.75" hidden="false" customHeight="false" outlineLevel="0" collapsed="false">
      <c r="Z404" s="15"/>
      <c r="AA404" s="15"/>
      <c r="AB404" s="15"/>
      <c r="AC404" s="15"/>
    </row>
    <row r="405" customFormat="false" ht="15.75" hidden="false" customHeight="false" outlineLevel="0" collapsed="false">
      <c r="Z405" s="15"/>
      <c r="AA405" s="15"/>
      <c r="AB405" s="15"/>
      <c r="AC405" s="15"/>
    </row>
    <row r="406" customFormat="false" ht="15.75" hidden="false" customHeight="false" outlineLevel="0" collapsed="false">
      <c r="Z406" s="15"/>
      <c r="AA406" s="15"/>
      <c r="AB406" s="15"/>
      <c r="AC406" s="15"/>
    </row>
    <row r="407" customFormat="false" ht="15.75" hidden="false" customHeight="false" outlineLevel="0" collapsed="false">
      <c r="Z407" s="15"/>
      <c r="AA407" s="15"/>
      <c r="AB407" s="15"/>
      <c r="AC407" s="15"/>
    </row>
    <row r="408" customFormat="false" ht="15.75" hidden="false" customHeight="false" outlineLevel="0" collapsed="false">
      <c r="Z408" s="15"/>
      <c r="AA408" s="15"/>
      <c r="AB408" s="15"/>
      <c r="AC408" s="15"/>
    </row>
    <row r="409" customFormat="false" ht="15.75" hidden="false" customHeight="false" outlineLevel="0" collapsed="false">
      <c r="Z409" s="15"/>
      <c r="AA409" s="15"/>
      <c r="AB409" s="15"/>
      <c r="AC409" s="15"/>
    </row>
    <row r="410" customFormat="false" ht="15.75" hidden="false" customHeight="false" outlineLevel="0" collapsed="false">
      <c r="Z410" s="15"/>
      <c r="AA410" s="15"/>
      <c r="AB410" s="15"/>
      <c r="AC410" s="15"/>
    </row>
    <row r="411" customFormat="false" ht="15.75" hidden="false" customHeight="false" outlineLevel="0" collapsed="false">
      <c r="Z411" s="15"/>
      <c r="AA411" s="15"/>
      <c r="AB411" s="15"/>
      <c r="AC411" s="15"/>
    </row>
    <row r="412" customFormat="false" ht="15.75" hidden="false" customHeight="false" outlineLevel="0" collapsed="false">
      <c r="Z412" s="15"/>
      <c r="AA412" s="15"/>
      <c r="AB412" s="15"/>
      <c r="AC412" s="15"/>
    </row>
    <row r="413" customFormat="false" ht="15.75" hidden="false" customHeight="false" outlineLevel="0" collapsed="false">
      <c r="Z413" s="15"/>
      <c r="AA413" s="15"/>
      <c r="AB413" s="15"/>
      <c r="AC413" s="15"/>
    </row>
    <row r="414" customFormat="false" ht="15.75" hidden="false" customHeight="false" outlineLevel="0" collapsed="false">
      <c r="Z414" s="15"/>
      <c r="AA414" s="15"/>
      <c r="AB414" s="15"/>
      <c r="AC414" s="15"/>
    </row>
    <row r="415" customFormat="false" ht="15.75" hidden="false" customHeight="false" outlineLevel="0" collapsed="false">
      <c r="Z415" s="15"/>
      <c r="AA415" s="15"/>
      <c r="AB415" s="15"/>
      <c r="AC415" s="15"/>
    </row>
    <row r="416" customFormat="false" ht="15.75" hidden="false" customHeight="false" outlineLevel="0" collapsed="false">
      <c r="Z416" s="15"/>
      <c r="AA416" s="15"/>
      <c r="AB416" s="15"/>
      <c r="AC416" s="15"/>
    </row>
    <row r="417" customFormat="false" ht="15.75" hidden="false" customHeight="false" outlineLevel="0" collapsed="false">
      <c r="Z417" s="15"/>
      <c r="AA417" s="15"/>
      <c r="AB417" s="15"/>
      <c r="AC417" s="15"/>
    </row>
    <row r="418" customFormat="false" ht="15.75" hidden="false" customHeight="false" outlineLevel="0" collapsed="false">
      <c r="Z418" s="15"/>
      <c r="AA418" s="15"/>
      <c r="AB418" s="15"/>
      <c r="AC418" s="15"/>
    </row>
    <row r="419" customFormat="false" ht="15.75" hidden="false" customHeight="false" outlineLevel="0" collapsed="false">
      <c r="Z419" s="15"/>
      <c r="AA419" s="15"/>
      <c r="AB419" s="15"/>
      <c r="AC419" s="15"/>
    </row>
    <row r="420" customFormat="false" ht="15.75" hidden="false" customHeight="false" outlineLevel="0" collapsed="false">
      <c r="Z420" s="15"/>
      <c r="AA420" s="15"/>
      <c r="AB420" s="15"/>
      <c r="AC420" s="15"/>
    </row>
    <row r="421" customFormat="false" ht="15.75" hidden="false" customHeight="false" outlineLevel="0" collapsed="false">
      <c r="Z421" s="15"/>
      <c r="AA421" s="15"/>
      <c r="AB421" s="15"/>
      <c r="AC421" s="15"/>
    </row>
    <row r="422" customFormat="false" ht="15.75" hidden="false" customHeight="false" outlineLevel="0" collapsed="false">
      <c r="Z422" s="15"/>
      <c r="AA422" s="15"/>
      <c r="AB422" s="15"/>
      <c r="AC422" s="15"/>
    </row>
    <row r="423" customFormat="false" ht="15.75" hidden="false" customHeight="false" outlineLevel="0" collapsed="false">
      <c r="Z423" s="15"/>
      <c r="AA423" s="15"/>
      <c r="AB423" s="15"/>
      <c r="AC423" s="15"/>
    </row>
    <row r="424" customFormat="false" ht="15.75" hidden="false" customHeight="false" outlineLevel="0" collapsed="false">
      <c r="Z424" s="15"/>
      <c r="AA424" s="15"/>
      <c r="AB424" s="15"/>
      <c r="AC424" s="15"/>
    </row>
    <row r="425" customFormat="false" ht="15.75" hidden="false" customHeight="false" outlineLevel="0" collapsed="false">
      <c r="Z425" s="15"/>
      <c r="AA425" s="15"/>
      <c r="AB425" s="15"/>
      <c r="AC425" s="15"/>
    </row>
    <row r="426" customFormat="false" ht="15.75" hidden="false" customHeight="false" outlineLevel="0" collapsed="false">
      <c r="Z426" s="15"/>
      <c r="AA426" s="15"/>
      <c r="AB426" s="15"/>
      <c r="AC426" s="15"/>
    </row>
    <row r="427" customFormat="false" ht="15.75" hidden="false" customHeight="false" outlineLevel="0" collapsed="false">
      <c r="Z427" s="15"/>
      <c r="AA427" s="15"/>
      <c r="AB427" s="15"/>
      <c r="AC427" s="15"/>
    </row>
    <row r="428" customFormat="false" ht="15.75" hidden="false" customHeight="false" outlineLevel="0" collapsed="false">
      <c r="Z428" s="15"/>
      <c r="AA428" s="15"/>
      <c r="AB428" s="15"/>
      <c r="AC428" s="15"/>
    </row>
    <row r="429" customFormat="false" ht="15.75" hidden="false" customHeight="false" outlineLevel="0" collapsed="false">
      <c r="Z429" s="15"/>
      <c r="AA429" s="15"/>
      <c r="AB429" s="15"/>
      <c r="AC429" s="15"/>
    </row>
    <row r="430" customFormat="false" ht="15.75" hidden="false" customHeight="false" outlineLevel="0" collapsed="false">
      <c r="Z430" s="15"/>
      <c r="AA430" s="15"/>
      <c r="AB430" s="15"/>
      <c r="AC430" s="15"/>
    </row>
    <row r="431" customFormat="false" ht="15.75" hidden="false" customHeight="false" outlineLevel="0" collapsed="false">
      <c r="Z431" s="15"/>
      <c r="AA431" s="15"/>
      <c r="AB431" s="15"/>
      <c r="AC431" s="15"/>
    </row>
    <row r="432" customFormat="false" ht="15.75" hidden="false" customHeight="false" outlineLevel="0" collapsed="false">
      <c r="Z432" s="15"/>
      <c r="AA432" s="15"/>
      <c r="AB432" s="15"/>
      <c r="AC432" s="15"/>
    </row>
    <row r="433" customFormat="false" ht="15.75" hidden="false" customHeight="false" outlineLevel="0" collapsed="false">
      <c r="Z433" s="15"/>
      <c r="AA433" s="15"/>
      <c r="AB433" s="15"/>
      <c r="AC433" s="15"/>
    </row>
    <row r="434" customFormat="false" ht="15.75" hidden="false" customHeight="false" outlineLevel="0" collapsed="false">
      <c r="Z434" s="15"/>
      <c r="AA434" s="15"/>
      <c r="AB434" s="15"/>
      <c r="AC434" s="15"/>
    </row>
    <row r="435" customFormat="false" ht="15.75" hidden="false" customHeight="false" outlineLevel="0" collapsed="false">
      <c r="Z435" s="15"/>
      <c r="AA435" s="15"/>
      <c r="AB435" s="15"/>
      <c r="AC435" s="15"/>
    </row>
    <row r="436" customFormat="false" ht="15.75" hidden="false" customHeight="false" outlineLevel="0" collapsed="false">
      <c r="Z436" s="15"/>
      <c r="AA436" s="15"/>
      <c r="AB436" s="15"/>
      <c r="AC436" s="15"/>
    </row>
    <row r="437" customFormat="false" ht="15.75" hidden="false" customHeight="false" outlineLevel="0" collapsed="false">
      <c r="Z437" s="15"/>
      <c r="AA437" s="15"/>
      <c r="AB437" s="15"/>
      <c r="AC437" s="15"/>
    </row>
    <row r="438" customFormat="false" ht="15.75" hidden="false" customHeight="false" outlineLevel="0" collapsed="false">
      <c r="Z438" s="15"/>
      <c r="AA438" s="15"/>
      <c r="AB438" s="15"/>
      <c r="AC438" s="15"/>
    </row>
    <row r="439" customFormat="false" ht="15.75" hidden="false" customHeight="false" outlineLevel="0" collapsed="false">
      <c r="Z439" s="15"/>
      <c r="AA439" s="15"/>
      <c r="AB439" s="15"/>
      <c r="AC439" s="15"/>
    </row>
    <row r="440" customFormat="false" ht="15.75" hidden="false" customHeight="false" outlineLevel="0" collapsed="false">
      <c r="Z440" s="15"/>
      <c r="AA440" s="15"/>
      <c r="AB440" s="15"/>
      <c r="AC440" s="15"/>
    </row>
    <row r="441" customFormat="false" ht="15.75" hidden="false" customHeight="false" outlineLevel="0" collapsed="false">
      <c r="Z441" s="15"/>
      <c r="AA441" s="15"/>
      <c r="AB441" s="15"/>
      <c r="AC441" s="15"/>
    </row>
    <row r="442" customFormat="false" ht="15.75" hidden="false" customHeight="false" outlineLevel="0" collapsed="false">
      <c r="Z442" s="15"/>
      <c r="AA442" s="15"/>
      <c r="AB442" s="15"/>
      <c r="AC442" s="15"/>
    </row>
    <row r="443" customFormat="false" ht="15.75" hidden="false" customHeight="false" outlineLevel="0" collapsed="false">
      <c r="Z443" s="15"/>
      <c r="AA443" s="15"/>
      <c r="AB443" s="15"/>
      <c r="AC443" s="15"/>
    </row>
    <row r="444" customFormat="false" ht="15.75" hidden="false" customHeight="false" outlineLevel="0" collapsed="false">
      <c r="Z444" s="15"/>
      <c r="AA444" s="15"/>
      <c r="AB444" s="15"/>
      <c r="AC444" s="15"/>
    </row>
    <row r="445" customFormat="false" ht="15.75" hidden="false" customHeight="false" outlineLevel="0" collapsed="false">
      <c r="Z445" s="15"/>
      <c r="AA445" s="15"/>
      <c r="AB445" s="15"/>
      <c r="AC445" s="15"/>
    </row>
    <row r="446" customFormat="false" ht="15.75" hidden="false" customHeight="false" outlineLevel="0" collapsed="false">
      <c r="Z446" s="15"/>
      <c r="AA446" s="15"/>
      <c r="AB446" s="15"/>
      <c r="AC446" s="15"/>
    </row>
    <row r="447" customFormat="false" ht="15.75" hidden="false" customHeight="false" outlineLevel="0" collapsed="false">
      <c r="Z447" s="15"/>
      <c r="AA447" s="15"/>
      <c r="AB447" s="15"/>
      <c r="AC447" s="15"/>
    </row>
    <row r="448" customFormat="false" ht="15.75" hidden="false" customHeight="false" outlineLevel="0" collapsed="false">
      <c r="Z448" s="15"/>
      <c r="AA448" s="15"/>
      <c r="AB448" s="15"/>
      <c r="AC448" s="15"/>
    </row>
    <row r="449" customFormat="false" ht="15.75" hidden="false" customHeight="false" outlineLevel="0" collapsed="false">
      <c r="Z449" s="15"/>
      <c r="AA449" s="15"/>
      <c r="AB449" s="15"/>
      <c r="AC449" s="15"/>
    </row>
    <row r="450" customFormat="false" ht="15.75" hidden="false" customHeight="false" outlineLevel="0" collapsed="false">
      <c r="Z450" s="15"/>
      <c r="AA450" s="15"/>
      <c r="AB450" s="15"/>
      <c r="AC450" s="15"/>
    </row>
    <row r="451" customFormat="false" ht="15.75" hidden="false" customHeight="false" outlineLevel="0" collapsed="false">
      <c r="Z451" s="15"/>
      <c r="AA451" s="15"/>
      <c r="AB451" s="15"/>
      <c r="AC451" s="15"/>
    </row>
    <row r="452" customFormat="false" ht="15.75" hidden="false" customHeight="false" outlineLevel="0" collapsed="false">
      <c r="Z452" s="15"/>
      <c r="AA452" s="15"/>
      <c r="AB452" s="15"/>
      <c r="AC452" s="15"/>
    </row>
    <row r="453" customFormat="false" ht="15.75" hidden="false" customHeight="false" outlineLevel="0" collapsed="false">
      <c r="Z453" s="15"/>
      <c r="AA453" s="15"/>
      <c r="AB453" s="15"/>
      <c r="AC453" s="15"/>
    </row>
    <row r="454" customFormat="false" ht="15.75" hidden="false" customHeight="false" outlineLevel="0" collapsed="false">
      <c r="Z454" s="15"/>
      <c r="AA454" s="15"/>
      <c r="AB454" s="15"/>
      <c r="AC454" s="15"/>
    </row>
    <row r="455" customFormat="false" ht="15.75" hidden="false" customHeight="false" outlineLevel="0" collapsed="false">
      <c r="Z455" s="15"/>
      <c r="AA455" s="15"/>
      <c r="AB455" s="15"/>
      <c r="AC455" s="15"/>
    </row>
    <row r="456" customFormat="false" ht="15.75" hidden="false" customHeight="false" outlineLevel="0" collapsed="false">
      <c r="Z456" s="15"/>
      <c r="AA456" s="15"/>
      <c r="AB456" s="15"/>
      <c r="AC456" s="15"/>
    </row>
    <row r="457" customFormat="false" ht="15.75" hidden="false" customHeight="false" outlineLevel="0" collapsed="false">
      <c r="Z457" s="15"/>
      <c r="AA457" s="15"/>
      <c r="AB457" s="15"/>
      <c r="AC457" s="15"/>
    </row>
    <row r="458" customFormat="false" ht="15.75" hidden="false" customHeight="false" outlineLevel="0" collapsed="false">
      <c r="Z458" s="15"/>
      <c r="AA458" s="15"/>
      <c r="AB458" s="15"/>
      <c r="AC458" s="15"/>
    </row>
    <row r="459" customFormat="false" ht="15.75" hidden="false" customHeight="false" outlineLevel="0" collapsed="false">
      <c r="Z459" s="15"/>
      <c r="AA459" s="15"/>
      <c r="AB459" s="15"/>
      <c r="AC459" s="15"/>
    </row>
    <row r="460" customFormat="false" ht="15.75" hidden="false" customHeight="false" outlineLevel="0" collapsed="false">
      <c r="Z460" s="15"/>
      <c r="AA460" s="15"/>
      <c r="AB460" s="15"/>
      <c r="AC460" s="15"/>
    </row>
    <row r="461" customFormat="false" ht="15.75" hidden="false" customHeight="false" outlineLevel="0" collapsed="false">
      <c r="Z461" s="15"/>
      <c r="AA461" s="15"/>
      <c r="AB461" s="15"/>
      <c r="AC461" s="15"/>
    </row>
    <row r="462" customFormat="false" ht="15.75" hidden="false" customHeight="false" outlineLevel="0" collapsed="false">
      <c r="Z462" s="15"/>
      <c r="AA462" s="15"/>
      <c r="AB462" s="15"/>
      <c r="AC462" s="15"/>
    </row>
    <row r="463" customFormat="false" ht="15.75" hidden="false" customHeight="false" outlineLevel="0" collapsed="false">
      <c r="Z463" s="15"/>
      <c r="AA463" s="15"/>
      <c r="AB463" s="15"/>
      <c r="AC463" s="15"/>
    </row>
    <row r="464" customFormat="false" ht="15.75" hidden="false" customHeight="false" outlineLevel="0" collapsed="false">
      <c r="Z464" s="15"/>
      <c r="AA464" s="15"/>
      <c r="AB464" s="15"/>
      <c r="AC464" s="15"/>
    </row>
    <row r="465" customFormat="false" ht="15.75" hidden="false" customHeight="false" outlineLevel="0" collapsed="false">
      <c r="Z465" s="15"/>
      <c r="AA465" s="15"/>
      <c r="AB465" s="15"/>
      <c r="AC465" s="15"/>
    </row>
    <row r="466" customFormat="false" ht="15.75" hidden="false" customHeight="false" outlineLevel="0" collapsed="false">
      <c r="Z466" s="15"/>
      <c r="AA466" s="15"/>
      <c r="AB466" s="15"/>
      <c r="AC466" s="15"/>
    </row>
    <row r="467" customFormat="false" ht="15.75" hidden="false" customHeight="false" outlineLevel="0" collapsed="false">
      <c r="Z467" s="15"/>
      <c r="AA467" s="15"/>
      <c r="AB467" s="15"/>
      <c r="AC467" s="15"/>
    </row>
    <row r="468" customFormat="false" ht="15.75" hidden="false" customHeight="false" outlineLevel="0" collapsed="false">
      <c r="Z468" s="15"/>
      <c r="AA468" s="15"/>
      <c r="AB468" s="15"/>
      <c r="AC468" s="15"/>
    </row>
    <row r="469" customFormat="false" ht="15.75" hidden="false" customHeight="false" outlineLevel="0" collapsed="false">
      <c r="Z469" s="15"/>
      <c r="AA469" s="15"/>
      <c r="AB469" s="15"/>
      <c r="AC469" s="15"/>
    </row>
    <row r="470" customFormat="false" ht="15.75" hidden="false" customHeight="false" outlineLevel="0" collapsed="false">
      <c r="Z470" s="15"/>
      <c r="AA470" s="15"/>
      <c r="AB470" s="15"/>
      <c r="AC470" s="15"/>
    </row>
    <row r="471" customFormat="false" ht="15.75" hidden="false" customHeight="false" outlineLevel="0" collapsed="false">
      <c r="Z471" s="15"/>
      <c r="AA471" s="15"/>
      <c r="AB471" s="15"/>
      <c r="AC471" s="15"/>
    </row>
    <row r="472" customFormat="false" ht="15.75" hidden="false" customHeight="false" outlineLevel="0" collapsed="false">
      <c r="Z472" s="15"/>
      <c r="AA472" s="15"/>
      <c r="AB472" s="15"/>
      <c r="AC472" s="15"/>
    </row>
    <row r="473" customFormat="false" ht="15.75" hidden="false" customHeight="false" outlineLevel="0" collapsed="false">
      <c r="Z473" s="15"/>
      <c r="AA473" s="15"/>
      <c r="AB473" s="15"/>
      <c r="AC473" s="15"/>
    </row>
    <row r="474" customFormat="false" ht="15.75" hidden="false" customHeight="false" outlineLevel="0" collapsed="false">
      <c r="Z474" s="15"/>
      <c r="AA474" s="15"/>
      <c r="AB474" s="15"/>
      <c r="AC474" s="15"/>
    </row>
    <row r="475" customFormat="false" ht="15.75" hidden="false" customHeight="false" outlineLevel="0" collapsed="false">
      <c r="Z475" s="15"/>
      <c r="AA475" s="15"/>
      <c r="AB475" s="15"/>
      <c r="AC475" s="15"/>
    </row>
    <row r="476" customFormat="false" ht="15.75" hidden="false" customHeight="false" outlineLevel="0" collapsed="false">
      <c r="Z476" s="15"/>
      <c r="AA476" s="15"/>
      <c r="AB476" s="15"/>
      <c r="AC476" s="15"/>
    </row>
    <row r="477" customFormat="false" ht="15.75" hidden="false" customHeight="false" outlineLevel="0" collapsed="false">
      <c r="Z477" s="15"/>
      <c r="AA477" s="15"/>
      <c r="AB477" s="15"/>
      <c r="AC477" s="15"/>
    </row>
    <row r="478" customFormat="false" ht="15.75" hidden="false" customHeight="false" outlineLevel="0" collapsed="false">
      <c r="Z478" s="15"/>
      <c r="AA478" s="15"/>
      <c r="AB478" s="15"/>
      <c r="AC478" s="15"/>
    </row>
    <row r="479" customFormat="false" ht="15.75" hidden="false" customHeight="false" outlineLevel="0" collapsed="false">
      <c r="Z479" s="15"/>
      <c r="AA479" s="15"/>
      <c r="AB479" s="15"/>
      <c r="AC479" s="15"/>
    </row>
    <row r="480" customFormat="false" ht="15.75" hidden="false" customHeight="false" outlineLevel="0" collapsed="false">
      <c r="Z480" s="15"/>
      <c r="AA480" s="15"/>
      <c r="AB480" s="15"/>
      <c r="AC480" s="15"/>
    </row>
    <row r="481" customFormat="false" ht="15.75" hidden="false" customHeight="false" outlineLevel="0" collapsed="false">
      <c r="Z481" s="15"/>
      <c r="AA481" s="15"/>
      <c r="AB481" s="15"/>
      <c r="AC481" s="15"/>
    </row>
    <row r="482" customFormat="false" ht="15.75" hidden="false" customHeight="false" outlineLevel="0" collapsed="false">
      <c r="Z482" s="15"/>
      <c r="AA482" s="15"/>
      <c r="AB482" s="15"/>
      <c r="AC482" s="15"/>
    </row>
    <row r="483" customFormat="false" ht="15.75" hidden="false" customHeight="false" outlineLevel="0" collapsed="false">
      <c r="Z483" s="15"/>
      <c r="AA483" s="15"/>
      <c r="AB483" s="15"/>
      <c r="AC483" s="15"/>
    </row>
    <row r="484" customFormat="false" ht="15.75" hidden="false" customHeight="false" outlineLevel="0" collapsed="false">
      <c r="Z484" s="15"/>
      <c r="AA484" s="15"/>
      <c r="AB484" s="15"/>
      <c r="AC484" s="15"/>
    </row>
    <row r="485" customFormat="false" ht="15.75" hidden="false" customHeight="false" outlineLevel="0" collapsed="false">
      <c r="Z485" s="15"/>
      <c r="AA485" s="15"/>
      <c r="AB485" s="15"/>
      <c r="AC485" s="15"/>
    </row>
    <row r="486" customFormat="false" ht="15.75" hidden="false" customHeight="false" outlineLevel="0" collapsed="false">
      <c r="Z486" s="15"/>
      <c r="AA486" s="15"/>
      <c r="AB486" s="15"/>
      <c r="AC486" s="15"/>
    </row>
    <row r="487" customFormat="false" ht="15.75" hidden="false" customHeight="false" outlineLevel="0" collapsed="false">
      <c r="Z487" s="15"/>
      <c r="AA487" s="15"/>
      <c r="AB487" s="15"/>
      <c r="AC487" s="15"/>
    </row>
    <row r="488" customFormat="false" ht="15.75" hidden="false" customHeight="false" outlineLevel="0" collapsed="false">
      <c r="Z488" s="15"/>
      <c r="AA488" s="15"/>
      <c r="AB488" s="15"/>
      <c r="AC488" s="15"/>
    </row>
    <row r="489" customFormat="false" ht="15.75" hidden="false" customHeight="false" outlineLevel="0" collapsed="false">
      <c r="Z489" s="15"/>
      <c r="AA489" s="15"/>
      <c r="AB489" s="15"/>
      <c r="AC489" s="15"/>
    </row>
    <row r="490" customFormat="false" ht="15.75" hidden="false" customHeight="false" outlineLevel="0" collapsed="false">
      <c r="Z490" s="15"/>
      <c r="AA490" s="15"/>
      <c r="AB490" s="15"/>
      <c r="AC490" s="15"/>
    </row>
    <row r="491" customFormat="false" ht="15.75" hidden="false" customHeight="false" outlineLevel="0" collapsed="false">
      <c r="Z491" s="15"/>
      <c r="AA491" s="15"/>
      <c r="AB491" s="15"/>
      <c r="AC491" s="15"/>
    </row>
    <row r="492" customFormat="false" ht="15.75" hidden="false" customHeight="false" outlineLevel="0" collapsed="false">
      <c r="Z492" s="15"/>
      <c r="AA492" s="15"/>
      <c r="AB492" s="15"/>
      <c r="AC492" s="15"/>
    </row>
    <row r="493" customFormat="false" ht="15.75" hidden="false" customHeight="false" outlineLevel="0" collapsed="false">
      <c r="Z493" s="15"/>
      <c r="AA493" s="15"/>
      <c r="AB493" s="15"/>
      <c r="AC493" s="15"/>
    </row>
    <row r="494" customFormat="false" ht="15.75" hidden="false" customHeight="false" outlineLevel="0" collapsed="false">
      <c r="Z494" s="15"/>
      <c r="AA494" s="15"/>
      <c r="AB494" s="15"/>
      <c r="AC494" s="15"/>
    </row>
    <row r="495" customFormat="false" ht="15.75" hidden="false" customHeight="false" outlineLevel="0" collapsed="false">
      <c r="Z495" s="15"/>
      <c r="AA495" s="15"/>
      <c r="AB495" s="15"/>
      <c r="AC495" s="15"/>
    </row>
    <row r="496" customFormat="false" ht="15.75" hidden="false" customHeight="false" outlineLevel="0" collapsed="false">
      <c r="Z496" s="15"/>
      <c r="AA496" s="15"/>
      <c r="AB496" s="15"/>
      <c r="AC496" s="15"/>
    </row>
    <row r="497" customFormat="false" ht="15.75" hidden="false" customHeight="false" outlineLevel="0" collapsed="false">
      <c r="Z497" s="15"/>
      <c r="AA497" s="15"/>
      <c r="AB497" s="15"/>
      <c r="AC497" s="15"/>
    </row>
    <row r="498" customFormat="false" ht="15.75" hidden="false" customHeight="false" outlineLevel="0" collapsed="false">
      <c r="Z498" s="15"/>
      <c r="AA498" s="15"/>
      <c r="AB498" s="15"/>
      <c r="AC498" s="15"/>
    </row>
    <row r="499" customFormat="false" ht="15.75" hidden="false" customHeight="false" outlineLevel="0" collapsed="false">
      <c r="Z499" s="15"/>
      <c r="AA499" s="15"/>
      <c r="AB499" s="15"/>
      <c r="AC499" s="15"/>
    </row>
    <row r="500" customFormat="false" ht="15.75" hidden="false" customHeight="false" outlineLevel="0" collapsed="false">
      <c r="Z500" s="15"/>
      <c r="AA500" s="15"/>
      <c r="AB500" s="15"/>
      <c r="AC500" s="15"/>
    </row>
    <row r="501" customFormat="false" ht="15.75" hidden="false" customHeight="false" outlineLevel="0" collapsed="false">
      <c r="Z501" s="15"/>
      <c r="AA501" s="15"/>
      <c r="AB501" s="15"/>
      <c r="AC501" s="15"/>
    </row>
    <row r="502" customFormat="false" ht="15.75" hidden="false" customHeight="false" outlineLevel="0" collapsed="false">
      <c r="Z502" s="15"/>
      <c r="AA502" s="15"/>
      <c r="AB502" s="15"/>
      <c r="AC502" s="15"/>
    </row>
    <row r="503" customFormat="false" ht="15.75" hidden="false" customHeight="false" outlineLevel="0" collapsed="false">
      <c r="Z503" s="15"/>
      <c r="AA503" s="15"/>
      <c r="AB503" s="15"/>
      <c r="AC503" s="15"/>
    </row>
    <row r="504" customFormat="false" ht="15.75" hidden="false" customHeight="false" outlineLevel="0" collapsed="false">
      <c r="Z504" s="15"/>
      <c r="AA504" s="15"/>
      <c r="AB504" s="15"/>
      <c r="AC504" s="15"/>
    </row>
    <row r="505" customFormat="false" ht="15.75" hidden="false" customHeight="false" outlineLevel="0" collapsed="false">
      <c r="Z505" s="15"/>
      <c r="AA505" s="15"/>
      <c r="AB505" s="15"/>
      <c r="AC505" s="15"/>
    </row>
    <row r="506" customFormat="false" ht="15.75" hidden="false" customHeight="false" outlineLevel="0" collapsed="false">
      <c r="Z506" s="15"/>
      <c r="AA506" s="15"/>
      <c r="AB506" s="15"/>
      <c r="AC506" s="15"/>
    </row>
    <row r="507" customFormat="false" ht="15.75" hidden="false" customHeight="false" outlineLevel="0" collapsed="false">
      <c r="Z507" s="15"/>
      <c r="AA507" s="15"/>
      <c r="AB507" s="15"/>
      <c r="AC507" s="15"/>
    </row>
    <row r="508" customFormat="false" ht="15.75" hidden="false" customHeight="false" outlineLevel="0" collapsed="false">
      <c r="Z508" s="15"/>
      <c r="AA508" s="15"/>
      <c r="AB508" s="15"/>
      <c r="AC508" s="15"/>
    </row>
    <row r="509" customFormat="false" ht="15.75" hidden="false" customHeight="false" outlineLevel="0" collapsed="false">
      <c r="Z509" s="15"/>
      <c r="AA509" s="15"/>
      <c r="AB509" s="15"/>
      <c r="AC509" s="15"/>
    </row>
    <row r="510" customFormat="false" ht="15.75" hidden="false" customHeight="false" outlineLevel="0" collapsed="false">
      <c r="Z510" s="15"/>
      <c r="AA510" s="15"/>
      <c r="AB510" s="15"/>
      <c r="AC510" s="15"/>
    </row>
    <row r="511" customFormat="false" ht="15.75" hidden="false" customHeight="false" outlineLevel="0" collapsed="false">
      <c r="Z511" s="15"/>
      <c r="AA511" s="15"/>
      <c r="AB511" s="15"/>
      <c r="AC511" s="15"/>
    </row>
    <row r="512" customFormat="false" ht="15.75" hidden="false" customHeight="false" outlineLevel="0" collapsed="false">
      <c r="Z512" s="15"/>
      <c r="AA512" s="15"/>
      <c r="AB512" s="15"/>
      <c r="AC512" s="15"/>
    </row>
    <row r="513" customFormat="false" ht="15.75" hidden="false" customHeight="false" outlineLevel="0" collapsed="false">
      <c r="Z513" s="15"/>
      <c r="AA513" s="15"/>
      <c r="AB513" s="15"/>
      <c r="AC513" s="15"/>
    </row>
    <row r="514" customFormat="false" ht="15.75" hidden="false" customHeight="false" outlineLevel="0" collapsed="false">
      <c r="Z514" s="15"/>
      <c r="AA514" s="15"/>
      <c r="AB514" s="15"/>
      <c r="AC514" s="15"/>
    </row>
    <row r="515" customFormat="false" ht="15.75" hidden="false" customHeight="false" outlineLevel="0" collapsed="false">
      <c r="Z515" s="15"/>
      <c r="AA515" s="15"/>
      <c r="AB515" s="15"/>
      <c r="AC515" s="15"/>
    </row>
    <row r="516" customFormat="false" ht="15.75" hidden="false" customHeight="false" outlineLevel="0" collapsed="false">
      <c r="Z516" s="15"/>
      <c r="AA516" s="15"/>
      <c r="AB516" s="15"/>
      <c r="AC516" s="15"/>
    </row>
    <row r="517" customFormat="false" ht="15.75" hidden="false" customHeight="false" outlineLevel="0" collapsed="false">
      <c r="Z517" s="15"/>
      <c r="AA517" s="15"/>
      <c r="AB517" s="15"/>
      <c r="AC517" s="15"/>
    </row>
    <row r="518" customFormat="false" ht="15.75" hidden="false" customHeight="false" outlineLevel="0" collapsed="false">
      <c r="Z518" s="15"/>
      <c r="AA518" s="15"/>
      <c r="AB518" s="15"/>
      <c r="AC518" s="15"/>
    </row>
    <row r="519" customFormat="false" ht="15.75" hidden="false" customHeight="false" outlineLevel="0" collapsed="false">
      <c r="Z519" s="15"/>
      <c r="AA519" s="15"/>
      <c r="AB519" s="15"/>
      <c r="AC519" s="15"/>
    </row>
    <row r="520" customFormat="false" ht="15.75" hidden="false" customHeight="false" outlineLevel="0" collapsed="false">
      <c r="Z520" s="15"/>
      <c r="AA520" s="15"/>
      <c r="AB520" s="15"/>
      <c r="AC520" s="15"/>
    </row>
    <row r="521" customFormat="false" ht="15.75" hidden="false" customHeight="false" outlineLevel="0" collapsed="false">
      <c r="Z521" s="15"/>
      <c r="AA521" s="15"/>
      <c r="AB521" s="15"/>
      <c r="AC521" s="15"/>
    </row>
    <row r="522" customFormat="false" ht="15.75" hidden="false" customHeight="false" outlineLevel="0" collapsed="false">
      <c r="Z522" s="15"/>
      <c r="AA522" s="15"/>
      <c r="AB522" s="15"/>
      <c r="AC522" s="15"/>
    </row>
    <row r="523" customFormat="false" ht="15.75" hidden="false" customHeight="false" outlineLevel="0" collapsed="false">
      <c r="Z523" s="15"/>
      <c r="AA523" s="15"/>
      <c r="AB523" s="15"/>
      <c r="AC523" s="15"/>
    </row>
    <row r="524" customFormat="false" ht="15.75" hidden="false" customHeight="false" outlineLevel="0" collapsed="false">
      <c r="Z524" s="15"/>
      <c r="AA524" s="15"/>
      <c r="AB524" s="15"/>
      <c r="AC524" s="15"/>
    </row>
    <row r="525" customFormat="false" ht="15.75" hidden="false" customHeight="false" outlineLevel="0" collapsed="false">
      <c r="Z525" s="15"/>
      <c r="AA525" s="15"/>
      <c r="AB525" s="15"/>
      <c r="AC525" s="15"/>
    </row>
    <row r="526" customFormat="false" ht="15.75" hidden="false" customHeight="false" outlineLevel="0" collapsed="false">
      <c r="Z526" s="15"/>
      <c r="AA526" s="15"/>
      <c r="AB526" s="15"/>
      <c r="AC526" s="15"/>
    </row>
    <row r="527" customFormat="false" ht="15.75" hidden="false" customHeight="false" outlineLevel="0" collapsed="false">
      <c r="Z527" s="15"/>
      <c r="AA527" s="15"/>
      <c r="AB527" s="15"/>
      <c r="AC527" s="15"/>
    </row>
    <row r="528" customFormat="false" ht="15.75" hidden="false" customHeight="false" outlineLevel="0" collapsed="false">
      <c r="Z528" s="15"/>
      <c r="AA528" s="15"/>
      <c r="AB528" s="15"/>
      <c r="AC528" s="15"/>
    </row>
    <row r="529" customFormat="false" ht="15.75" hidden="false" customHeight="false" outlineLevel="0" collapsed="false">
      <c r="Z529" s="15"/>
      <c r="AA529" s="15"/>
      <c r="AB529" s="15"/>
      <c r="AC529" s="15"/>
    </row>
    <row r="530" customFormat="false" ht="15.75" hidden="false" customHeight="false" outlineLevel="0" collapsed="false">
      <c r="Z530" s="15"/>
      <c r="AA530" s="15"/>
      <c r="AB530" s="15"/>
      <c r="AC530" s="15"/>
    </row>
    <row r="531" customFormat="false" ht="15.75" hidden="false" customHeight="false" outlineLevel="0" collapsed="false">
      <c r="Z531" s="15"/>
      <c r="AA531" s="15"/>
      <c r="AB531" s="15"/>
      <c r="AC531" s="15"/>
    </row>
    <row r="532" customFormat="false" ht="15.75" hidden="false" customHeight="false" outlineLevel="0" collapsed="false">
      <c r="Z532" s="15"/>
      <c r="AA532" s="15"/>
      <c r="AB532" s="15"/>
      <c r="AC532" s="15"/>
    </row>
    <row r="533" customFormat="false" ht="15.75" hidden="false" customHeight="false" outlineLevel="0" collapsed="false">
      <c r="Z533" s="15"/>
      <c r="AA533" s="15"/>
      <c r="AB533" s="15"/>
      <c r="AC533" s="15"/>
    </row>
    <row r="534" customFormat="false" ht="15.75" hidden="false" customHeight="false" outlineLevel="0" collapsed="false">
      <c r="Z534" s="15"/>
      <c r="AA534" s="15"/>
      <c r="AB534" s="15"/>
      <c r="AC534" s="15"/>
    </row>
    <row r="535" customFormat="false" ht="15.75" hidden="false" customHeight="false" outlineLevel="0" collapsed="false">
      <c r="Z535" s="15"/>
      <c r="AA535" s="15"/>
      <c r="AB535" s="15"/>
      <c r="AC535" s="15"/>
    </row>
    <row r="536" customFormat="false" ht="15.75" hidden="false" customHeight="false" outlineLevel="0" collapsed="false">
      <c r="Z536" s="15"/>
      <c r="AA536" s="15"/>
      <c r="AB536" s="15"/>
      <c r="AC536" s="15"/>
    </row>
    <row r="537" customFormat="false" ht="15.75" hidden="false" customHeight="false" outlineLevel="0" collapsed="false">
      <c r="Z537" s="15"/>
      <c r="AA537" s="15"/>
      <c r="AB537" s="15"/>
      <c r="AC537" s="15"/>
    </row>
    <row r="538" customFormat="false" ht="15.75" hidden="false" customHeight="false" outlineLevel="0" collapsed="false">
      <c r="Z538" s="15"/>
      <c r="AA538" s="15"/>
      <c r="AB538" s="15"/>
      <c r="AC538" s="15"/>
    </row>
    <row r="539" customFormat="false" ht="15.75" hidden="false" customHeight="false" outlineLevel="0" collapsed="false">
      <c r="Z539" s="15"/>
      <c r="AA539" s="15"/>
      <c r="AB539" s="15"/>
      <c r="AC539" s="15"/>
    </row>
    <row r="540" customFormat="false" ht="15.75" hidden="false" customHeight="false" outlineLevel="0" collapsed="false">
      <c r="Z540" s="15"/>
      <c r="AA540" s="15"/>
      <c r="AB540" s="15"/>
      <c r="AC540" s="15"/>
    </row>
    <row r="541" customFormat="false" ht="15.75" hidden="false" customHeight="false" outlineLevel="0" collapsed="false">
      <c r="Z541" s="15"/>
      <c r="AA541" s="15"/>
      <c r="AB541" s="15"/>
      <c r="AC541" s="15"/>
    </row>
    <row r="542" customFormat="false" ht="15.75" hidden="false" customHeight="false" outlineLevel="0" collapsed="false">
      <c r="Z542" s="15"/>
      <c r="AA542" s="15"/>
      <c r="AB542" s="15"/>
      <c r="AC542" s="15"/>
    </row>
    <row r="543" customFormat="false" ht="15.75" hidden="false" customHeight="false" outlineLevel="0" collapsed="false">
      <c r="Z543" s="15"/>
      <c r="AA543" s="15"/>
      <c r="AB543" s="15"/>
      <c r="AC543" s="15"/>
    </row>
    <row r="544" customFormat="false" ht="15.75" hidden="false" customHeight="false" outlineLevel="0" collapsed="false">
      <c r="Z544" s="15"/>
      <c r="AA544" s="15"/>
      <c r="AB544" s="15"/>
      <c r="AC544" s="15"/>
    </row>
    <row r="545" customFormat="false" ht="15.75" hidden="false" customHeight="false" outlineLevel="0" collapsed="false">
      <c r="Z545" s="15"/>
      <c r="AA545" s="15"/>
      <c r="AB545" s="15"/>
      <c r="AC545" s="15"/>
    </row>
    <row r="546" customFormat="false" ht="15.75" hidden="false" customHeight="false" outlineLevel="0" collapsed="false">
      <c r="Z546" s="15"/>
      <c r="AA546" s="15"/>
      <c r="AB546" s="15"/>
      <c r="AC546" s="15"/>
    </row>
    <row r="547" customFormat="false" ht="15.75" hidden="false" customHeight="false" outlineLevel="0" collapsed="false">
      <c r="Z547" s="15"/>
      <c r="AA547" s="15"/>
      <c r="AB547" s="15"/>
      <c r="AC547" s="15"/>
    </row>
    <row r="548" customFormat="false" ht="15.75" hidden="false" customHeight="false" outlineLevel="0" collapsed="false">
      <c r="Z548" s="15"/>
      <c r="AA548" s="15"/>
      <c r="AB548" s="15"/>
      <c r="AC548" s="15"/>
    </row>
    <row r="549" customFormat="false" ht="15.75" hidden="false" customHeight="false" outlineLevel="0" collapsed="false">
      <c r="Z549" s="15"/>
      <c r="AA549" s="15"/>
      <c r="AB549" s="15"/>
      <c r="AC549" s="15"/>
    </row>
    <row r="550" customFormat="false" ht="15.75" hidden="false" customHeight="false" outlineLevel="0" collapsed="false">
      <c r="Z550" s="15"/>
      <c r="AA550" s="15"/>
      <c r="AB550" s="15"/>
      <c r="AC550" s="15"/>
    </row>
    <row r="551" customFormat="false" ht="15.75" hidden="false" customHeight="false" outlineLevel="0" collapsed="false">
      <c r="Z551" s="15"/>
      <c r="AA551" s="15"/>
      <c r="AB551" s="15"/>
      <c r="AC551" s="15"/>
    </row>
    <row r="552" customFormat="false" ht="15.75" hidden="false" customHeight="false" outlineLevel="0" collapsed="false">
      <c r="Z552" s="15"/>
      <c r="AA552" s="15"/>
      <c r="AB552" s="15"/>
      <c r="AC552" s="15"/>
    </row>
    <row r="553" customFormat="false" ht="15.75" hidden="false" customHeight="false" outlineLevel="0" collapsed="false">
      <c r="Z553" s="15"/>
      <c r="AA553" s="15"/>
      <c r="AB553" s="15"/>
      <c r="AC553" s="15"/>
    </row>
    <row r="554" customFormat="false" ht="15.75" hidden="false" customHeight="false" outlineLevel="0" collapsed="false">
      <c r="Z554" s="15"/>
      <c r="AA554" s="15"/>
      <c r="AB554" s="15"/>
      <c r="AC554" s="15"/>
    </row>
    <row r="555" customFormat="false" ht="15.75" hidden="false" customHeight="false" outlineLevel="0" collapsed="false">
      <c r="Z555" s="15"/>
      <c r="AA555" s="15"/>
      <c r="AB555" s="15"/>
      <c r="AC555" s="15"/>
    </row>
    <row r="556" customFormat="false" ht="15.75" hidden="false" customHeight="false" outlineLevel="0" collapsed="false">
      <c r="Z556" s="15"/>
      <c r="AA556" s="15"/>
      <c r="AB556" s="15"/>
      <c r="AC556" s="15"/>
    </row>
    <row r="557" customFormat="false" ht="15.75" hidden="false" customHeight="false" outlineLevel="0" collapsed="false">
      <c r="Z557" s="15"/>
      <c r="AA557" s="15"/>
      <c r="AB557" s="15"/>
      <c r="AC557" s="15"/>
    </row>
    <row r="558" customFormat="false" ht="15.75" hidden="false" customHeight="false" outlineLevel="0" collapsed="false">
      <c r="Z558" s="15"/>
      <c r="AA558" s="15"/>
      <c r="AB558" s="15"/>
      <c r="AC558" s="15"/>
    </row>
    <row r="559" customFormat="false" ht="15.75" hidden="false" customHeight="false" outlineLevel="0" collapsed="false">
      <c r="Z559" s="15"/>
      <c r="AA559" s="15"/>
      <c r="AB559" s="15"/>
      <c r="AC559" s="15"/>
    </row>
    <row r="560" customFormat="false" ht="15.75" hidden="false" customHeight="false" outlineLevel="0" collapsed="false">
      <c r="Z560" s="15"/>
      <c r="AA560" s="15"/>
      <c r="AB560" s="15"/>
      <c r="AC560" s="15"/>
    </row>
    <row r="561" customFormat="false" ht="15.75" hidden="false" customHeight="false" outlineLevel="0" collapsed="false">
      <c r="Z561" s="15"/>
      <c r="AA561" s="15"/>
      <c r="AB561" s="15"/>
      <c r="AC561" s="15"/>
    </row>
    <row r="562" customFormat="false" ht="15.75" hidden="false" customHeight="false" outlineLevel="0" collapsed="false">
      <c r="Z562" s="15"/>
      <c r="AA562" s="15"/>
      <c r="AB562" s="15"/>
      <c r="AC562" s="15"/>
    </row>
    <row r="563" customFormat="false" ht="15.75" hidden="false" customHeight="false" outlineLevel="0" collapsed="false">
      <c r="Z563" s="15"/>
      <c r="AA563" s="15"/>
      <c r="AB563" s="15"/>
      <c r="AC563" s="15"/>
    </row>
    <row r="564" customFormat="false" ht="15.75" hidden="false" customHeight="false" outlineLevel="0" collapsed="false">
      <c r="Z564" s="15"/>
      <c r="AA564" s="15"/>
      <c r="AB564" s="15"/>
      <c r="AC564" s="15"/>
    </row>
    <row r="565" customFormat="false" ht="15.75" hidden="false" customHeight="false" outlineLevel="0" collapsed="false">
      <c r="Z565" s="15"/>
      <c r="AA565" s="15"/>
      <c r="AB565" s="15"/>
      <c r="AC565" s="15"/>
    </row>
    <row r="566" customFormat="false" ht="15.75" hidden="false" customHeight="false" outlineLevel="0" collapsed="false">
      <c r="Z566" s="15"/>
      <c r="AA566" s="15"/>
      <c r="AB566" s="15"/>
      <c r="AC566" s="15"/>
    </row>
    <row r="567" customFormat="false" ht="15.75" hidden="false" customHeight="false" outlineLevel="0" collapsed="false">
      <c r="Z567" s="15"/>
      <c r="AA567" s="15"/>
      <c r="AB567" s="15"/>
      <c r="AC567" s="15"/>
    </row>
    <row r="568" customFormat="false" ht="15.75" hidden="false" customHeight="false" outlineLevel="0" collapsed="false">
      <c r="Z568" s="15"/>
      <c r="AA568" s="15"/>
      <c r="AB568" s="15"/>
      <c r="AC568" s="15"/>
    </row>
    <row r="569" customFormat="false" ht="15.75" hidden="false" customHeight="false" outlineLevel="0" collapsed="false">
      <c r="Z569" s="15"/>
      <c r="AA569" s="15"/>
      <c r="AB569" s="15"/>
      <c r="AC569" s="15"/>
    </row>
    <row r="570" customFormat="false" ht="15.75" hidden="false" customHeight="false" outlineLevel="0" collapsed="false">
      <c r="Z570" s="15"/>
      <c r="AA570" s="15"/>
      <c r="AB570" s="15"/>
      <c r="AC570" s="15"/>
    </row>
    <row r="571" customFormat="false" ht="15.75" hidden="false" customHeight="false" outlineLevel="0" collapsed="false">
      <c r="Z571" s="15"/>
      <c r="AA571" s="15"/>
      <c r="AB571" s="15"/>
      <c r="AC571" s="15"/>
    </row>
    <row r="572" customFormat="false" ht="15.75" hidden="false" customHeight="false" outlineLevel="0" collapsed="false">
      <c r="Z572" s="15"/>
      <c r="AA572" s="15"/>
      <c r="AB572" s="15"/>
      <c r="AC572" s="15"/>
    </row>
    <row r="573" customFormat="false" ht="15.75" hidden="false" customHeight="false" outlineLevel="0" collapsed="false">
      <c r="Z573" s="15"/>
      <c r="AA573" s="15"/>
      <c r="AB573" s="15"/>
      <c r="AC573" s="15"/>
    </row>
    <row r="574" customFormat="false" ht="15.75" hidden="false" customHeight="false" outlineLevel="0" collapsed="false">
      <c r="Z574" s="15"/>
      <c r="AA574" s="15"/>
      <c r="AB574" s="15"/>
      <c r="AC574" s="15"/>
    </row>
    <row r="575" customFormat="false" ht="15.75" hidden="false" customHeight="false" outlineLevel="0" collapsed="false">
      <c r="Z575" s="15"/>
      <c r="AA575" s="15"/>
      <c r="AB575" s="15"/>
      <c r="AC575" s="15"/>
    </row>
    <row r="576" customFormat="false" ht="15.75" hidden="false" customHeight="false" outlineLevel="0" collapsed="false">
      <c r="Z576" s="15"/>
      <c r="AA576" s="15"/>
      <c r="AB576" s="15"/>
      <c r="AC576" s="15"/>
    </row>
    <row r="577" customFormat="false" ht="15.75" hidden="false" customHeight="false" outlineLevel="0" collapsed="false">
      <c r="Z577" s="15"/>
      <c r="AA577" s="15"/>
      <c r="AB577" s="15"/>
      <c r="AC577" s="15"/>
    </row>
    <row r="578" customFormat="false" ht="15.75" hidden="false" customHeight="false" outlineLevel="0" collapsed="false">
      <c r="Z578" s="15"/>
      <c r="AA578" s="15"/>
      <c r="AB578" s="15"/>
      <c r="AC578" s="15"/>
    </row>
    <row r="579" customFormat="false" ht="15.75" hidden="false" customHeight="false" outlineLevel="0" collapsed="false">
      <c r="Z579" s="15"/>
      <c r="AA579" s="15"/>
      <c r="AB579" s="15"/>
      <c r="AC579" s="15"/>
    </row>
    <row r="580" customFormat="false" ht="15.75" hidden="false" customHeight="false" outlineLevel="0" collapsed="false">
      <c r="Z580" s="15"/>
      <c r="AA580" s="15"/>
      <c r="AB580" s="15"/>
      <c r="AC580" s="15"/>
    </row>
    <row r="581" customFormat="false" ht="15.75" hidden="false" customHeight="false" outlineLevel="0" collapsed="false">
      <c r="Z581" s="15"/>
      <c r="AA581" s="15"/>
      <c r="AB581" s="15"/>
      <c r="AC581" s="15"/>
    </row>
    <row r="582" customFormat="false" ht="15.75" hidden="false" customHeight="false" outlineLevel="0" collapsed="false">
      <c r="Z582" s="15"/>
      <c r="AA582" s="15"/>
      <c r="AB582" s="15"/>
      <c r="AC582" s="15"/>
    </row>
    <row r="583" customFormat="false" ht="15.75" hidden="false" customHeight="false" outlineLevel="0" collapsed="false">
      <c r="Z583" s="15"/>
      <c r="AA583" s="15"/>
      <c r="AB583" s="15"/>
      <c r="AC583" s="15"/>
    </row>
    <row r="584" customFormat="false" ht="15.75" hidden="false" customHeight="false" outlineLevel="0" collapsed="false">
      <c r="Z584" s="15"/>
      <c r="AA584" s="15"/>
      <c r="AB584" s="15"/>
      <c r="AC584" s="15"/>
    </row>
    <row r="585" customFormat="false" ht="15.75" hidden="false" customHeight="false" outlineLevel="0" collapsed="false">
      <c r="Z585" s="15"/>
      <c r="AA585" s="15"/>
      <c r="AB585" s="15"/>
      <c r="AC585" s="15"/>
    </row>
    <row r="586" customFormat="false" ht="15.75" hidden="false" customHeight="false" outlineLevel="0" collapsed="false">
      <c r="Z586" s="15"/>
      <c r="AA586" s="15"/>
      <c r="AB586" s="15"/>
      <c r="AC586" s="15"/>
    </row>
    <row r="587" customFormat="false" ht="15.75" hidden="false" customHeight="false" outlineLevel="0" collapsed="false">
      <c r="Z587" s="15"/>
      <c r="AA587" s="15"/>
      <c r="AB587" s="15"/>
      <c r="AC587" s="15"/>
    </row>
    <row r="588" customFormat="false" ht="15.75" hidden="false" customHeight="false" outlineLevel="0" collapsed="false">
      <c r="Z588" s="15"/>
      <c r="AA588" s="15"/>
      <c r="AB588" s="15"/>
      <c r="AC588" s="15"/>
    </row>
    <row r="589" customFormat="false" ht="15.75" hidden="false" customHeight="false" outlineLevel="0" collapsed="false">
      <c r="Z589" s="15"/>
      <c r="AA589" s="15"/>
      <c r="AB589" s="15"/>
      <c r="AC589" s="15"/>
    </row>
    <row r="590" customFormat="false" ht="15.75" hidden="false" customHeight="false" outlineLevel="0" collapsed="false">
      <c r="Z590" s="15"/>
      <c r="AA590" s="15"/>
      <c r="AB590" s="15"/>
      <c r="AC590" s="15"/>
    </row>
    <row r="591" customFormat="false" ht="15.75" hidden="false" customHeight="false" outlineLevel="0" collapsed="false">
      <c r="Z591" s="15"/>
      <c r="AA591" s="15"/>
      <c r="AB591" s="15"/>
      <c r="AC591" s="15"/>
    </row>
    <row r="592" customFormat="false" ht="15.75" hidden="false" customHeight="false" outlineLevel="0" collapsed="false">
      <c r="Z592" s="15"/>
      <c r="AA592" s="15"/>
      <c r="AB592" s="15"/>
      <c r="AC592" s="15"/>
    </row>
    <row r="593" customFormat="false" ht="15.75" hidden="false" customHeight="false" outlineLevel="0" collapsed="false">
      <c r="Z593" s="15"/>
      <c r="AA593" s="15"/>
      <c r="AB593" s="15"/>
      <c r="AC593" s="15"/>
    </row>
    <row r="594" customFormat="false" ht="15.75" hidden="false" customHeight="false" outlineLevel="0" collapsed="false">
      <c r="Z594" s="15"/>
      <c r="AA594" s="15"/>
      <c r="AB594" s="15"/>
      <c r="AC594" s="15"/>
    </row>
    <row r="595" customFormat="false" ht="15.75" hidden="false" customHeight="false" outlineLevel="0" collapsed="false">
      <c r="Z595" s="15"/>
      <c r="AA595" s="15"/>
      <c r="AB595" s="15"/>
      <c r="AC595" s="15"/>
    </row>
    <row r="596" customFormat="false" ht="15.75" hidden="false" customHeight="false" outlineLevel="0" collapsed="false">
      <c r="Z596" s="15"/>
      <c r="AA596" s="15"/>
      <c r="AB596" s="15"/>
      <c r="AC596" s="15"/>
    </row>
    <row r="597" customFormat="false" ht="15.75" hidden="false" customHeight="false" outlineLevel="0" collapsed="false">
      <c r="Z597" s="15"/>
      <c r="AA597" s="15"/>
      <c r="AB597" s="15"/>
      <c r="AC597" s="15"/>
    </row>
    <row r="598" customFormat="false" ht="15.75" hidden="false" customHeight="false" outlineLevel="0" collapsed="false">
      <c r="Z598" s="15"/>
      <c r="AA598" s="15"/>
      <c r="AB598" s="15"/>
      <c r="AC598" s="15"/>
    </row>
    <row r="599" customFormat="false" ht="15.75" hidden="false" customHeight="false" outlineLevel="0" collapsed="false">
      <c r="Z599" s="15"/>
      <c r="AA599" s="15"/>
      <c r="AB599" s="15"/>
      <c r="AC599" s="15"/>
    </row>
    <row r="600" customFormat="false" ht="15.75" hidden="false" customHeight="false" outlineLevel="0" collapsed="false">
      <c r="Z600" s="15"/>
      <c r="AA600" s="15"/>
      <c r="AB600" s="15"/>
      <c r="AC600" s="15"/>
    </row>
    <row r="601" customFormat="false" ht="15.75" hidden="false" customHeight="false" outlineLevel="0" collapsed="false">
      <c r="Z601" s="15"/>
      <c r="AA601" s="15"/>
      <c r="AB601" s="15"/>
      <c r="AC601" s="15"/>
    </row>
    <row r="602" customFormat="false" ht="15.75" hidden="false" customHeight="false" outlineLevel="0" collapsed="false">
      <c r="Z602" s="15"/>
      <c r="AA602" s="15"/>
      <c r="AB602" s="15"/>
      <c r="AC602" s="15"/>
    </row>
    <row r="603" customFormat="false" ht="15.75" hidden="false" customHeight="false" outlineLevel="0" collapsed="false">
      <c r="Z603" s="15"/>
      <c r="AA603" s="15"/>
      <c r="AB603" s="15"/>
      <c r="AC603" s="15"/>
    </row>
    <row r="604" customFormat="false" ht="15.75" hidden="false" customHeight="false" outlineLevel="0" collapsed="false">
      <c r="Z604" s="15"/>
      <c r="AA604" s="15"/>
      <c r="AB604" s="15"/>
      <c r="AC604" s="15"/>
    </row>
    <row r="605" customFormat="false" ht="15.75" hidden="false" customHeight="false" outlineLevel="0" collapsed="false">
      <c r="Z605" s="15"/>
      <c r="AA605" s="15"/>
      <c r="AB605" s="15"/>
      <c r="AC605" s="15"/>
    </row>
    <row r="606" customFormat="false" ht="15.75" hidden="false" customHeight="false" outlineLevel="0" collapsed="false">
      <c r="Z606" s="15"/>
      <c r="AA606" s="15"/>
      <c r="AB606" s="15"/>
      <c r="AC606" s="15"/>
    </row>
    <row r="607" customFormat="false" ht="15.75" hidden="false" customHeight="false" outlineLevel="0" collapsed="false">
      <c r="Z607" s="15"/>
      <c r="AA607" s="15"/>
      <c r="AB607" s="15"/>
      <c r="AC607" s="15"/>
    </row>
    <row r="608" customFormat="false" ht="15.75" hidden="false" customHeight="false" outlineLevel="0" collapsed="false">
      <c r="Z608" s="15"/>
      <c r="AA608" s="15"/>
      <c r="AB608" s="15"/>
      <c r="AC608" s="15"/>
    </row>
    <row r="609" customFormat="false" ht="15.75" hidden="false" customHeight="false" outlineLevel="0" collapsed="false">
      <c r="Z609" s="15"/>
      <c r="AA609" s="15"/>
      <c r="AB609" s="15"/>
      <c r="AC609" s="15"/>
    </row>
    <row r="610" customFormat="false" ht="15.75" hidden="false" customHeight="false" outlineLevel="0" collapsed="false">
      <c r="Z610" s="15"/>
      <c r="AA610" s="15"/>
      <c r="AB610" s="15"/>
      <c r="AC610" s="15"/>
    </row>
    <row r="611" customFormat="false" ht="15.75" hidden="false" customHeight="false" outlineLevel="0" collapsed="false">
      <c r="Z611" s="15"/>
      <c r="AA611" s="15"/>
      <c r="AB611" s="15"/>
      <c r="AC611" s="15"/>
    </row>
    <row r="612" customFormat="false" ht="15.75" hidden="false" customHeight="false" outlineLevel="0" collapsed="false">
      <c r="Z612" s="15"/>
      <c r="AA612" s="15"/>
      <c r="AB612" s="15"/>
      <c r="AC612" s="15"/>
    </row>
    <row r="613" customFormat="false" ht="15.75" hidden="false" customHeight="false" outlineLevel="0" collapsed="false">
      <c r="Z613" s="15"/>
      <c r="AA613" s="15"/>
      <c r="AB613" s="15"/>
      <c r="AC613" s="15"/>
    </row>
    <row r="614" customFormat="false" ht="15.75" hidden="false" customHeight="false" outlineLevel="0" collapsed="false">
      <c r="Z614" s="15"/>
      <c r="AA614" s="15"/>
      <c r="AB614" s="15"/>
      <c r="AC614" s="15"/>
    </row>
    <row r="615" customFormat="false" ht="15.75" hidden="false" customHeight="false" outlineLevel="0" collapsed="false">
      <c r="Z615" s="15"/>
      <c r="AA615" s="15"/>
      <c r="AB615" s="15"/>
      <c r="AC615" s="15"/>
    </row>
    <row r="616" customFormat="false" ht="15.75" hidden="false" customHeight="false" outlineLevel="0" collapsed="false">
      <c r="Z616" s="15"/>
      <c r="AA616" s="15"/>
      <c r="AB616" s="15"/>
      <c r="AC616" s="15"/>
    </row>
    <row r="617" customFormat="false" ht="15.75" hidden="false" customHeight="false" outlineLevel="0" collapsed="false">
      <c r="Z617" s="15"/>
      <c r="AA617" s="15"/>
      <c r="AB617" s="15"/>
      <c r="AC617" s="15"/>
    </row>
    <row r="618" customFormat="false" ht="15.75" hidden="false" customHeight="false" outlineLevel="0" collapsed="false">
      <c r="Z618" s="15"/>
      <c r="AA618" s="15"/>
      <c r="AB618" s="15"/>
      <c r="AC618" s="15"/>
    </row>
    <row r="619" customFormat="false" ht="15.75" hidden="false" customHeight="false" outlineLevel="0" collapsed="false">
      <c r="Z619" s="15"/>
      <c r="AA619" s="15"/>
      <c r="AB619" s="15"/>
      <c r="AC619" s="15"/>
    </row>
    <row r="620" customFormat="false" ht="15.75" hidden="false" customHeight="false" outlineLevel="0" collapsed="false">
      <c r="Z620" s="15"/>
      <c r="AA620" s="15"/>
      <c r="AB620" s="15"/>
      <c r="AC620" s="15"/>
    </row>
    <row r="621" customFormat="false" ht="15.75" hidden="false" customHeight="false" outlineLevel="0" collapsed="false">
      <c r="Z621" s="15"/>
      <c r="AA621" s="15"/>
      <c r="AB621" s="15"/>
      <c r="AC621" s="15"/>
    </row>
    <row r="622" customFormat="false" ht="15.75" hidden="false" customHeight="false" outlineLevel="0" collapsed="false">
      <c r="Z622" s="15"/>
      <c r="AA622" s="15"/>
      <c r="AB622" s="15"/>
      <c r="AC622" s="15"/>
    </row>
    <row r="623" customFormat="false" ht="15.75" hidden="false" customHeight="false" outlineLevel="0" collapsed="false">
      <c r="Z623" s="15"/>
      <c r="AA623" s="15"/>
      <c r="AB623" s="15"/>
      <c r="AC623" s="15"/>
    </row>
    <row r="624" customFormat="false" ht="15.75" hidden="false" customHeight="false" outlineLevel="0" collapsed="false">
      <c r="Z624" s="15"/>
      <c r="AA624" s="15"/>
      <c r="AB624" s="15"/>
      <c r="AC624" s="15"/>
    </row>
    <row r="625" customFormat="false" ht="15.75" hidden="false" customHeight="false" outlineLevel="0" collapsed="false">
      <c r="Z625" s="15"/>
      <c r="AA625" s="15"/>
      <c r="AB625" s="15"/>
      <c r="AC625" s="15"/>
    </row>
    <row r="626" customFormat="false" ht="15.75" hidden="false" customHeight="false" outlineLevel="0" collapsed="false">
      <c r="Z626" s="15"/>
      <c r="AA626" s="15"/>
      <c r="AB626" s="15"/>
      <c r="AC626" s="15"/>
    </row>
    <row r="627" customFormat="false" ht="15.75" hidden="false" customHeight="false" outlineLevel="0" collapsed="false">
      <c r="Z627" s="15"/>
      <c r="AA627" s="15"/>
      <c r="AB627" s="15"/>
      <c r="AC627" s="15"/>
    </row>
    <row r="628" customFormat="false" ht="15.75" hidden="false" customHeight="false" outlineLevel="0" collapsed="false">
      <c r="Z628" s="15"/>
      <c r="AA628" s="15"/>
      <c r="AB628" s="15"/>
      <c r="AC628" s="15"/>
    </row>
    <row r="629" customFormat="false" ht="15.75" hidden="false" customHeight="false" outlineLevel="0" collapsed="false">
      <c r="Z629" s="15"/>
      <c r="AA629" s="15"/>
      <c r="AB629" s="15"/>
      <c r="AC629" s="15"/>
    </row>
    <row r="630" customFormat="false" ht="15.75" hidden="false" customHeight="false" outlineLevel="0" collapsed="false">
      <c r="Z630" s="15"/>
      <c r="AA630" s="15"/>
      <c r="AB630" s="15"/>
      <c r="AC630" s="15"/>
    </row>
    <row r="631" customFormat="false" ht="15.75" hidden="false" customHeight="false" outlineLevel="0" collapsed="false">
      <c r="Z631" s="15"/>
      <c r="AA631" s="15"/>
      <c r="AB631" s="15"/>
      <c r="AC631" s="15"/>
    </row>
    <row r="632" customFormat="false" ht="15.75" hidden="false" customHeight="false" outlineLevel="0" collapsed="false">
      <c r="Z632" s="15"/>
      <c r="AA632" s="15"/>
      <c r="AB632" s="15"/>
      <c r="AC632" s="15"/>
    </row>
    <row r="633" customFormat="false" ht="15.75" hidden="false" customHeight="false" outlineLevel="0" collapsed="false">
      <c r="Z633" s="15"/>
      <c r="AA633" s="15"/>
      <c r="AB633" s="15"/>
      <c r="AC633" s="15"/>
    </row>
    <row r="634" customFormat="false" ht="15.75" hidden="false" customHeight="false" outlineLevel="0" collapsed="false">
      <c r="Z634" s="15"/>
      <c r="AA634" s="15"/>
      <c r="AB634" s="15"/>
      <c r="AC634" s="15"/>
    </row>
    <row r="635" customFormat="false" ht="15.75" hidden="false" customHeight="false" outlineLevel="0" collapsed="false">
      <c r="Z635" s="15"/>
      <c r="AA635" s="15"/>
      <c r="AB635" s="15"/>
      <c r="AC635" s="15"/>
    </row>
    <row r="636" customFormat="false" ht="15.75" hidden="false" customHeight="false" outlineLevel="0" collapsed="false">
      <c r="Z636" s="15"/>
      <c r="AA636" s="15"/>
      <c r="AB636" s="15"/>
      <c r="AC636" s="15"/>
    </row>
    <row r="637" customFormat="false" ht="15.75" hidden="false" customHeight="false" outlineLevel="0" collapsed="false">
      <c r="Z637" s="15"/>
      <c r="AA637" s="15"/>
      <c r="AB637" s="15"/>
      <c r="AC637" s="15"/>
    </row>
    <row r="638" customFormat="false" ht="15.75" hidden="false" customHeight="false" outlineLevel="0" collapsed="false">
      <c r="Z638" s="15"/>
      <c r="AA638" s="15"/>
      <c r="AB638" s="15"/>
      <c r="AC638" s="15"/>
    </row>
    <row r="639" customFormat="false" ht="15.75" hidden="false" customHeight="false" outlineLevel="0" collapsed="false">
      <c r="Z639" s="15"/>
      <c r="AA639" s="15"/>
      <c r="AB639" s="15"/>
      <c r="AC639" s="15"/>
    </row>
    <row r="640" customFormat="false" ht="15.75" hidden="false" customHeight="false" outlineLevel="0" collapsed="false">
      <c r="Z640" s="15"/>
      <c r="AA640" s="15"/>
      <c r="AB640" s="15"/>
      <c r="AC640" s="15"/>
    </row>
    <row r="641" customFormat="false" ht="15.75" hidden="false" customHeight="false" outlineLevel="0" collapsed="false">
      <c r="Z641" s="15"/>
      <c r="AA641" s="15"/>
      <c r="AB641" s="15"/>
      <c r="AC641" s="15"/>
    </row>
    <row r="642" customFormat="false" ht="15.75" hidden="false" customHeight="false" outlineLevel="0" collapsed="false">
      <c r="Z642" s="15"/>
      <c r="AA642" s="15"/>
      <c r="AB642" s="15"/>
      <c r="AC642" s="15"/>
    </row>
    <row r="643" customFormat="false" ht="15.75" hidden="false" customHeight="false" outlineLevel="0" collapsed="false">
      <c r="Z643" s="15"/>
      <c r="AA643" s="15"/>
      <c r="AB643" s="15"/>
      <c r="AC643" s="15"/>
    </row>
    <row r="644" customFormat="false" ht="15.75" hidden="false" customHeight="false" outlineLevel="0" collapsed="false">
      <c r="Z644" s="15"/>
      <c r="AA644" s="15"/>
      <c r="AB644" s="15"/>
      <c r="AC644" s="15"/>
    </row>
    <row r="645" customFormat="false" ht="15.75" hidden="false" customHeight="false" outlineLevel="0" collapsed="false">
      <c r="Z645" s="15"/>
      <c r="AA645" s="15"/>
      <c r="AB645" s="15"/>
      <c r="AC645" s="15"/>
    </row>
    <row r="646" customFormat="false" ht="15.75" hidden="false" customHeight="false" outlineLevel="0" collapsed="false">
      <c r="Z646" s="15"/>
      <c r="AA646" s="15"/>
      <c r="AB646" s="15"/>
      <c r="AC646" s="15"/>
    </row>
    <row r="647" customFormat="false" ht="15.75" hidden="false" customHeight="false" outlineLevel="0" collapsed="false">
      <c r="Z647" s="15"/>
      <c r="AA647" s="15"/>
      <c r="AB647" s="15"/>
      <c r="AC647" s="15"/>
    </row>
    <row r="648" customFormat="false" ht="15.75" hidden="false" customHeight="false" outlineLevel="0" collapsed="false">
      <c r="Z648" s="15"/>
      <c r="AA648" s="15"/>
      <c r="AB648" s="15"/>
      <c r="AC648" s="15"/>
    </row>
    <row r="649" customFormat="false" ht="15.75" hidden="false" customHeight="false" outlineLevel="0" collapsed="false">
      <c r="Z649" s="15"/>
      <c r="AA649" s="15"/>
      <c r="AB649" s="15"/>
      <c r="AC649" s="15"/>
    </row>
    <row r="650" customFormat="false" ht="15.75" hidden="false" customHeight="false" outlineLevel="0" collapsed="false">
      <c r="Z650" s="15"/>
      <c r="AA650" s="15"/>
      <c r="AB650" s="15"/>
      <c r="AC650" s="15"/>
    </row>
    <row r="651" customFormat="false" ht="15.75" hidden="false" customHeight="false" outlineLevel="0" collapsed="false">
      <c r="Z651" s="15"/>
      <c r="AA651" s="15"/>
      <c r="AB651" s="15"/>
      <c r="AC651" s="15"/>
    </row>
    <row r="652" customFormat="false" ht="15.75" hidden="false" customHeight="false" outlineLevel="0" collapsed="false">
      <c r="Z652" s="15"/>
      <c r="AA652" s="15"/>
      <c r="AB652" s="15"/>
      <c r="AC652" s="15"/>
    </row>
    <row r="653" customFormat="false" ht="15.75" hidden="false" customHeight="false" outlineLevel="0" collapsed="false">
      <c r="Z653" s="15"/>
      <c r="AA653" s="15"/>
      <c r="AB653" s="15"/>
      <c r="AC653" s="15"/>
    </row>
    <row r="654" customFormat="false" ht="15.75" hidden="false" customHeight="false" outlineLevel="0" collapsed="false">
      <c r="Z654" s="15"/>
      <c r="AA654" s="15"/>
      <c r="AB654" s="15"/>
      <c r="AC654" s="15"/>
    </row>
    <row r="655" customFormat="false" ht="15.75" hidden="false" customHeight="false" outlineLevel="0" collapsed="false">
      <c r="Z655" s="15"/>
      <c r="AA655" s="15"/>
      <c r="AB655" s="15"/>
      <c r="AC655" s="15"/>
    </row>
    <row r="656" customFormat="false" ht="15.75" hidden="false" customHeight="false" outlineLevel="0" collapsed="false">
      <c r="Z656" s="15"/>
      <c r="AA656" s="15"/>
      <c r="AB656" s="15"/>
      <c r="AC656" s="15"/>
    </row>
    <row r="657" customFormat="false" ht="15.75" hidden="false" customHeight="false" outlineLevel="0" collapsed="false">
      <c r="Z657" s="15"/>
      <c r="AA657" s="15"/>
      <c r="AB657" s="15"/>
      <c r="AC657" s="15"/>
    </row>
    <row r="658" customFormat="false" ht="15.75" hidden="false" customHeight="false" outlineLevel="0" collapsed="false">
      <c r="Z658" s="15"/>
      <c r="AA658" s="15"/>
      <c r="AB658" s="15"/>
      <c r="AC658" s="15"/>
    </row>
    <row r="659" customFormat="false" ht="15.75" hidden="false" customHeight="false" outlineLevel="0" collapsed="false">
      <c r="Z659" s="15"/>
      <c r="AA659" s="15"/>
      <c r="AB659" s="15"/>
      <c r="AC659" s="15"/>
    </row>
    <row r="660" customFormat="false" ht="15.75" hidden="false" customHeight="false" outlineLevel="0" collapsed="false">
      <c r="Z660" s="15"/>
      <c r="AA660" s="15"/>
      <c r="AB660" s="15"/>
      <c r="AC660" s="15"/>
    </row>
    <row r="661" customFormat="false" ht="15.75" hidden="false" customHeight="false" outlineLevel="0" collapsed="false">
      <c r="Z661" s="15"/>
      <c r="AA661" s="15"/>
      <c r="AB661" s="15"/>
      <c r="AC661" s="15"/>
    </row>
    <row r="662" customFormat="false" ht="15.75" hidden="false" customHeight="false" outlineLevel="0" collapsed="false">
      <c r="Z662" s="15"/>
      <c r="AA662" s="15"/>
      <c r="AB662" s="15"/>
      <c r="AC662" s="15"/>
    </row>
    <row r="663" customFormat="false" ht="15.75" hidden="false" customHeight="false" outlineLevel="0" collapsed="false">
      <c r="Z663" s="15"/>
      <c r="AA663" s="15"/>
      <c r="AB663" s="15"/>
      <c r="AC663" s="15"/>
    </row>
    <row r="664" customFormat="false" ht="15.75" hidden="false" customHeight="false" outlineLevel="0" collapsed="false">
      <c r="Z664" s="15"/>
      <c r="AA664" s="15"/>
      <c r="AB664" s="15"/>
      <c r="AC664" s="15"/>
    </row>
    <row r="665" customFormat="false" ht="15.75" hidden="false" customHeight="false" outlineLevel="0" collapsed="false">
      <c r="Z665" s="15"/>
      <c r="AA665" s="15"/>
      <c r="AB665" s="15"/>
      <c r="AC665" s="15"/>
    </row>
    <row r="666" customFormat="false" ht="15.75" hidden="false" customHeight="false" outlineLevel="0" collapsed="false">
      <c r="Z666" s="15"/>
      <c r="AA666" s="15"/>
      <c r="AB666" s="15"/>
      <c r="AC666" s="15"/>
    </row>
    <row r="667" customFormat="false" ht="15.75" hidden="false" customHeight="false" outlineLevel="0" collapsed="false">
      <c r="Z667" s="15"/>
      <c r="AA667" s="15"/>
      <c r="AB667" s="15"/>
      <c r="AC667" s="15"/>
    </row>
    <row r="668" customFormat="false" ht="15.75" hidden="false" customHeight="false" outlineLevel="0" collapsed="false">
      <c r="Z668" s="15"/>
      <c r="AA668" s="15"/>
      <c r="AB668" s="15"/>
      <c r="AC668" s="15"/>
    </row>
    <row r="669" customFormat="false" ht="15.75" hidden="false" customHeight="false" outlineLevel="0" collapsed="false">
      <c r="Z669" s="15"/>
      <c r="AA669" s="15"/>
      <c r="AB669" s="15"/>
      <c r="AC669" s="15"/>
    </row>
    <row r="670" customFormat="false" ht="15.75" hidden="false" customHeight="false" outlineLevel="0" collapsed="false">
      <c r="Z670" s="15"/>
      <c r="AA670" s="15"/>
      <c r="AB670" s="15"/>
      <c r="AC670" s="15"/>
    </row>
    <row r="671" customFormat="false" ht="15.75" hidden="false" customHeight="false" outlineLevel="0" collapsed="false">
      <c r="Z671" s="15"/>
      <c r="AA671" s="15"/>
      <c r="AB671" s="15"/>
      <c r="AC671" s="15"/>
    </row>
    <row r="672" customFormat="false" ht="15.75" hidden="false" customHeight="false" outlineLevel="0" collapsed="false">
      <c r="Z672" s="15"/>
      <c r="AA672" s="15"/>
      <c r="AB672" s="15"/>
      <c r="AC672" s="15"/>
    </row>
    <row r="673" customFormat="false" ht="15.75" hidden="false" customHeight="false" outlineLevel="0" collapsed="false">
      <c r="Z673" s="15"/>
      <c r="AA673" s="15"/>
      <c r="AB673" s="15"/>
      <c r="AC673" s="15"/>
    </row>
    <row r="674" customFormat="false" ht="15.75" hidden="false" customHeight="false" outlineLevel="0" collapsed="false">
      <c r="Z674" s="15"/>
      <c r="AA674" s="15"/>
      <c r="AB674" s="15"/>
      <c r="AC674" s="15"/>
    </row>
    <row r="675" customFormat="false" ht="15.75" hidden="false" customHeight="false" outlineLevel="0" collapsed="false">
      <c r="Z675" s="15"/>
      <c r="AA675" s="15"/>
      <c r="AB675" s="15"/>
      <c r="AC675" s="15"/>
    </row>
    <row r="676" customFormat="false" ht="15.75" hidden="false" customHeight="false" outlineLevel="0" collapsed="false">
      <c r="Z676" s="15"/>
      <c r="AA676" s="15"/>
      <c r="AB676" s="15"/>
      <c r="AC676" s="15"/>
    </row>
    <row r="677" customFormat="false" ht="15.75" hidden="false" customHeight="false" outlineLevel="0" collapsed="false">
      <c r="Z677" s="15"/>
      <c r="AA677" s="15"/>
      <c r="AB677" s="15"/>
      <c r="AC677" s="15"/>
    </row>
    <row r="678" customFormat="false" ht="15.75" hidden="false" customHeight="false" outlineLevel="0" collapsed="false">
      <c r="Z678" s="15"/>
      <c r="AA678" s="15"/>
      <c r="AB678" s="15"/>
      <c r="AC678" s="15"/>
    </row>
    <row r="679" customFormat="false" ht="15.75" hidden="false" customHeight="false" outlineLevel="0" collapsed="false">
      <c r="Z679" s="15"/>
      <c r="AA679" s="15"/>
      <c r="AB679" s="15"/>
      <c r="AC679" s="15"/>
    </row>
    <row r="680" customFormat="false" ht="15.75" hidden="false" customHeight="false" outlineLevel="0" collapsed="false">
      <c r="Z680" s="15"/>
      <c r="AA680" s="15"/>
      <c r="AB680" s="15"/>
      <c r="AC680" s="15"/>
    </row>
    <row r="681" customFormat="false" ht="15.75" hidden="false" customHeight="false" outlineLevel="0" collapsed="false">
      <c r="Z681" s="15"/>
      <c r="AA681" s="15"/>
      <c r="AB681" s="15"/>
      <c r="AC681" s="15"/>
    </row>
    <row r="682" customFormat="false" ht="15.75" hidden="false" customHeight="false" outlineLevel="0" collapsed="false">
      <c r="Z682" s="15"/>
      <c r="AA682" s="15"/>
      <c r="AB682" s="15"/>
      <c r="AC682" s="15"/>
    </row>
    <row r="683" customFormat="false" ht="15.75" hidden="false" customHeight="false" outlineLevel="0" collapsed="false">
      <c r="Z683" s="15"/>
      <c r="AA683" s="15"/>
      <c r="AB683" s="15"/>
      <c r="AC683" s="15"/>
    </row>
    <row r="684" customFormat="false" ht="15.75" hidden="false" customHeight="false" outlineLevel="0" collapsed="false">
      <c r="Z684" s="15"/>
      <c r="AA684" s="15"/>
      <c r="AB684" s="15"/>
      <c r="AC684" s="15"/>
    </row>
    <row r="685" customFormat="false" ht="15.75" hidden="false" customHeight="false" outlineLevel="0" collapsed="false">
      <c r="Z685" s="15"/>
      <c r="AA685" s="15"/>
      <c r="AB685" s="15"/>
      <c r="AC685" s="15"/>
    </row>
    <row r="686" customFormat="false" ht="15.75" hidden="false" customHeight="false" outlineLevel="0" collapsed="false">
      <c r="Z686" s="15"/>
      <c r="AA686" s="15"/>
      <c r="AB686" s="15"/>
      <c r="AC686" s="15"/>
    </row>
    <row r="687" customFormat="false" ht="15.75" hidden="false" customHeight="false" outlineLevel="0" collapsed="false">
      <c r="Z687" s="15"/>
      <c r="AA687" s="15"/>
      <c r="AB687" s="15"/>
      <c r="AC687" s="15"/>
    </row>
    <row r="688" customFormat="false" ht="15.75" hidden="false" customHeight="false" outlineLevel="0" collapsed="false">
      <c r="Z688" s="15"/>
      <c r="AA688" s="15"/>
      <c r="AB688" s="15"/>
      <c r="AC688" s="15"/>
    </row>
    <row r="689" customFormat="false" ht="15.75" hidden="false" customHeight="false" outlineLevel="0" collapsed="false">
      <c r="Z689" s="15"/>
      <c r="AA689" s="15"/>
      <c r="AB689" s="15"/>
      <c r="AC689" s="15"/>
    </row>
    <row r="690" customFormat="false" ht="15.75" hidden="false" customHeight="false" outlineLevel="0" collapsed="false">
      <c r="Z690" s="15"/>
      <c r="AA690" s="15"/>
      <c r="AB690" s="15"/>
      <c r="AC690" s="15"/>
    </row>
    <row r="691" customFormat="false" ht="15.75" hidden="false" customHeight="false" outlineLevel="0" collapsed="false">
      <c r="Z691" s="15"/>
      <c r="AA691" s="15"/>
      <c r="AB691" s="15"/>
      <c r="AC691" s="15"/>
    </row>
    <row r="692" customFormat="false" ht="15.75" hidden="false" customHeight="false" outlineLevel="0" collapsed="false">
      <c r="Z692" s="15"/>
      <c r="AA692" s="15"/>
      <c r="AB692" s="15"/>
      <c r="AC692" s="15"/>
    </row>
    <row r="693" customFormat="false" ht="15.75" hidden="false" customHeight="false" outlineLevel="0" collapsed="false">
      <c r="Z693" s="15"/>
      <c r="AA693" s="15"/>
      <c r="AB693" s="15"/>
      <c r="AC693" s="15"/>
    </row>
    <row r="694" customFormat="false" ht="15.75" hidden="false" customHeight="false" outlineLevel="0" collapsed="false">
      <c r="Z694" s="15"/>
      <c r="AA694" s="15"/>
      <c r="AB694" s="15"/>
      <c r="AC694" s="15"/>
    </row>
    <row r="695" customFormat="false" ht="15.75" hidden="false" customHeight="false" outlineLevel="0" collapsed="false">
      <c r="Z695" s="15"/>
      <c r="AA695" s="15"/>
      <c r="AB695" s="15"/>
      <c r="AC695" s="15"/>
    </row>
    <row r="696" customFormat="false" ht="15.75" hidden="false" customHeight="false" outlineLevel="0" collapsed="false">
      <c r="Z696" s="15"/>
      <c r="AA696" s="15"/>
      <c r="AB696" s="15"/>
      <c r="AC696" s="15"/>
    </row>
    <row r="697" customFormat="false" ht="15.75" hidden="false" customHeight="false" outlineLevel="0" collapsed="false">
      <c r="Z697" s="15"/>
      <c r="AA697" s="15"/>
      <c r="AB697" s="15"/>
      <c r="AC697" s="15"/>
    </row>
    <row r="698" customFormat="false" ht="15.75" hidden="false" customHeight="false" outlineLevel="0" collapsed="false">
      <c r="Z698" s="15"/>
      <c r="AA698" s="15"/>
      <c r="AB698" s="15"/>
      <c r="AC698" s="15"/>
    </row>
    <row r="699" customFormat="false" ht="15.75" hidden="false" customHeight="false" outlineLevel="0" collapsed="false">
      <c r="Z699" s="15"/>
      <c r="AA699" s="15"/>
      <c r="AB699" s="15"/>
      <c r="AC699" s="15"/>
    </row>
    <row r="700" customFormat="false" ht="15.75" hidden="false" customHeight="false" outlineLevel="0" collapsed="false">
      <c r="Z700" s="15"/>
      <c r="AA700" s="15"/>
      <c r="AB700" s="15"/>
      <c r="AC700" s="15"/>
    </row>
    <row r="701" customFormat="false" ht="15.75" hidden="false" customHeight="false" outlineLevel="0" collapsed="false">
      <c r="Z701" s="15"/>
      <c r="AA701" s="15"/>
      <c r="AB701" s="15"/>
      <c r="AC701" s="15"/>
    </row>
    <row r="702" customFormat="false" ht="15.75" hidden="false" customHeight="false" outlineLevel="0" collapsed="false">
      <c r="Z702" s="15"/>
      <c r="AA702" s="15"/>
      <c r="AB702" s="15"/>
      <c r="AC702" s="15"/>
    </row>
    <row r="703" customFormat="false" ht="15.75" hidden="false" customHeight="false" outlineLevel="0" collapsed="false">
      <c r="Z703" s="15"/>
      <c r="AA703" s="15"/>
      <c r="AB703" s="15"/>
      <c r="AC703" s="15"/>
    </row>
    <row r="704" customFormat="false" ht="15.75" hidden="false" customHeight="false" outlineLevel="0" collapsed="false">
      <c r="Z704" s="15"/>
      <c r="AA704" s="15"/>
      <c r="AB704" s="15"/>
      <c r="AC704" s="15"/>
    </row>
    <row r="705" customFormat="false" ht="15.75" hidden="false" customHeight="false" outlineLevel="0" collapsed="false">
      <c r="Z705" s="15"/>
      <c r="AA705" s="15"/>
      <c r="AB705" s="15"/>
      <c r="AC705" s="15"/>
    </row>
    <row r="706" customFormat="false" ht="15.75" hidden="false" customHeight="false" outlineLevel="0" collapsed="false">
      <c r="Z706" s="15"/>
      <c r="AA706" s="15"/>
      <c r="AB706" s="15"/>
      <c r="AC706" s="15"/>
    </row>
    <row r="707" customFormat="false" ht="15.75" hidden="false" customHeight="false" outlineLevel="0" collapsed="false">
      <c r="Z707" s="15"/>
      <c r="AA707" s="15"/>
      <c r="AB707" s="15"/>
      <c r="AC707" s="15"/>
    </row>
    <row r="708" customFormat="false" ht="15.75" hidden="false" customHeight="false" outlineLevel="0" collapsed="false">
      <c r="Z708" s="15"/>
      <c r="AA708" s="15"/>
      <c r="AB708" s="15"/>
      <c r="AC708" s="15"/>
    </row>
    <row r="709" customFormat="false" ht="15.75" hidden="false" customHeight="false" outlineLevel="0" collapsed="false">
      <c r="Z709" s="15"/>
      <c r="AA709" s="15"/>
      <c r="AB709" s="15"/>
      <c r="AC709" s="15"/>
    </row>
    <row r="710" customFormat="false" ht="15.75" hidden="false" customHeight="false" outlineLevel="0" collapsed="false">
      <c r="Z710" s="15"/>
      <c r="AA710" s="15"/>
      <c r="AB710" s="15"/>
      <c r="AC710" s="15"/>
    </row>
    <row r="711" customFormat="false" ht="15.75" hidden="false" customHeight="false" outlineLevel="0" collapsed="false">
      <c r="Z711" s="15"/>
      <c r="AA711" s="15"/>
      <c r="AB711" s="15"/>
      <c r="AC711" s="15"/>
    </row>
    <row r="712" customFormat="false" ht="15.75" hidden="false" customHeight="false" outlineLevel="0" collapsed="false">
      <c r="Z712" s="15"/>
      <c r="AA712" s="15"/>
      <c r="AB712" s="15"/>
      <c r="AC712" s="15"/>
    </row>
    <row r="713" customFormat="false" ht="15.75" hidden="false" customHeight="false" outlineLevel="0" collapsed="false">
      <c r="Z713" s="15"/>
      <c r="AA713" s="15"/>
      <c r="AB713" s="15"/>
      <c r="AC713" s="15"/>
    </row>
    <row r="714" customFormat="false" ht="15.75" hidden="false" customHeight="false" outlineLevel="0" collapsed="false">
      <c r="Z714" s="15"/>
      <c r="AA714" s="15"/>
      <c r="AB714" s="15"/>
      <c r="AC714" s="15"/>
    </row>
    <row r="715" customFormat="false" ht="15.75" hidden="false" customHeight="false" outlineLevel="0" collapsed="false">
      <c r="Z715" s="15"/>
      <c r="AA715" s="15"/>
      <c r="AB715" s="15"/>
      <c r="AC715" s="15"/>
    </row>
    <row r="716" customFormat="false" ht="15.75" hidden="false" customHeight="false" outlineLevel="0" collapsed="false">
      <c r="Z716" s="15"/>
      <c r="AA716" s="15"/>
      <c r="AB716" s="15"/>
      <c r="AC716" s="15"/>
    </row>
    <row r="717" customFormat="false" ht="15.75" hidden="false" customHeight="false" outlineLevel="0" collapsed="false">
      <c r="Z717" s="15"/>
      <c r="AA717" s="15"/>
      <c r="AB717" s="15"/>
      <c r="AC717" s="15"/>
    </row>
    <row r="718" customFormat="false" ht="15.75" hidden="false" customHeight="false" outlineLevel="0" collapsed="false">
      <c r="Z718" s="15"/>
      <c r="AA718" s="15"/>
      <c r="AB718" s="15"/>
      <c r="AC718" s="15"/>
    </row>
    <row r="719" customFormat="false" ht="15.75" hidden="false" customHeight="false" outlineLevel="0" collapsed="false">
      <c r="Z719" s="15"/>
      <c r="AA719" s="15"/>
      <c r="AB719" s="15"/>
      <c r="AC719" s="15"/>
    </row>
    <row r="720" customFormat="false" ht="15.75" hidden="false" customHeight="false" outlineLevel="0" collapsed="false">
      <c r="Z720" s="15"/>
      <c r="AA720" s="15"/>
      <c r="AB720" s="15"/>
      <c r="AC720" s="15"/>
    </row>
    <row r="721" customFormat="false" ht="15.75" hidden="false" customHeight="false" outlineLevel="0" collapsed="false">
      <c r="Z721" s="15"/>
      <c r="AA721" s="15"/>
      <c r="AB721" s="15"/>
      <c r="AC721" s="15"/>
    </row>
    <row r="722" customFormat="false" ht="15.75" hidden="false" customHeight="false" outlineLevel="0" collapsed="false">
      <c r="Z722" s="15"/>
      <c r="AA722" s="15"/>
      <c r="AB722" s="15"/>
      <c r="AC722" s="15"/>
    </row>
    <row r="723" customFormat="false" ht="15.75" hidden="false" customHeight="false" outlineLevel="0" collapsed="false">
      <c r="Z723" s="15"/>
      <c r="AA723" s="15"/>
      <c r="AB723" s="15"/>
      <c r="AC723" s="15"/>
    </row>
    <row r="724" customFormat="false" ht="15.75" hidden="false" customHeight="false" outlineLevel="0" collapsed="false">
      <c r="Z724" s="15"/>
      <c r="AA724" s="15"/>
      <c r="AB724" s="15"/>
      <c r="AC724" s="15"/>
    </row>
    <row r="725" customFormat="false" ht="15.75" hidden="false" customHeight="false" outlineLevel="0" collapsed="false">
      <c r="Z725" s="15"/>
      <c r="AA725" s="15"/>
      <c r="AB725" s="15"/>
      <c r="AC725" s="15"/>
    </row>
    <row r="726" customFormat="false" ht="15.75" hidden="false" customHeight="false" outlineLevel="0" collapsed="false">
      <c r="Z726" s="15"/>
      <c r="AA726" s="15"/>
      <c r="AB726" s="15"/>
      <c r="AC726" s="15"/>
    </row>
    <row r="727" customFormat="false" ht="15.75" hidden="false" customHeight="false" outlineLevel="0" collapsed="false">
      <c r="Z727" s="15"/>
      <c r="AA727" s="15"/>
      <c r="AB727" s="15"/>
      <c r="AC727" s="15"/>
    </row>
    <row r="728" customFormat="false" ht="15.75" hidden="false" customHeight="false" outlineLevel="0" collapsed="false">
      <c r="Z728" s="15"/>
      <c r="AA728" s="15"/>
      <c r="AB728" s="15"/>
      <c r="AC728" s="15"/>
    </row>
    <row r="729" customFormat="false" ht="15.75" hidden="false" customHeight="false" outlineLevel="0" collapsed="false">
      <c r="Z729" s="15"/>
      <c r="AA729" s="15"/>
      <c r="AB729" s="15"/>
      <c r="AC729" s="15"/>
    </row>
    <row r="730" customFormat="false" ht="15.75" hidden="false" customHeight="false" outlineLevel="0" collapsed="false">
      <c r="Z730" s="15"/>
      <c r="AA730" s="15"/>
      <c r="AB730" s="15"/>
      <c r="AC730" s="15"/>
    </row>
    <row r="731" customFormat="false" ht="15.75" hidden="false" customHeight="false" outlineLevel="0" collapsed="false">
      <c r="Z731" s="15"/>
      <c r="AA731" s="15"/>
      <c r="AB731" s="15"/>
      <c r="AC731" s="15"/>
    </row>
    <row r="732" customFormat="false" ht="15.75" hidden="false" customHeight="false" outlineLevel="0" collapsed="false">
      <c r="Z732" s="15"/>
      <c r="AA732" s="15"/>
      <c r="AB732" s="15"/>
      <c r="AC732" s="15"/>
    </row>
    <row r="733" customFormat="false" ht="15.75" hidden="false" customHeight="false" outlineLevel="0" collapsed="false">
      <c r="Z733" s="15"/>
      <c r="AA733" s="15"/>
      <c r="AB733" s="15"/>
      <c r="AC733" s="15"/>
    </row>
    <row r="734" customFormat="false" ht="15.75" hidden="false" customHeight="false" outlineLevel="0" collapsed="false">
      <c r="Z734" s="15"/>
      <c r="AA734" s="15"/>
      <c r="AB734" s="15"/>
      <c r="AC734" s="15"/>
    </row>
    <row r="735" customFormat="false" ht="15.75" hidden="false" customHeight="false" outlineLevel="0" collapsed="false">
      <c r="Z735" s="15"/>
      <c r="AA735" s="15"/>
      <c r="AB735" s="15"/>
      <c r="AC735" s="15"/>
    </row>
    <row r="736" customFormat="false" ht="15.75" hidden="false" customHeight="false" outlineLevel="0" collapsed="false">
      <c r="Z736" s="15"/>
      <c r="AA736" s="15"/>
      <c r="AB736" s="15"/>
      <c r="AC736" s="15"/>
    </row>
    <row r="737" customFormat="false" ht="15.75" hidden="false" customHeight="false" outlineLevel="0" collapsed="false">
      <c r="Z737" s="15"/>
      <c r="AA737" s="15"/>
      <c r="AB737" s="15"/>
      <c r="AC737" s="15"/>
    </row>
    <row r="738" customFormat="false" ht="15.75" hidden="false" customHeight="false" outlineLevel="0" collapsed="false">
      <c r="Z738" s="15"/>
      <c r="AA738" s="15"/>
      <c r="AB738" s="15"/>
      <c r="AC738" s="15"/>
    </row>
    <row r="739" customFormat="false" ht="15.75" hidden="false" customHeight="false" outlineLevel="0" collapsed="false">
      <c r="Z739" s="15"/>
      <c r="AA739" s="15"/>
      <c r="AB739" s="15"/>
      <c r="AC739" s="15"/>
    </row>
    <row r="740" customFormat="false" ht="15.75" hidden="false" customHeight="false" outlineLevel="0" collapsed="false">
      <c r="Z740" s="15"/>
      <c r="AA740" s="15"/>
      <c r="AB740" s="15"/>
      <c r="AC740" s="15"/>
    </row>
    <row r="741" customFormat="false" ht="15.75" hidden="false" customHeight="false" outlineLevel="0" collapsed="false">
      <c r="Z741" s="15"/>
      <c r="AA741" s="15"/>
      <c r="AB741" s="15"/>
      <c r="AC741" s="15"/>
    </row>
    <row r="742" customFormat="false" ht="15.75" hidden="false" customHeight="false" outlineLevel="0" collapsed="false">
      <c r="Z742" s="15"/>
      <c r="AA742" s="15"/>
      <c r="AB742" s="15"/>
      <c r="AC742" s="15"/>
    </row>
    <row r="743" customFormat="false" ht="15.75" hidden="false" customHeight="false" outlineLevel="0" collapsed="false">
      <c r="Z743" s="15"/>
      <c r="AA743" s="15"/>
      <c r="AB743" s="15"/>
      <c r="AC743" s="15"/>
    </row>
    <row r="744" customFormat="false" ht="15.75" hidden="false" customHeight="false" outlineLevel="0" collapsed="false">
      <c r="Z744" s="15"/>
      <c r="AA744" s="15"/>
      <c r="AB744" s="15"/>
      <c r="AC744" s="15"/>
    </row>
    <row r="745" customFormat="false" ht="15.75" hidden="false" customHeight="false" outlineLevel="0" collapsed="false">
      <c r="Z745" s="15"/>
      <c r="AA745" s="15"/>
      <c r="AB745" s="15"/>
      <c r="AC745" s="15"/>
    </row>
    <row r="746" customFormat="false" ht="15.75" hidden="false" customHeight="false" outlineLevel="0" collapsed="false">
      <c r="Z746" s="15"/>
      <c r="AA746" s="15"/>
      <c r="AB746" s="15"/>
      <c r="AC746" s="15"/>
    </row>
    <row r="747" customFormat="false" ht="15.75" hidden="false" customHeight="false" outlineLevel="0" collapsed="false">
      <c r="Z747" s="15"/>
      <c r="AA747" s="15"/>
      <c r="AB747" s="15"/>
      <c r="AC747" s="15"/>
    </row>
    <row r="748" customFormat="false" ht="15.75" hidden="false" customHeight="false" outlineLevel="0" collapsed="false">
      <c r="Z748" s="15"/>
      <c r="AA748" s="15"/>
      <c r="AB748" s="15"/>
      <c r="AC748" s="15"/>
    </row>
    <row r="749" customFormat="false" ht="15.75" hidden="false" customHeight="false" outlineLevel="0" collapsed="false">
      <c r="Z749" s="15"/>
      <c r="AA749" s="15"/>
      <c r="AB749" s="15"/>
      <c r="AC749" s="15"/>
    </row>
    <row r="750" customFormat="false" ht="15.75" hidden="false" customHeight="false" outlineLevel="0" collapsed="false">
      <c r="Z750" s="15"/>
      <c r="AA750" s="15"/>
      <c r="AB750" s="15"/>
      <c r="AC750" s="15"/>
    </row>
    <row r="751" customFormat="false" ht="15.75" hidden="false" customHeight="false" outlineLevel="0" collapsed="false">
      <c r="Z751" s="15"/>
      <c r="AA751" s="15"/>
      <c r="AB751" s="15"/>
      <c r="AC751" s="15"/>
    </row>
    <row r="752" customFormat="false" ht="15.75" hidden="false" customHeight="false" outlineLevel="0" collapsed="false">
      <c r="Z752" s="15"/>
      <c r="AA752" s="15"/>
      <c r="AB752" s="15"/>
      <c r="AC752" s="15"/>
    </row>
    <row r="753" customFormat="false" ht="15.75" hidden="false" customHeight="false" outlineLevel="0" collapsed="false">
      <c r="Z753" s="15"/>
      <c r="AA753" s="15"/>
      <c r="AB753" s="15"/>
      <c r="AC753" s="15"/>
    </row>
    <row r="754" customFormat="false" ht="15.75" hidden="false" customHeight="false" outlineLevel="0" collapsed="false">
      <c r="Z754" s="15"/>
      <c r="AA754" s="15"/>
      <c r="AB754" s="15"/>
      <c r="AC754" s="15"/>
    </row>
    <row r="755" customFormat="false" ht="15.75" hidden="false" customHeight="false" outlineLevel="0" collapsed="false">
      <c r="Z755" s="15"/>
      <c r="AA755" s="15"/>
      <c r="AB755" s="15"/>
      <c r="AC755" s="15"/>
    </row>
    <row r="756" customFormat="false" ht="15.75" hidden="false" customHeight="false" outlineLevel="0" collapsed="false">
      <c r="Z756" s="15"/>
      <c r="AA756" s="15"/>
      <c r="AB756" s="15"/>
      <c r="AC756" s="15"/>
    </row>
    <row r="757" customFormat="false" ht="15.75" hidden="false" customHeight="false" outlineLevel="0" collapsed="false">
      <c r="Z757" s="15"/>
      <c r="AA757" s="15"/>
      <c r="AB757" s="15"/>
      <c r="AC757" s="15"/>
    </row>
    <row r="758" customFormat="false" ht="15.75" hidden="false" customHeight="false" outlineLevel="0" collapsed="false">
      <c r="Z758" s="15"/>
      <c r="AA758" s="15"/>
      <c r="AB758" s="15"/>
      <c r="AC758" s="15"/>
    </row>
    <row r="759" customFormat="false" ht="15.75" hidden="false" customHeight="false" outlineLevel="0" collapsed="false">
      <c r="Z759" s="15"/>
      <c r="AA759" s="15"/>
      <c r="AB759" s="15"/>
      <c r="AC759" s="15"/>
    </row>
    <row r="760" customFormat="false" ht="15.75" hidden="false" customHeight="false" outlineLevel="0" collapsed="false">
      <c r="Z760" s="15"/>
      <c r="AA760" s="15"/>
      <c r="AB760" s="15"/>
      <c r="AC760" s="15"/>
    </row>
    <row r="761" customFormat="false" ht="15.75" hidden="false" customHeight="false" outlineLevel="0" collapsed="false">
      <c r="Z761" s="15"/>
      <c r="AA761" s="15"/>
      <c r="AB761" s="15"/>
      <c r="AC761" s="15"/>
    </row>
    <row r="762" customFormat="false" ht="15.75" hidden="false" customHeight="false" outlineLevel="0" collapsed="false">
      <c r="Z762" s="15"/>
      <c r="AA762" s="15"/>
      <c r="AB762" s="15"/>
      <c r="AC762" s="15"/>
    </row>
    <row r="763" customFormat="false" ht="15.75" hidden="false" customHeight="false" outlineLevel="0" collapsed="false">
      <c r="Z763" s="15"/>
      <c r="AA763" s="15"/>
      <c r="AB763" s="15"/>
      <c r="AC763" s="15"/>
    </row>
    <row r="764" customFormat="false" ht="15.75" hidden="false" customHeight="false" outlineLevel="0" collapsed="false">
      <c r="Z764" s="15"/>
      <c r="AA764" s="15"/>
      <c r="AB764" s="15"/>
      <c r="AC764" s="15"/>
    </row>
    <row r="765" customFormat="false" ht="15.75" hidden="false" customHeight="false" outlineLevel="0" collapsed="false">
      <c r="Z765" s="15"/>
      <c r="AA765" s="15"/>
      <c r="AB765" s="15"/>
      <c r="AC765" s="15"/>
    </row>
    <row r="766" customFormat="false" ht="15.75" hidden="false" customHeight="false" outlineLevel="0" collapsed="false">
      <c r="Z766" s="15"/>
      <c r="AA766" s="15"/>
      <c r="AB766" s="15"/>
      <c r="AC766" s="15"/>
    </row>
    <row r="767" customFormat="false" ht="15.75" hidden="false" customHeight="false" outlineLevel="0" collapsed="false">
      <c r="Z767" s="15"/>
      <c r="AA767" s="15"/>
      <c r="AB767" s="15"/>
      <c r="AC767" s="15"/>
    </row>
    <row r="768" customFormat="false" ht="15.75" hidden="false" customHeight="false" outlineLevel="0" collapsed="false">
      <c r="Z768" s="15"/>
      <c r="AA768" s="15"/>
      <c r="AB768" s="15"/>
      <c r="AC768" s="15"/>
    </row>
    <row r="769" customFormat="false" ht="15.75" hidden="false" customHeight="false" outlineLevel="0" collapsed="false">
      <c r="Z769" s="15"/>
      <c r="AA769" s="15"/>
      <c r="AB769" s="15"/>
      <c r="AC769" s="15"/>
    </row>
    <row r="770" customFormat="false" ht="15.75" hidden="false" customHeight="false" outlineLevel="0" collapsed="false">
      <c r="Z770" s="15"/>
      <c r="AA770" s="15"/>
      <c r="AB770" s="15"/>
      <c r="AC770" s="15"/>
    </row>
    <row r="771" customFormat="false" ht="15.75" hidden="false" customHeight="false" outlineLevel="0" collapsed="false">
      <c r="Z771" s="15"/>
      <c r="AA771" s="15"/>
      <c r="AB771" s="15"/>
      <c r="AC771" s="15"/>
    </row>
    <row r="772" customFormat="false" ht="15.75" hidden="false" customHeight="false" outlineLevel="0" collapsed="false">
      <c r="Z772" s="15"/>
      <c r="AA772" s="15"/>
      <c r="AB772" s="15"/>
      <c r="AC772" s="15"/>
    </row>
    <row r="773" customFormat="false" ht="15.75" hidden="false" customHeight="false" outlineLevel="0" collapsed="false">
      <c r="Z773" s="15"/>
      <c r="AA773" s="15"/>
      <c r="AB773" s="15"/>
      <c r="AC773" s="15"/>
    </row>
    <row r="774" customFormat="false" ht="15.75" hidden="false" customHeight="false" outlineLevel="0" collapsed="false">
      <c r="Z774" s="15"/>
      <c r="AA774" s="15"/>
      <c r="AB774" s="15"/>
      <c r="AC774" s="15"/>
    </row>
    <row r="775" customFormat="false" ht="15.75" hidden="false" customHeight="false" outlineLevel="0" collapsed="false">
      <c r="Z775" s="15"/>
      <c r="AA775" s="15"/>
      <c r="AB775" s="15"/>
      <c r="AC775" s="15"/>
    </row>
    <row r="776" customFormat="false" ht="15.75" hidden="false" customHeight="false" outlineLevel="0" collapsed="false">
      <c r="Z776" s="15"/>
      <c r="AA776" s="15"/>
      <c r="AB776" s="15"/>
      <c r="AC776" s="15"/>
    </row>
    <row r="777" customFormat="false" ht="15.75" hidden="false" customHeight="false" outlineLevel="0" collapsed="false">
      <c r="Z777" s="15"/>
      <c r="AA777" s="15"/>
      <c r="AB777" s="15"/>
      <c r="AC777" s="15"/>
    </row>
    <row r="778" customFormat="false" ht="15.75" hidden="false" customHeight="false" outlineLevel="0" collapsed="false">
      <c r="Z778" s="15"/>
      <c r="AA778" s="15"/>
      <c r="AB778" s="15"/>
      <c r="AC778" s="15"/>
    </row>
    <row r="779" customFormat="false" ht="15.75" hidden="false" customHeight="false" outlineLevel="0" collapsed="false">
      <c r="Z779" s="15"/>
      <c r="AA779" s="15"/>
      <c r="AB779" s="15"/>
      <c r="AC779" s="15"/>
    </row>
    <row r="780" customFormat="false" ht="15.75" hidden="false" customHeight="false" outlineLevel="0" collapsed="false">
      <c r="Z780" s="15"/>
      <c r="AA780" s="15"/>
      <c r="AB780" s="15"/>
      <c r="AC780" s="15"/>
    </row>
    <row r="781" customFormat="false" ht="15.75" hidden="false" customHeight="false" outlineLevel="0" collapsed="false">
      <c r="Z781" s="15"/>
      <c r="AA781" s="15"/>
      <c r="AB781" s="15"/>
      <c r="AC781" s="15"/>
    </row>
    <row r="782" customFormat="false" ht="15.75" hidden="false" customHeight="false" outlineLevel="0" collapsed="false">
      <c r="Z782" s="15"/>
      <c r="AA782" s="15"/>
      <c r="AB782" s="15"/>
      <c r="AC782" s="15"/>
    </row>
    <row r="783" customFormat="false" ht="15.75" hidden="false" customHeight="false" outlineLevel="0" collapsed="false">
      <c r="Z783" s="15"/>
      <c r="AA783" s="15"/>
      <c r="AB783" s="15"/>
      <c r="AC783" s="15"/>
    </row>
    <row r="784" customFormat="false" ht="15.75" hidden="false" customHeight="false" outlineLevel="0" collapsed="false">
      <c r="Z784" s="15"/>
      <c r="AA784" s="15"/>
      <c r="AB784" s="15"/>
      <c r="AC784" s="15"/>
    </row>
    <row r="785" customFormat="false" ht="15.75" hidden="false" customHeight="false" outlineLevel="0" collapsed="false">
      <c r="Z785" s="15"/>
      <c r="AA785" s="15"/>
      <c r="AB785" s="15"/>
      <c r="AC785" s="15"/>
    </row>
    <row r="786" customFormat="false" ht="15.75" hidden="false" customHeight="false" outlineLevel="0" collapsed="false">
      <c r="Z786" s="15"/>
      <c r="AA786" s="15"/>
      <c r="AB786" s="15"/>
      <c r="AC786" s="15"/>
    </row>
    <row r="787" customFormat="false" ht="15.75" hidden="false" customHeight="false" outlineLevel="0" collapsed="false">
      <c r="Z787" s="15"/>
      <c r="AA787" s="15"/>
      <c r="AB787" s="15"/>
      <c r="AC787" s="15"/>
    </row>
    <row r="788" customFormat="false" ht="15.75" hidden="false" customHeight="false" outlineLevel="0" collapsed="false">
      <c r="Z788" s="15"/>
      <c r="AA788" s="15"/>
      <c r="AB788" s="15"/>
      <c r="AC788" s="15"/>
    </row>
    <row r="789" customFormat="false" ht="15.75" hidden="false" customHeight="false" outlineLevel="0" collapsed="false">
      <c r="Z789" s="15"/>
      <c r="AA789" s="15"/>
      <c r="AB789" s="15"/>
      <c r="AC789" s="15"/>
    </row>
    <row r="790" customFormat="false" ht="15.75" hidden="false" customHeight="false" outlineLevel="0" collapsed="false">
      <c r="Z790" s="15"/>
      <c r="AA790" s="15"/>
      <c r="AB790" s="15"/>
      <c r="AC790" s="15"/>
    </row>
    <row r="791" customFormat="false" ht="15.75" hidden="false" customHeight="false" outlineLevel="0" collapsed="false">
      <c r="Z791" s="15"/>
      <c r="AA791" s="15"/>
      <c r="AB791" s="15"/>
      <c r="AC791" s="15"/>
    </row>
    <row r="792" customFormat="false" ht="15.75" hidden="false" customHeight="false" outlineLevel="0" collapsed="false">
      <c r="Z792" s="15"/>
      <c r="AA792" s="15"/>
      <c r="AB792" s="15"/>
      <c r="AC792" s="15"/>
    </row>
    <row r="793" customFormat="false" ht="15.75" hidden="false" customHeight="false" outlineLevel="0" collapsed="false">
      <c r="Z793" s="15"/>
      <c r="AA793" s="15"/>
      <c r="AB793" s="15"/>
      <c r="AC793" s="15"/>
    </row>
    <row r="794" customFormat="false" ht="15.75" hidden="false" customHeight="false" outlineLevel="0" collapsed="false">
      <c r="Z794" s="15"/>
      <c r="AA794" s="15"/>
      <c r="AB794" s="15"/>
      <c r="AC794" s="15"/>
    </row>
    <row r="795" customFormat="false" ht="15.75" hidden="false" customHeight="false" outlineLevel="0" collapsed="false">
      <c r="Z795" s="15"/>
      <c r="AA795" s="15"/>
      <c r="AB795" s="15"/>
      <c r="AC795" s="15"/>
    </row>
    <row r="796" customFormat="false" ht="15.75" hidden="false" customHeight="false" outlineLevel="0" collapsed="false">
      <c r="Z796" s="15"/>
      <c r="AA796" s="15"/>
      <c r="AB796" s="15"/>
      <c r="AC796" s="15"/>
    </row>
    <row r="797" customFormat="false" ht="15.75" hidden="false" customHeight="false" outlineLevel="0" collapsed="false">
      <c r="Z797" s="15"/>
      <c r="AA797" s="15"/>
      <c r="AB797" s="15"/>
      <c r="AC797" s="15"/>
    </row>
    <row r="798" customFormat="false" ht="15.75" hidden="false" customHeight="false" outlineLevel="0" collapsed="false">
      <c r="Z798" s="15"/>
      <c r="AA798" s="15"/>
      <c r="AB798" s="15"/>
      <c r="AC798" s="15"/>
    </row>
    <row r="799" customFormat="false" ht="15.75" hidden="false" customHeight="false" outlineLevel="0" collapsed="false">
      <c r="Z799" s="15"/>
      <c r="AA799" s="15"/>
      <c r="AB799" s="15"/>
      <c r="AC799" s="15"/>
    </row>
    <row r="800" customFormat="false" ht="15.75" hidden="false" customHeight="false" outlineLevel="0" collapsed="false">
      <c r="Z800" s="15"/>
      <c r="AA800" s="15"/>
      <c r="AB800" s="15"/>
      <c r="AC800" s="15"/>
    </row>
    <row r="801" customFormat="false" ht="15.75" hidden="false" customHeight="false" outlineLevel="0" collapsed="false">
      <c r="Z801" s="15"/>
      <c r="AA801" s="15"/>
      <c r="AB801" s="15"/>
      <c r="AC801" s="15"/>
    </row>
    <row r="802" customFormat="false" ht="15.75" hidden="false" customHeight="false" outlineLevel="0" collapsed="false">
      <c r="Z802" s="15"/>
      <c r="AA802" s="15"/>
      <c r="AB802" s="15"/>
      <c r="AC802" s="15"/>
    </row>
    <row r="803" customFormat="false" ht="15.75" hidden="false" customHeight="false" outlineLevel="0" collapsed="false">
      <c r="Z803" s="15"/>
      <c r="AA803" s="15"/>
      <c r="AB803" s="15"/>
      <c r="AC803" s="15"/>
    </row>
    <row r="804" customFormat="false" ht="15.75" hidden="false" customHeight="false" outlineLevel="0" collapsed="false">
      <c r="Z804" s="15"/>
      <c r="AA804" s="15"/>
      <c r="AB804" s="15"/>
      <c r="AC804" s="15"/>
    </row>
    <row r="805" customFormat="false" ht="15.75" hidden="false" customHeight="false" outlineLevel="0" collapsed="false">
      <c r="Z805" s="15"/>
      <c r="AA805" s="15"/>
      <c r="AB805" s="15"/>
      <c r="AC805" s="15"/>
    </row>
    <row r="806" customFormat="false" ht="15.75" hidden="false" customHeight="false" outlineLevel="0" collapsed="false">
      <c r="Z806" s="15"/>
      <c r="AA806" s="15"/>
      <c r="AB806" s="15"/>
      <c r="AC806" s="15"/>
    </row>
    <row r="807" customFormat="false" ht="15.75" hidden="false" customHeight="false" outlineLevel="0" collapsed="false">
      <c r="Z807" s="15"/>
      <c r="AA807" s="15"/>
      <c r="AB807" s="15"/>
      <c r="AC807" s="15"/>
    </row>
    <row r="808" customFormat="false" ht="15.75" hidden="false" customHeight="false" outlineLevel="0" collapsed="false">
      <c r="Z808" s="15"/>
      <c r="AA808" s="15"/>
      <c r="AB808" s="15"/>
      <c r="AC808" s="15"/>
    </row>
    <row r="809" customFormat="false" ht="15.75" hidden="false" customHeight="false" outlineLevel="0" collapsed="false">
      <c r="Z809" s="15"/>
      <c r="AA809" s="15"/>
      <c r="AB809" s="15"/>
      <c r="AC809" s="15"/>
    </row>
    <row r="810" customFormat="false" ht="15.75" hidden="false" customHeight="false" outlineLevel="0" collapsed="false">
      <c r="Z810" s="15"/>
      <c r="AA810" s="15"/>
      <c r="AB810" s="15"/>
      <c r="AC810" s="15"/>
    </row>
    <row r="811" customFormat="false" ht="15.75" hidden="false" customHeight="false" outlineLevel="0" collapsed="false">
      <c r="Z811" s="15"/>
      <c r="AA811" s="15"/>
      <c r="AB811" s="15"/>
      <c r="AC811" s="15"/>
    </row>
    <row r="812" customFormat="false" ht="15.75" hidden="false" customHeight="false" outlineLevel="0" collapsed="false">
      <c r="Z812" s="15"/>
      <c r="AA812" s="15"/>
      <c r="AB812" s="15"/>
      <c r="AC812" s="15"/>
    </row>
    <row r="813" customFormat="false" ht="15.75" hidden="false" customHeight="false" outlineLevel="0" collapsed="false">
      <c r="Z813" s="15"/>
      <c r="AA813" s="15"/>
      <c r="AB813" s="15"/>
      <c r="AC813" s="15"/>
    </row>
    <row r="814" customFormat="false" ht="15.75" hidden="false" customHeight="false" outlineLevel="0" collapsed="false">
      <c r="Z814" s="15"/>
      <c r="AA814" s="15"/>
      <c r="AB814" s="15"/>
      <c r="AC814" s="15"/>
    </row>
    <row r="815" customFormat="false" ht="15.75" hidden="false" customHeight="false" outlineLevel="0" collapsed="false">
      <c r="Z815" s="15"/>
      <c r="AA815" s="15"/>
      <c r="AB815" s="15"/>
      <c r="AC815" s="15"/>
    </row>
    <row r="816" customFormat="false" ht="15.75" hidden="false" customHeight="false" outlineLevel="0" collapsed="false">
      <c r="Z816" s="15"/>
      <c r="AA816" s="15"/>
      <c r="AB816" s="15"/>
      <c r="AC816" s="15"/>
    </row>
    <row r="817" customFormat="false" ht="15.75" hidden="false" customHeight="false" outlineLevel="0" collapsed="false">
      <c r="Z817" s="15"/>
      <c r="AA817" s="15"/>
      <c r="AB817" s="15"/>
      <c r="AC817" s="15"/>
    </row>
    <row r="818" customFormat="false" ht="15.75" hidden="false" customHeight="false" outlineLevel="0" collapsed="false">
      <c r="Z818" s="15"/>
      <c r="AA818" s="15"/>
      <c r="AB818" s="15"/>
      <c r="AC818" s="15"/>
    </row>
    <row r="819" customFormat="false" ht="15.75" hidden="false" customHeight="false" outlineLevel="0" collapsed="false">
      <c r="Z819" s="15"/>
      <c r="AA819" s="15"/>
      <c r="AB819" s="15"/>
      <c r="AC819" s="15"/>
    </row>
    <row r="820" customFormat="false" ht="15.75" hidden="false" customHeight="false" outlineLevel="0" collapsed="false">
      <c r="Z820" s="15"/>
      <c r="AA820" s="15"/>
      <c r="AB820" s="15"/>
      <c r="AC820" s="15"/>
    </row>
    <row r="821" customFormat="false" ht="15.75" hidden="false" customHeight="false" outlineLevel="0" collapsed="false">
      <c r="Z821" s="15"/>
      <c r="AA821" s="15"/>
      <c r="AB821" s="15"/>
      <c r="AC821" s="15"/>
    </row>
    <row r="822" customFormat="false" ht="15.75" hidden="false" customHeight="false" outlineLevel="0" collapsed="false">
      <c r="Z822" s="15"/>
      <c r="AA822" s="15"/>
      <c r="AB822" s="15"/>
      <c r="AC822" s="15"/>
    </row>
    <row r="823" customFormat="false" ht="15.75" hidden="false" customHeight="false" outlineLevel="0" collapsed="false">
      <c r="Z823" s="15"/>
      <c r="AA823" s="15"/>
      <c r="AB823" s="15"/>
      <c r="AC823" s="15"/>
    </row>
    <row r="824" customFormat="false" ht="15.75" hidden="false" customHeight="false" outlineLevel="0" collapsed="false">
      <c r="Z824" s="15"/>
      <c r="AA824" s="15"/>
      <c r="AB824" s="15"/>
      <c r="AC824" s="15"/>
    </row>
    <row r="825" customFormat="false" ht="15.75" hidden="false" customHeight="false" outlineLevel="0" collapsed="false">
      <c r="Z825" s="15"/>
      <c r="AA825" s="15"/>
      <c r="AB825" s="15"/>
      <c r="AC825" s="15"/>
    </row>
    <row r="826" customFormat="false" ht="15.75" hidden="false" customHeight="false" outlineLevel="0" collapsed="false">
      <c r="Z826" s="15"/>
      <c r="AA826" s="15"/>
      <c r="AB826" s="15"/>
      <c r="AC826" s="15"/>
    </row>
    <row r="827" customFormat="false" ht="15.75" hidden="false" customHeight="false" outlineLevel="0" collapsed="false">
      <c r="Z827" s="15"/>
      <c r="AA827" s="15"/>
      <c r="AB827" s="15"/>
      <c r="AC827" s="15"/>
    </row>
    <row r="828" customFormat="false" ht="15.75" hidden="false" customHeight="false" outlineLevel="0" collapsed="false">
      <c r="Z828" s="15"/>
      <c r="AA828" s="15"/>
      <c r="AB828" s="15"/>
      <c r="AC828" s="15"/>
    </row>
    <row r="829" customFormat="false" ht="15.75" hidden="false" customHeight="false" outlineLevel="0" collapsed="false">
      <c r="Z829" s="15"/>
      <c r="AA829" s="15"/>
      <c r="AB829" s="15"/>
      <c r="AC829" s="15"/>
    </row>
    <row r="830" customFormat="false" ht="15.75" hidden="false" customHeight="false" outlineLevel="0" collapsed="false">
      <c r="Z830" s="15"/>
      <c r="AA830" s="15"/>
      <c r="AB830" s="15"/>
      <c r="AC830" s="15"/>
    </row>
    <row r="831" customFormat="false" ht="15.75" hidden="false" customHeight="false" outlineLevel="0" collapsed="false">
      <c r="Z831" s="15"/>
      <c r="AA831" s="15"/>
      <c r="AB831" s="15"/>
      <c r="AC831" s="15"/>
    </row>
    <row r="832" customFormat="false" ht="15.75" hidden="false" customHeight="false" outlineLevel="0" collapsed="false">
      <c r="Z832" s="15"/>
      <c r="AA832" s="15"/>
      <c r="AB832" s="15"/>
      <c r="AC832" s="15"/>
    </row>
    <row r="833" customFormat="false" ht="15.75" hidden="false" customHeight="false" outlineLevel="0" collapsed="false">
      <c r="Z833" s="15"/>
      <c r="AA833" s="15"/>
      <c r="AB833" s="15"/>
      <c r="AC833" s="15"/>
    </row>
    <row r="834" customFormat="false" ht="15.75" hidden="false" customHeight="false" outlineLevel="0" collapsed="false">
      <c r="Z834" s="15"/>
      <c r="AA834" s="15"/>
      <c r="AB834" s="15"/>
      <c r="AC834" s="15"/>
    </row>
    <row r="835" customFormat="false" ht="15.75" hidden="false" customHeight="false" outlineLevel="0" collapsed="false">
      <c r="Z835" s="15"/>
      <c r="AA835" s="15"/>
      <c r="AB835" s="15"/>
      <c r="AC835" s="15"/>
    </row>
    <row r="836" customFormat="false" ht="15.75" hidden="false" customHeight="false" outlineLevel="0" collapsed="false">
      <c r="Z836" s="15"/>
      <c r="AA836" s="15"/>
      <c r="AB836" s="15"/>
      <c r="AC836" s="15"/>
    </row>
    <row r="837" customFormat="false" ht="15.75" hidden="false" customHeight="false" outlineLevel="0" collapsed="false">
      <c r="Z837" s="15"/>
      <c r="AA837" s="15"/>
      <c r="AB837" s="15"/>
      <c r="AC837" s="15"/>
    </row>
    <row r="838" customFormat="false" ht="15.75" hidden="false" customHeight="false" outlineLevel="0" collapsed="false">
      <c r="Z838" s="15"/>
      <c r="AA838" s="15"/>
      <c r="AB838" s="15"/>
      <c r="AC838" s="15"/>
    </row>
    <row r="839" customFormat="false" ht="15.75" hidden="false" customHeight="false" outlineLevel="0" collapsed="false">
      <c r="Z839" s="15"/>
      <c r="AA839" s="15"/>
      <c r="AB839" s="15"/>
      <c r="AC839" s="15"/>
    </row>
    <row r="840" customFormat="false" ht="15.75" hidden="false" customHeight="false" outlineLevel="0" collapsed="false">
      <c r="Z840" s="15"/>
      <c r="AA840" s="15"/>
      <c r="AB840" s="15"/>
      <c r="AC840" s="15"/>
    </row>
    <row r="841" customFormat="false" ht="15.75" hidden="false" customHeight="false" outlineLevel="0" collapsed="false">
      <c r="Z841" s="15"/>
      <c r="AA841" s="15"/>
      <c r="AB841" s="15"/>
      <c r="AC841" s="15"/>
    </row>
    <row r="842" customFormat="false" ht="15.75" hidden="false" customHeight="false" outlineLevel="0" collapsed="false">
      <c r="Z842" s="15"/>
      <c r="AA842" s="15"/>
      <c r="AB842" s="15"/>
      <c r="AC842" s="15"/>
    </row>
    <row r="843" customFormat="false" ht="15.75" hidden="false" customHeight="false" outlineLevel="0" collapsed="false">
      <c r="Z843" s="15"/>
      <c r="AA843" s="15"/>
      <c r="AB843" s="15"/>
      <c r="AC843" s="15"/>
    </row>
    <row r="844" customFormat="false" ht="15.75" hidden="false" customHeight="false" outlineLevel="0" collapsed="false">
      <c r="Z844" s="15"/>
      <c r="AA844" s="15"/>
      <c r="AB844" s="15"/>
      <c r="AC844" s="15"/>
    </row>
    <row r="845" customFormat="false" ht="15.75" hidden="false" customHeight="false" outlineLevel="0" collapsed="false">
      <c r="Z845" s="15"/>
      <c r="AA845" s="15"/>
      <c r="AB845" s="15"/>
      <c r="AC845" s="15"/>
    </row>
    <row r="846" customFormat="false" ht="15.75" hidden="false" customHeight="false" outlineLevel="0" collapsed="false">
      <c r="Z846" s="15"/>
      <c r="AA846" s="15"/>
      <c r="AB846" s="15"/>
      <c r="AC846" s="15"/>
    </row>
    <row r="847" customFormat="false" ht="15.75" hidden="false" customHeight="false" outlineLevel="0" collapsed="false">
      <c r="Z847" s="15"/>
      <c r="AA847" s="15"/>
      <c r="AB847" s="15"/>
      <c r="AC847" s="15"/>
    </row>
    <row r="848" customFormat="false" ht="15.75" hidden="false" customHeight="false" outlineLevel="0" collapsed="false">
      <c r="Z848" s="15"/>
      <c r="AA848" s="15"/>
      <c r="AB848" s="15"/>
      <c r="AC848" s="15"/>
    </row>
    <row r="849" customFormat="false" ht="15.75" hidden="false" customHeight="false" outlineLevel="0" collapsed="false">
      <c r="Z849" s="15"/>
      <c r="AA849" s="15"/>
      <c r="AB849" s="15"/>
      <c r="AC849" s="15"/>
    </row>
    <row r="850" customFormat="false" ht="15.75" hidden="false" customHeight="false" outlineLevel="0" collapsed="false">
      <c r="Z850" s="15"/>
      <c r="AA850" s="15"/>
      <c r="AB850" s="15"/>
      <c r="AC850" s="15"/>
    </row>
    <row r="851" customFormat="false" ht="15.75" hidden="false" customHeight="false" outlineLevel="0" collapsed="false">
      <c r="Z851" s="15"/>
      <c r="AA851" s="15"/>
      <c r="AB851" s="15"/>
      <c r="AC851" s="15"/>
    </row>
    <row r="852" customFormat="false" ht="15.75" hidden="false" customHeight="false" outlineLevel="0" collapsed="false">
      <c r="Z852" s="15"/>
      <c r="AA852" s="15"/>
      <c r="AB852" s="15"/>
      <c r="AC852" s="15"/>
    </row>
    <row r="853" customFormat="false" ht="15.75" hidden="false" customHeight="false" outlineLevel="0" collapsed="false">
      <c r="Z853" s="15"/>
      <c r="AA853" s="15"/>
      <c r="AB853" s="15"/>
      <c r="AC853" s="15"/>
    </row>
    <row r="854" customFormat="false" ht="15.75" hidden="false" customHeight="false" outlineLevel="0" collapsed="false">
      <c r="Z854" s="15"/>
      <c r="AA854" s="15"/>
      <c r="AB854" s="15"/>
      <c r="AC854" s="15"/>
    </row>
    <row r="855" customFormat="false" ht="15.75" hidden="false" customHeight="false" outlineLevel="0" collapsed="false">
      <c r="Z855" s="15"/>
      <c r="AA855" s="15"/>
      <c r="AB855" s="15"/>
      <c r="AC855" s="15"/>
    </row>
    <row r="856" customFormat="false" ht="15.75" hidden="false" customHeight="false" outlineLevel="0" collapsed="false">
      <c r="Z856" s="15"/>
      <c r="AA856" s="15"/>
      <c r="AB856" s="15"/>
      <c r="AC856" s="15"/>
    </row>
    <row r="857" customFormat="false" ht="15.75" hidden="false" customHeight="false" outlineLevel="0" collapsed="false">
      <c r="Z857" s="15"/>
      <c r="AA857" s="15"/>
      <c r="AB857" s="15"/>
      <c r="AC857" s="15"/>
    </row>
    <row r="858" customFormat="false" ht="15.75" hidden="false" customHeight="false" outlineLevel="0" collapsed="false">
      <c r="Z858" s="15"/>
      <c r="AA858" s="15"/>
      <c r="AB858" s="15"/>
      <c r="AC858" s="15"/>
    </row>
    <row r="859" customFormat="false" ht="15.75" hidden="false" customHeight="false" outlineLevel="0" collapsed="false">
      <c r="Z859" s="15"/>
      <c r="AA859" s="15"/>
      <c r="AB859" s="15"/>
      <c r="AC859" s="15"/>
    </row>
    <row r="860" customFormat="false" ht="15.75" hidden="false" customHeight="false" outlineLevel="0" collapsed="false">
      <c r="Z860" s="15"/>
      <c r="AA860" s="15"/>
      <c r="AB860" s="15"/>
      <c r="AC860" s="15"/>
    </row>
    <row r="861" customFormat="false" ht="15.75" hidden="false" customHeight="false" outlineLevel="0" collapsed="false">
      <c r="Z861" s="15"/>
      <c r="AA861" s="15"/>
      <c r="AB861" s="15"/>
      <c r="AC861" s="15"/>
    </row>
    <row r="862" customFormat="false" ht="15.75" hidden="false" customHeight="false" outlineLevel="0" collapsed="false">
      <c r="Z862" s="15"/>
      <c r="AA862" s="15"/>
      <c r="AB862" s="15"/>
      <c r="AC862" s="15"/>
    </row>
    <row r="863" customFormat="false" ht="15.75" hidden="false" customHeight="false" outlineLevel="0" collapsed="false">
      <c r="Z863" s="15"/>
      <c r="AA863" s="15"/>
      <c r="AB863" s="15"/>
      <c r="AC863" s="15"/>
    </row>
    <row r="864" customFormat="false" ht="15.75" hidden="false" customHeight="false" outlineLevel="0" collapsed="false">
      <c r="Z864" s="15"/>
      <c r="AA864" s="15"/>
      <c r="AB864" s="15"/>
      <c r="AC864" s="15"/>
    </row>
    <row r="865" customFormat="false" ht="15.75" hidden="false" customHeight="false" outlineLevel="0" collapsed="false">
      <c r="Z865" s="15"/>
      <c r="AA865" s="15"/>
      <c r="AB865" s="15"/>
      <c r="AC865" s="15"/>
    </row>
    <row r="866" customFormat="false" ht="15.75" hidden="false" customHeight="false" outlineLevel="0" collapsed="false">
      <c r="Z866" s="15"/>
      <c r="AA866" s="15"/>
      <c r="AB866" s="15"/>
      <c r="AC866" s="15"/>
    </row>
    <row r="867" customFormat="false" ht="15.75" hidden="false" customHeight="false" outlineLevel="0" collapsed="false">
      <c r="Z867" s="15"/>
      <c r="AA867" s="15"/>
      <c r="AB867" s="15"/>
      <c r="AC867" s="15"/>
    </row>
    <row r="868" customFormat="false" ht="15.75" hidden="false" customHeight="false" outlineLevel="0" collapsed="false">
      <c r="Z868" s="15"/>
      <c r="AA868" s="15"/>
      <c r="AB868" s="15"/>
      <c r="AC868" s="15"/>
    </row>
    <row r="869" customFormat="false" ht="15.75" hidden="false" customHeight="false" outlineLevel="0" collapsed="false">
      <c r="Z869" s="15"/>
      <c r="AA869" s="15"/>
      <c r="AB869" s="15"/>
      <c r="AC869" s="15"/>
    </row>
    <row r="870" customFormat="false" ht="15.75" hidden="false" customHeight="false" outlineLevel="0" collapsed="false">
      <c r="Z870" s="15"/>
      <c r="AA870" s="15"/>
      <c r="AB870" s="15"/>
      <c r="AC870" s="15"/>
    </row>
    <row r="871" customFormat="false" ht="15.75" hidden="false" customHeight="false" outlineLevel="0" collapsed="false">
      <c r="Z871" s="15"/>
      <c r="AA871" s="15"/>
      <c r="AB871" s="15"/>
      <c r="AC871" s="15"/>
    </row>
    <row r="872" customFormat="false" ht="15.75" hidden="false" customHeight="false" outlineLevel="0" collapsed="false">
      <c r="Z872" s="15"/>
      <c r="AA872" s="15"/>
      <c r="AB872" s="15"/>
      <c r="AC872" s="15"/>
    </row>
    <row r="873" customFormat="false" ht="15.75" hidden="false" customHeight="false" outlineLevel="0" collapsed="false">
      <c r="Z873" s="15"/>
      <c r="AA873" s="15"/>
      <c r="AB873" s="15"/>
      <c r="AC873" s="15"/>
    </row>
    <row r="874" customFormat="false" ht="15.75" hidden="false" customHeight="false" outlineLevel="0" collapsed="false">
      <c r="Z874" s="15"/>
      <c r="AA874" s="15"/>
      <c r="AB874" s="15"/>
      <c r="AC874" s="15"/>
    </row>
    <row r="875" customFormat="false" ht="15.75" hidden="false" customHeight="false" outlineLevel="0" collapsed="false">
      <c r="Z875" s="15"/>
      <c r="AA875" s="15"/>
      <c r="AB875" s="15"/>
      <c r="AC875" s="15"/>
    </row>
    <row r="876" customFormat="false" ht="15.75" hidden="false" customHeight="false" outlineLevel="0" collapsed="false">
      <c r="Z876" s="15"/>
      <c r="AA876" s="15"/>
      <c r="AB876" s="15"/>
      <c r="AC876" s="15"/>
    </row>
    <row r="877" customFormat="false" ht="15.75" hidden="false" customHeight="false" outlineLevel="0" collapsed="false">
      <c r="Z877" s="15"/>
      <c r="AA877" s="15"/>
      <c r="AB877" s="15"/>
      <c r="AC877" s="15"/>
    </row>
    <row r="878" customFormat="false" ht="15.75" hidden="false" customHeight="false" outlineLevel="0" collapsed="false">
      <c r="Z878" s="15"/>
      <c r="AA878" s="15"/>
      <c r="AB878" s="15"/>
      <c r="AC878" s="15"/>
    </row>
    <row r="879" customFormat="false" ht="15.75" hidden="false" customHeight="false" outlineLevel="0" collapsed="false">
      <c r="Z879" s="15"/>
      <c r="AA879" s="15"/>
      <c r="AB879" s="15"/>
      <c r="AC879" s="15"/>
    </row>
    <row r="880" customFormat="false" ht="15.75" hidden="false" customHeight="false" outlineLevel="0" collapsed="false">
      <c r="Z880" s="15"/>
      <c r="AA880" s="15"/>
      <c r="AB880" s="15"/>
      <c r="AC880" s="15"/>
    </row>
    <row r="881" customFormat="false" ht="15.75" hidden="false" customHeight="false" outlineLevel="0" collapsed="false">
      <c r="Z881" s="15"/>
      <c r="AA881" s="15"/>
      <c r="AB881" s="15"/>
      <c r="AC881" s="15"/>
    </row>
    <row r="882" customFormat="false" ht="15.75" hidden="false" customHeight="false" outlineLevel="0" collapsed="false">
      <c r="Z882" s="15"/>
      <c r="AA882" s="15"/>
      <c r="AB882" s="15"/>
      <c r="AC882" s="15"/>
    </row>
    <row r="883" customFormat="false" ht="15.75" hidden="false" customHeight="false" outlineLevel="0" collapsed="false">
      <c r="Z883" s="15"/>
      <c r="AA883" s="15"/>
      <c r="AB883" s="15"/>
      <c r="AC883" s="15"/>
    </row>
    <row r="884" customFormat="false" ht="15.75" hidden="false" customHeight="false" outlineLevel="0" collapsed="false">
      <c r="Z884" s="15"/>
      <c r="AA884" s="15"/>
      <c r="AB884" s="15"/>
      <c r="AC884" s="15"/>
    </row>
    <row r="885" customFormat="false" ht="15.75" hidden="false" customHeight="false" outlineLevel="0" collapsed="false">
      <c r="Z885" s="15"/>
      <c r="AA885" s="15"/>
      <c r="AB885" s="15"/>
      <c r="AC885" s="15"/>
    </row>
    <row r="886" customFormat="false" ht="15.75" hidden="false" customHeight="false" outlineLevel="0" collapsed="false">
      <c r="Z886" s="15"/>
      <c r="AA886" s="15"/>
      <c r="AB886" s="15"/>
      <c r="AC886" s="15"/>
    </row>
    <row r="887" customFormat="false" ht="15.75" hidden="false" customHeight="false" outlineLevel="0" collapsed="false">
      <c r="Z887" s="15"/>
      <c r="AA887" s="15"/>
      <c r="AB887" s="15"/>
      <c r="AC887" s="15"/>
    </row>
    <row r="888" customFormat="false" ht="15.75" hidden="false" customHeight="false" outlineLevel="0" collapsed="false">
      <c r="Z888" s="15"/>
      <c r="AA888" s="15"/>
      <c r="AB888" s="15"/>
      <c r="AC888" s="15"/>
    </row>
    <row r="889" customFormat="false" ht="15.75" hidden="false" customHeight="false" outlineLevel="0" collapsed="false">
      <c r="Z889" s="15"/>
      <c r="AA889" s="15"/>
      <c r="AB889" s="15"/>
      <c r="AC889" s="15"/>
    </row>
    <row r="890" customFormat="false" ht="15.75" hidden="false" customHeight="false" outlineLevel="0" collapsed="false">
      <c r="Z890" s="15"/>
      <c r="AA890" s="15"/>
      <c r="AB890" s="15"/>
      <c r="AC890" s="15"/>
    </row>
    <row r="891" customFormat="false" ht="15.75" hidden="false" customHeight="false" outlineLevel="0" collapsed="false">
      <c r="Z891" s="15"/>
      <c r="AA891" s="15"/>
      <c r="AB891" s="15"/>
      <c r="AC891" s="15"/>
    </row>
    <row r="892" customFormat="false" ht="15.75" hidden="false" customHeight="false" outlineLevel="0" collapsed="false">
      <c r="Z892" s="15"/>
      <c r="AA892" s="15"/>
      <c r="AB892" s="15"/>
      <c r="AC892" s="15"/>
    </row>
    <row r="893" customFormat="false" ht="15.75" hidden="false" customHeight="false" outlineLevel="0" collapsed="false">
      <c r="Z893" s="15"/>
      <c r="AA893" s="15"/>
      <c r="AB893" s="15"/>
      <c r="AC893" s="15"/>
    </row>
    <row r="894" customFormat="false" ht="15.75" hidden="false" customHeight="false" outlineLevel="0" collapsed="false">
      <c r="Z894" s="15"/>
      <c r="AA894" s="15"/>
      <c r="AB894" s="15"/>
      <c r="AC894" s="15"/>
    </row>
    <row r="895" customFormat="false" ht="15.75" hidden="false" customHeight="false" outlineLevel="0" collapsed="false">
      <c r="Z895" s="15"/>
      <c r="AA895" s="15"/>
      <c r="AB895" s="15"/>
      <c r="AC895" s="15"/>
    </row>
    <row r="896" customFormat="false" ht="15.75" hidden="false" customHeight="false" outlineLevel="0" collapsed="false">
      <c r="Z896" s="15"/>
      <c r="AA896" s="15"/>
      <c r="AB896" s="15"/>
      <c r="AC896" s="15"/>
    </row>
    <row r="897" customFormat="false" ht="15.75" hidden="false" customHeight="false" outlineLevel="0" collapsed="false">
      <c r="Z897" s="15"/>
      <c r="AA897" s="15"/>
      <c r="AB897" s="15"/>
      <c r="AC897" s="15"/>
    </row>
    <row r="898" customFormat="false" ht="15.75" hidden="false" customHeight="false" outlineLevel="0" collapsed="false">
      <c r="Z898" s="15"/>
      <c r="AA898" s="15"/>
      <c r="AB898" s="15"/>
      <c r="AC898" s="15"/>
    </row>
    <row r="899" customFormat="false" ht="15.75" hidden="false" customHeight="false" outlineLevel="0" collapsed="false">
      <c r="Z899" s="15"/>
      <c r="AA899" s="15"/>
      <c r="AB899" s="15"/>
      <c r="AC899" s="15"/>
    </row>
    <row r="900" customFormat="false" ht="15.75" hidden="false" customHeight="false" outlineLevel="0" collapsed="false">
      <c r="Z900" s="15"/>
      <c r="AA900" s="15"/>
      <c r="AB900" s="15"/>
      <c r="AC900" s="15"/>
    </row>
    <row r="901" customFormat="false" ht="15.75" hidden="false" customHeight="false" outlineLevel="0" collapsed="false">
      <c r="Z901" s="15"/>
      <c r="AA901" s="15"/>
      <c r="AB901" s="15"/>
      <c r="AC901" s="15"/>
    </row>
    <row r="902" customFormat="false" ht="15.75" hidden="false" customHeight="false" outlineLevel="0" collapsed="false">
      <c r="Z902" s="15"/>
      <c r="AA902" s="15"/>
      <c r="AB902" s="15"/>
      <c r="AC902" s="15"/>
    </row>
    <row r="903" customFormat="false" ht="15.75" hidden="false" customHeight="false" outlineLevel="0" collapsed="false">
      <c r="Z903" s="15"/>
      <c r="AA903" s="15"/>
      <c r="AB903" s="15"/>
      <c r="AC903" s="15"/>
    </row>
    <row r="904" customFormat="false" ht="15.75" hidden="false" customHeight="false" outlineLevel="0" collapsed="false">
      <c r="Z904" s="15"/>
      <c r="AA904" s="15"/>
      <c r="AB904" s="15"/>
      <c r="AC904" s="15"/>
    </row>
    <row r="905" customFormat="false" ht="15.75" hidden="false" customHeight="false" outlineLevel="0" collapsed="false">
      <c r="Z905" s="15"/>
      <c r="AA905" s="15"/>
      <c r="AB905" s="15"/>
      <c r="AC905" s="15"/>
    </row>
    <row r="906" customFormat="false" ht="15.75" hidden="false" customHeight="false" outlineLevel="0" collapsed="false">
      <c r="Z906" s="15"/>
      <c r="AA906" s="15"/>
      <c r="AB906" s="15"/>
      <c r="AC906" s="15"/>
    </row>
    <row r="907" customFormat="false" ht="15.75" hidden="false" customHeight="false" outlineLevel="0" collapsed="false">
      <c r="Z907" s="15"/>
      <c r="AA907" s="15"/>
      <c r="AB907" s="15"/>
      <c r="AC907" s="15"/>
    </row>
    <row r="908" customFormat="false" ht="15.75" hidden="false" customHeight="false" outlineLevel="0" collapsed="false">
      <c r="Z908" s="15"/>
      <c r="AA908" s="15"/>
      <c r="AB908" s="15"/>
      <c r="AC908" s="15"/>
    </row>
    <row r="909" customFormat="false" ht="15.75" hidden="false" customHeight="false" outlineLevel="0" collapsed="false">
      <c r="Z909" s="15"/>
      <c r="AA909" s="15"/>
      <c r="AB909" s="15"/>
      <c r="AC909" s="15"/>
    </row>
    <row r="910" customFormat="false" ht="15.75" hidden="false" customHeight="false" outlineLevel="0" collapsed="false">
      <c r="Z910" s="15"/>
      <c r="AA910" s="15"/>
      <c r="AB910" s="15"/>
      <c r="AC910" s="15"/>
    </row>
    <row r="911" customFormat="false" ht="15.75" hidden="false" customHeight="false" outlineLevel="0" collapsed="false">
      <c r="Z911" s="15"/>
      <c r="AA911" s="15"/>
      <c r="AB911" s="15"/>
      <c r="AC911" s="15"/>
    </row>
    <row r="912" customFormat="false" ht="15.75" hidden="false" customHeight="false" outlineLevel="0" collapsed="false">
      <c r="Z912" s="15"/>
      <c r="AA912" s="15"/>
      <c r="AB912" s="15"/>
      <c r="AC912" s="15"/>
    </row>
    <row r="913" customFormat="false" ht="15.75" hidden="false" customHeight="false" outlineLevel="0" collapsed="false">
      <c r="Z913" s="15"/>
      <c r="AA913" s="15"/>
      <c r="AB913" s="15"/>
      <c r="AC913" s="15"/>
    </row>
    <row r="914" customFormat="false" ht="15.75" hidden="false" customHeight="false" outlineLevel="0" collapsed="false">
      <c r="Z914" s="15"/>
      <c r="AA914" s="15"/>
      <c r="AB914" s="15"/>
      <c r="AC914" s="15"/>
    </row>
    <row r="915" customFormat="false" ht="15.75" hidden="false" customHeight="false" outlineLevel="0" collapsed="false">
      <c r="Z915" s="15"/>
      <c r="AA915" s="15"/>
      <c r="AB915" s="15"/>
      <c r="AC915" s="15"/>
    </row>
    <row r="916" customFormat="false" ht="15.75" hidden="false" customHeight="false" outlineLevel="0" collapsed="false">
      <c r="Z916" s="15"/>
      <c r="AA916" s="15"/>
      <c r="AB916" s="15"/>
      <c r="AC916" s="15"/>
    </row>
    <row r="917" customFormat="false" ht="15.75" hidden="false" customHeight="false" outlineLevel="0" collapsed="false">
      <c r="Z917" s="15"/>
      <c r="AA917" s="15"/>
      <c r="AB917" s="15"/>
      <c r="AC917" s="15"/>
    </row>
    <row r="918" customFormat="false" ht="15.75" hidden="false" customHeight="false" outlineLevel="0" collapsed="false">
      <c r="Z918" s="15"/>
      <c r="AA918" s="15"/>
      <c r="AB918" s="15"/>
      <c r="AC918" s="15"/>
    </row>
    <row r="919" customFormat="false" ht="15.75" hidden="false" customHeight="false" outlineLevel="0" collapsed="false">
      <c r="Z919" s="15"/>
      <c r="AA919" s="15"/>
      <c r="AB919" s="15"/>
      <c r="AC919" s="15"/>
    </row>
    <row r="920" customFormat="false" ht="15.75" hidden="false" customHeight="false" outlineLevel="0" collapsed="false">
      <c r="Z920" s="15"/>
      <c r="AA920" s="15"/>
      <c r="AB920" s="15"/>
      <c r="AC920" s="15"/>
    </row>
    <row r="921" customFormat="false" ht="15.75" hidden="false" customHeight="false" outlineLevel="0" collapsed="false">
      <c r="Z921" s="15"/>
      <c r="AA921" s="15"/>
      <c r="AB921" s="15"/>
      <c r="AC921" s="15"/>
    </row>
    <row r="922" customFormat="false" ht="15.75" hidden="false" customHeight="false" outlineLevel="0" collapsed="false">
      <c r="Z922" s="15"/>
      <c r="AA922" s="15"/>
      <c r="AB922" s="15"/>
      <c r="AC922" s="15"/>
    </row>
    <row r="923" customFormat="false" ht="15.75" hidden="false" customHeight="false" outlineLevel="0" collapsed="false">
      <c r="Z923" s="15"/>
      <c r="AA923" s="15"/>
      <c r="AB923" s="15"/>
      <c r="AC923" s="15"/>
    </row>
    <row r="924" customFormat="false" ht="15.75" hidden="false" customHeight="false" outlineLevel="0" collapsed="false">
      <c r="Z924" s="15"/>
      <c r="AA924" s="15"/>
      <c r="AB924" s="15"/>
      <c r="AC924" s="15"/>
    </row>
    <row r="925" customFormat="false" ht="15.75" hidden="false" customHeight="false" outlineLevel="0" collapsed="false">
      <c r="Z925" s="15"/>
      <c r="AA925" s="15"/>
      <c r="AB925" s="15"/>
      <c r="AC925" s="15"/>
    </row>
    <row r="926" customFormat="false" ht="15.75" hidden="false" customHeight="false" outlineLevel="0" collapsed="false">
      <c r="Z926" s="15"/>
      <c r="AA926" s="15"/>
      <c r="AB926" s="15"/>
      <c r="AC926" s="15"/>
    </row>
    <row r="927" customFormat="false" ht="15.75" hidden="false" customHeight="false" outlineLevel="0" collapsed="false">
      <c r="Z927" s="15"/>
      <c r="AA927" s="15"/>
      <c r="AB927" s="15"/>
      <c r="AC927" s="15"/>
    </row>
    <row r="928" customFormat="false" ht="15.75" hidden="false" customHeight="false" outlineLevel="0" collapsed="false">
      <c r="Z928" s="15"/>
      <c r="AA928" s="15"/>
      <c r="AB928" s="15"/>
      <c r="AC928" s="15"/>
    </row>
    <row r="929" customFormat="false" ht="15.75" hidden="false" customHeight="false" outlineLevel="0" collapsed="false">
      <c r="Z929" s="15"/>
      <c r="AA929" s="15"/>
      <c r="AB929" s="15"/>
      <c r="AC929" s="15"/>
    </row>
    <row r="930" customFormat="false" ht="15.75" hidden="false" customHeight="false" outlineLevel="0" collapsed="false">
      <c r="Z930" s="15"/>
      <c r="AA930" s="15"/>
      <c r="AB930" s="15"/>
      <c r="AC930" s="15"/>
    </row>
    <row r="931" customFormat="false" ht="15.75" hidden="false" customHeight="false" outlineLevel="0" collapsed="false">
      <c r="Z931" s="15"/>
      <c r="AA931" s="15"/>
      <c r="AB931" s="15"/>
      <c r="AC931" s="15"/>
    </row>
    <row r="932" customFormat="false" ht="15.75" hidden="false" customHeight="false" outlineLevel="0" collapsed="false">
      <c r="Z932" s="15"/>
      <c r="AA932" s="15"/>
      <c r="AB932" s="15"/>
      <c r="AC932" s="15"/>
    </row>
    <row r="933" customFormat="false" ht="15.75" hidden="false" customHeight="false" outlineLevel="0" collapsed="false">
      <c r="Z933" s="15"/>
      <c r="AA933" s="15"/>
      <c r="AB933" s="15"/>
      <c r="AC933" s="15"/>
    </row>
    <row r="934" customFormat="false" ht="15.75" hidden="false" customHeight="false" outlineLevel="0" collapsed="false">
      <c r="Z934" s="15"/>
      <c r="AA934" s="15"/>
      <c r="AB934" s="15"/>
      <c r="AC934" s="15"/>
    </row>
    <row r="935" customFormat="false" ht="15.75" hidden="false" customHeight="false" outlineLevel="0" collapsed="false">
      <c r="Z935" s="15"/>
      <c r="AA935" s="15"/>
      <c r="AB935" s="15"/>
      <c r="AC935" s="15"/>
    </row>
    <row r="936" customFormat="false" ht="15.75" hidden="false" customHeight="false" outlineLevel="0" collapsed="false">
      <c r="Z936" s="15"/>
      <c r="AA936" s="15"/>
      <c r="AB936" s="15"/>
      <c r="AC936" s="15"/>
    </row>
    <row r="937" customFormat="false" ht="15.75" hidden="false" customHeight="false" outlineLevel="0" collapsed="false">
      <c r="Z937" s="15"/>
      <c r="AA937" s="15"/>
      <c r="AB937" s="15"/>
      <c r="AC937" s="15"/>
    </row>
    <row r="938" customFormat="false" ht="15.75" hidden="false" customHeight="false" outlineLevel="0" collapsed="false">
      <c r="Z938" s="15"/>
      <c r="AA938" s="15"/>
      <c r="AB938" s="15"/>
      <c r="AC938" s="15"/>
    </row>
    <row r="939" customFormat="false" ht="15.75" hidden="false" customHeight="false" outlineLevel="0" collapsed="false">
      <c r="Z939" s="15"/>
      <c r="AA939" s="15"/>
      <c r="AB939" s="15"/>
      <c r="AC939" s="15"/>
    </row>
    <row r="940" customFormat="false" ht="15.75" hidden="false" customHeight="false" outlineLevel="0" collapsed="false">
      <c r="Z940" s="15"/>
      <c r="AA940" s="15"/>
      <c r="AB940" s="15"/>
      <c r="AC940" s="15"/>
    </row>
    <row r="941" customFormat="false" ht="15.75" hidden="false" customHeight="false" outlineLevel="0" collapsed="false">
      <c r="Z941" s="15"/>
      <c r="AA941" s="15"/>
      <c r="AB941" s="15"/>
      <c r="AC941" s="15"/>
    </row>
    <row r="942" customFormat="false" ht="15.75" hidden="false" customHeight="false" outlineLevel="0" collapsed="false">
      <c r="Z942" s="15"/>
      <c r="AA942" s="15"/>
      <c r="AB942" s="15"/>
      <c r="AC942" s="15"/>
    </row>
    <row r="943" customFormat="false" ht="15.75" hidden="false" customHeight="false" outlineLevel="0" collapsed="false">
      <c r="Z943" s="15"/>
      <c r="AA943" s="15"/>
      <c r="AB943" s="15"/>
      <c r="AC943" s="15"/>
    </row>
    <row r="944" customFormat="false" ht="15.75" hidden="false" customHeight="false" outlineLevel="0" collapsed="false">
      <c r="Z944" s="15"/>
      <c r="AA944" s="15"/>
      <c r="AB944" s="15"/>
      <c r="AC944" s="15"/>
    </row>
    <row r="945" customFormat="false" ht="15.75" hidden="false" customHeight="false" outlineLevel="0" collapsed="false">
      <c r="Z945" s="15"/>
      <c r="AA945" s="15"/>
      <c r="AB945" s="15"/>
      <c r="AC945" s="15"/>
    </row>
    <row r="946" customFormat="false" ht="15.75" hidden="false" customHeight="false" outlineLevel="0" collapsed="false">
      <c r="Z946" s="15"/>
      <c r="AA946" s="15"/>
      <c r="AB946" s="15"/>
      <c r="AC946" s="15"/>
    </row>
    <row r="947" customFormat="false" ht="15.75" hidden="false" customHeight="false" outlineLevel="0" collapsed="false">
      <c r="Z947" s="15"/>
      <c r="AA947" s="15"/>
      <c r="AB947" s="15"/>
      <c r="AC947" s="15"/>
    </row>
    <row r="948" customFormat="false" ht="15.75" hidden="false" customHeight="false" outlineLevel="0" collapsed="false">
      <c r="Z948" s="15"/>
      <c r="AA948" s="15"/>
      <c r="AB948" s="15"/>
      <c r="AC948" s="15"/>
    </row>
    <row r="949" customFormat="false" ht="15.75" hidden="false" customHeight="false" outlineLevel="0" collapsed="false">
      <c r="Z949" s="15"/>
      <c r="AA949" s="15"/>
      <c r="AB949" s="15"/>
      <c r="AC949" s="15"/>
    </row>
    <row r="950" customFormat="false" ht="15.75" hidden="false" customHeight="false" outlineLevel="0" collapsed="false">
      <c r="Z950" s="15"/>
      <c r="AA950" s="15"/>
      <c r="AB950" s="15"/>
      <c r="AC950" s="15"/>
    </row>
    <row r="951" customFormat="false" ht="15.75" hidden="false" customHeight="false" outlineLevel="0" collapsed="false">
      <c r="Z951" s="15"/>
      <c r="AA951" s="15"/>
      <c r="AB951" s="15"/>
      <c r="AC951" s="15"/>
    </row>
    <row r="952" customFormat="false" ht="15.75" hidden="false" customHeight="false" outlineLevel="0" collapsed="false">
      <c r="Z952" s="15"/>
      <c r="AA952" s="15"/>
      <c r="AB952" s="15"/>
      <c r="AC952" s="15"/>
    </row>
    <row r="953" customFormat="false" ht="15.75" hidden="false" customHeight="false" outlineLevel="0" collapsed="false">
      <c r="Z953" s="15"/>
      <c r="AA953" s="15"/>
      <c r="AB953" s="15"/>
      <c r="AC953" s="15"/>
    </row>
    <row r="954" customFormat="false" ht="15.75" hidden="false" customHeight="false" outlineLevel="0" collapsed="false">
      <c r="Z954" s="15"/>
      <c r="AA954" s="15"/>
      <c r="AB954" s="15"/>
      <c r="AC954" s="15"/>
    </row>
    <row r="955" customFormat="false" ht="15.75" hidden="false" customHeight="false" outlineLevel="0" collapsed="false">
      <c r="Z955" s="15"/>
      <c r="AA955" s="15"/>
      <c r="AB955" s="15"/>
      <c r="AC955" s="15"/>
    </row>
    <row r="956" customFormat="false" ht="15.75" hidden="false" customHeight="false" outlineLevel="0" collapsed="false">
      <c r="Z956" s="15"/>
      <c r="AA956" s="15"/>
      <c r="AB956" s="15"/>
      <c r="AC956" s="15"/>
    </row>
    <row r="957" customFormat="false" ht="15.75" hidden="false" customHeight="false" outlineLevel="0" collapsed="false">
      <c r="Z957" s="15"/>
      <c r="AA957" s="15"/>
      <c r="AB957" s="15"/>
      <c r="AC957" s="15"/>
    </row>
    <row r="958" customFormat="false" ht="15.75" hidden="false" customHeight="false" outlineLevel="0" collapsed="false">
      <c r="Z958" s="15"/>
      <c r="AA958" s="15"/>
      <c r="AB958" s="15"/>
      <c r="AC958" s="15"/>
    </row>
    <row r="959" customFormat="false" ht="15.75" hidden="false" customHeight="false" outlineLevel="0" collapsed="false">
      <c r="Z959" s="15"/>
      <c r="AA959" s="15"/>
      <c r="AB959" s="15"/>
      <c r="AC959" s="15"/>
    </row>
    <row r="960" customFormat="false" ht="15.75" hidden="false" customHeight="false" outlineLevel="0" collapsed="false">
      <c r="Z960" s="15"/>
      <c r="AA960" s="15"/>
      <c r="AB960" s="15"/>
      <c r="AC960" s="15"/>
    </row>
    <row r="961" customFormat="false" ht="15.75" hidden="false" customHeight="false" outlineLevel="0" collapsed="false">
      <c r="Z961" s="15"/>
      <c r="AA961" s="15"/>
      <c r="AB961" s="15"/>
      <c r="AC961" s="15"/>
    </row>
    <row r="962" customFormat="false" ht="15.75" hidden="false" customHeight="false" outlineLevel="0" collapsed="false">
      <c r="Z962" s="15"/>
      <c r="AA962" s="15"/>
      <c r="AB962" s="15"/>
      <c r="AC962" s="15"/>
    </row>
    <row r="963" customFormat="false" ht="15.75" hidden="false" customHeight="false" outlineLevel="0" collapsed="false">
      <c r="Z963" s="15"/>
      <c r="AA963" s="15"/>
      <c r="AB963" s="15"/>
      <c r="AC963" s="15"/>
    </row>
    <row r="964" customFormat="false" ht="15.75" hidden="false" customHeight="false" outlineLevel="0" collapsed="false">
      <c r="Z964" s="15"/>
      <c r="AA964" s="15"/>
      <c r="AB964" s="15"/>
      <c r="AC964" s="15"/>
    </row>
    <row r="965" customFormat="false" ht="15.75" hidden="false" customHeight="false" outlineLevel="0" collapsed="false">
      <c r="Z965" s="15"/>
      <c r="AA965" s="15"/>
      <c r="AB965" s="15"/>
      <c r="AC965" s="15"/>
    </row>
    <row r="966" customFormat="false" ht="15.75" hidden="false" customHeight="false" outlineLevel="0" collapsed="false">
      <c r="Z966" s="15"/>
      <c r="AA966" s="15"/>
      <c r="AB966" s="15"/>
      <c r="AC966" s="15"/>
    </row>
    <row r="967" customFormat="false" ht="15.75" hidden="false" customHeight="false" outlineLevel="0" collapsed="false">
      <c r="Z967" s="15"/>
      <c r="AA967" s="15"/>
      <c r="AB967" s="15"/>
      <c r="AC967" s="15"/>
    </row>
    <row r="968" customFormat="false" ht="15.75" hidden="false" customHeight="false" outlineLevel="0" collapsed="false">
      <c r="Z968" s="15"/>
      <c r="AA968" s="15"/>
      <c r="AB968" s="15"/>
      <c r="AC968" s="15"/>
    </row>
    <row r="969" customFormat="false" ht="15.75" hidden="false" customHeight="false" outlineLevel="0" collapsed="false">
      <c r="Z969" s="15"/>
      <c r="AA969" s="15"/>
      <c r="AB969" s="15"/>
      <c r="AC969" s="15"/>
    </row>
    <row r="970" customFormat="false" ht="15.75" hidden="false" customHeight="false" outlineLevel="0" collapsed="false">
      <c r="Z970" s="15"/>
      <c r="AA970" s="15"/>
      <c r="AB970" s="15"/>
      <c r="AC970" s="15"/>
    </row>
    <row r="971" customFormat="false" ht="15.75" hidden="false" customHeight="false" outlineLevel="0" collapsed="false">
      <c r="Z971" s="15"/>
      <c r="AA971" s="15"/>
      <c r="AB971" s="15"/>
      <c r="AC971" s="15"/>
    </row>
    <row r="972" customFormat="false" ht="15.75" hidden="false" customHeight="false" outlineLevel="0" collapsed="false">
      <c r="Z972" s="15"/>
      <c r="AA972" s="15"/>
      <c r="AB972" s="15"/>
      <c r="AC972" s="15"/>
    </row>
    <row r="973" customFormat="false" ht="15.75" hidden="false" customHeight="false" outlineLevel="0" collapsed="false">
      <c r="Z973" s="15"/>
      <c r="AA973" s="15"/>
      <c r="AB973" s="15"/>
      <c r="AC973" s="15"/>
    </row>
    <row r="974" customFormat="false" ht="15.75" hidden="false" customHeight="false" outlineLevel="0" collapsed="false">
      <c r="Z974" s="15"/>
      <c r="AA974" s="15"/>
      <c r="AB974" s="15"/>
      <c r="AC974" s="15"/>
    </row>
    <row r="975" customFormat="false" ht="15.75" hidden="false" customHeight="false" outlineLevel="0" collapsed="false">
      <c r="Z975" s="15"/>
      <c r="AA975" s="15"/>
      <c r="AB975" s="15"/>
      <c r="AC975" s="15"/>
    </row>
    <row r="976" customFormat="false" ht="15.75" hidden="false" customHeight="false" outlineLevel="0" collapsed="false">
      <c r="Z976" s="15"/>
      <c r="AA976" s="15"/>
      <c r="AB976" s="15"/>
      <c r="AC976" s="15"/>
    </row>
    <row r="977" customFormat="false" ht="15.75" hidden="false" customHeight="false" outlineLevel="0" collapsed="false">
      <c r="Z977" s="15"/>
      <c r="AA977" s="15"/>
      <c r="AB977" s="15"/>
      <c r="AC977" s="15"/>
    </row>
    <row r="978" customFormat="false" ht="15.75" hidden="false" customHeight="false" outlineLevel="0" collapsed="false">
      <c r="Z978" s="15"/>
      <c r="AA978" s="15"/>
      <c r="AB978" s="15"/>
      <c r="AC978" s="15"/>
    </row>
    <row r="979" customFormat="false" ht="15.75" hidden="false" customHeight="false" outlineLevel="0" collapsed="false">
      <c r="Z979" s="15"/>
      <c r="AA979" s="15"/>
      <c r="AB979" s="15"/>
      <c r="AC979" s="15"/>
    </row>
    <row r="980" customFormat="false" ht="15.75" hidden="false" customHeight="false" outlineLevel="0" collapsed="false">
      <c r="Z980" s="15"/>
      <c r="AA980" s="15"/>
      <c r="AB980" s="15"/>
      <c r="AC980" s="15"/>
    </row>
    <row r="981" customFormat="false" ht="15.75" hidden="false" customHeight="false" outlineLevel="0" collapsed="false">
      <c r="Z981" s="15"/>
      <c r="AA981" s="15"/>
      <c r="AB981" s="15"/>
      <c r="AC981" s="15"/>
    </row>
    <row r="982" customFormat="false" ht="15.75" hidden="false" customHeight="false" outlineLevel="0" collapsed="false">
      <c r="Z982" s="15"/>
      <c r="AA982" s="15"/>
      <c r="AB982" s="15"/>
      <c r="AC982" s="15"/>
    </row>
    <row r="983" customFormat="false" ht="15.75" hidden="false" customHeight="false" outlineLevel="0" collapsed="false">
      <c r="Z983" s="15"/>
      <c r="AA983" s="15"/>
      <c r="AB983" s="15"/>
      <c r="AC983" s="15"/>
    </row>
    <row r="984" customFormat="false" ht="15.75" hidden="false" customHeight="false" outlineLevel="0" collapsed="false">
      <c r="Z984" s="15"/>
      <c r="AA984" s="15"/>
      <c r="AB984" s="15"/>
      <c r="AC984" s="15"/>
    </row>
    <row r="985" customFormat="false" ht="15.75" hidden="false" customHeight="false" outlineLevel="0" collapsed="false">
      <c r="Z985" s="15"/>
      <c r="AA985" s="15"/>
      <c r="AB985" s="15"/>
      <c r="AC985" s="15"/>
    </row>
    <row r="986" customFormat="false" ht="15.75" hidden="false" customHeight="false" outlineLevel="0" collapsed="false">
      <c r="Z986" s="15"/>
      <c r="AA986" s="15"/>
      <c r="AB986" s="15"/>
      <c r="AC986" s="15"/>
    </row>
    <row r="987" customFormat="false" ht="15.75" hidden="false" customHeight="false" outlineLevel="0" collapsed="false">
      <c r="Z987" s="15"/>
      <c r="AA987" s="15"/>
      <c r="AB987" s="15"/>
      <c r="AC987" s="15"/>
    </row>
    <row r="988" customFormat="false" ht="15.75" hidden="false" customHeight="false" outlineLevel="0" collapsed="false">
      <c r="Z988" s="15"/>
      <c r="AA988" s="15"/>
      <c r="AB988" s="15"/>
      <c r="AC988" s="15"/>
    </row>
    <row r="989" customFormat="false" ht="15.75" hidden="false" customHeight="false" outlineLevel="0" collapsed="false">
      <c r="Z989" s="15"/>
      <c r="AA989" s="15"/>
      <c r="AB989" s="15"/>
      <c r="AC989" s="15"/>
    </row>
    <row r="990" customFormat="false" ht="15.75" hidden="false" customHeight="false" outlineLevel="0" collapsed="false">
      <c r="Z990" s="15"/>
      <c r="AA990" s="15"/>
      <c r="AB990" s="15"/>
      <c r="AC990" s="15"/>
    </row>
    <row r="991" customFormat="false" ht="15.75" hidden="false" customHeight="false" outlineLevel="0" collapsed="false">
      <c r="Z991" s="15"/>
      <c r="AA991" s="15"/>
      <c r="AB991" s="15"/>
      <c r="AC991" s="15"/>
    </row>
    <row r="992" customFormat="false" ht="15.75" hidden="false" customHeight="false" outlineLevel="0" collapsed="false">
      <c r="Z992" s="15"/>
      <c r="AA992" s="15"/>
      <c r="AB992" s="15"/>
      <c r="AC992" s="15"/>
    </row>
    <row r="993" customFormat="false" ht="15.75" hidden="false" customHeight="false" outlineLevel="0" collapsed="false">
      <c r="Z993" s="15"/>
      <c r="AA993" s="15"/>
      <c r="AB993" s="15"/>
      <c r="AC993" s="15"/>
    </row>
    <row r="994" customFormat="false" ht="15.75" hidden="false" customHeight="false" outlineLevel="0" collapsed="false">
      <c r="Z994" s="15"/>
      <c r="AA994" s="15"/>
      <c r="AB994" s="15"/>
      <c r="AC994" s="15"/>
    </row>
    <row r="995" customFormat="false" ht="15.75" hidden="false" customHeight="false" outlineLevel="0" collapsed="false">
      <c r="Z995" s="15"/>
      <c r="AA995" s="15"/>
      <c r="AB995" s="15"/>
      <c r="AC995" s="15"/>
    </row>
    <row r="996" customFormat="false" ht="15.75" hidden="false" customHeight="false" outlineLevel="0" collapsed="false">
      <c r="Z996" s="15"/>
      <c r="AA996" s="15"/>
      <c r="AB996" s="15"/>
      <c r="AC996" s="15"/>
    </row>
    <row r="997" customFormat="false" ht="15.75" hidden="false" customHeight="false" outlineLevel="0" collapsed="false">
      <c r="Z997" s="15"/>
      <c r="AA997" s="15"/>
      <c r="AB997" s="15"/>
      <c r="AC997" s="15"/>
    </row>
    <row r="998" customFormat="false" ht="15.75" hidden="false" customHeight="false" outlineLevel="0" collapsed="false">
      <c r="Z998" s="15"/>
      <c r="AA998" s="15"/>
      <c r="AB998" s="15"/>
      <c r="AC998" s="15"/>
    </row>
    <row r="999" customFormat="false" ht="15.75" hidden="false" customHeight="false" outlineLevel="0" collapsed="false">
      <c r="Z999" s="15"/>
      <c r="AA999" s="15"/>
      <c r="AB999" s="15"/>
      <c r="AC999" s="15"/>
    </row>
    <row r="1000" customFormat="false" ht="15.75" hidden="false" customHeight="false" outlineLevel="0" collapsed="false">
      <c r="Z1000" s="15"/>
      <c r="AA1000" s="15"/>
      <c r="AB1000" s="15"/>
      <c r="AC1000" s="15"/>
    </row>
    <row r="1001" customFormat="false" ht="15.75" hidden="false" customHeight="false" outlineLevel="0" collapsed="false">
      <c r="Z1001" s="15"/>
      <c r="AA1001" s="15"/>
      <c r="AB1001" s="15"/>
      <c r="AC1001" s="15"/>
    </row>
    <row r="1002" customFormat="false" ht="15.75" hidden="false" customHeight="false" outlineLevel="0" collapsed="false">
      <c r="Z1002" s="15"/>
      <c r="AA1002" s="15"/>
      <c r="AB1002" s="15"/>
      <c r="AC1002" s="15"/>
    </row>
    <row r="1003" customFormat="false" ht="15.75" hidden="false" customHeight="false" outlineLevel="0" collapsed="false">
      <c r="Z1003" s="15"/>
      <c r="AA1003" s="15"/>
      <c r="AB1003" s="15"/>
      <c r="AC1003" s="15"/>
    </row>
    <row r="1004" customFormat="false" ht="15.75" hidden="false" customHeight="false" outlineLevel="0" collapsed="false">
      <c r="Z1004" s="15"/>
      <c r="AA1004" s="15"/>
      <c r="AB1004" s="15"/>
      <c r="AC1004" s="15"/>
    </row>
    <row r="1005" customFormat="false" ht="15.75" hidden="false" customHeight="false" outlineLevel="0" collapsed="false">
      <c r="Z1005" s="15"/>
      <c r="AA1005" s="15"/>
      <c r="AB1005" s="15"/>
      <c r="AC1005" s="15"/>
    </row>
    <row r="1006" customFormat="false" ht="15.75" hidden="false" customHeight="false" outlineLevel="0" collapsed="false">
      <c r="Z1006" s="15"/>
      <c r="AA1006" s="15"/>
      <c r="AB1006" s="15"/>
      <c r="AC1006" s="15"/>
    </row>
    <row r="1007" customFormat="false" ht="15.75" hidden="false" customHeight="false" outlineLevel="0" collapsed="false">
      <c r="Z1007" s="15"/>
      <c r="AA1007" s="15"/>
      <c r="AB1007" s="15"/>
      <c r="AC1007" s="15"/>
    </row>
    <row r="1008" customFormat="false" ht="15.75" hidden="false" customHeight="false" outlineLevel="0" collapsed="false">
      <c r="Z1008" s="15"/>
      <c r="AA1008" s="15"/>
      <c r="AB1008" s="15"/>
      <c r="AC1008" s="15"/>
    </row>
    <row r="1009" customFormat="false" ht="15.75" hidden="false" customHeight="false" outlineLevel="0" collapsed="false">
      <c r="Z1009" s="15"/>
      <c r="AA1009" s="15"/>
      <c r="AB1009" s="15"/>
      <c r="AC1009" s="15"/>
    </row>
    <row r="1010" customFormat="false" ht="15.75" hidden="false" customHeight="false" outlineLevel="0" collapsed="false">
      <c r="Z1010" s="15"/>
      <c r="AA1010" s="15"/>
      <c r="AB1010" s="15"/>
      <c r="AC1010" s="15"/>
    </row>
    <row r="1011" customFormat="false" ht="15.75" hidden="false" customHeight="false" outlineLevel="0" collapsed="false">
      <c r="Z1011" s="15"/>
      <c r="AA1011" s="15"/>
      <c r="AB1011" s="15"/>
      <c r="AC1011" s="15"/>
    </row>
    <row r="1012" customFormat="false" ht="15.75" hidden="false" customHeight="false" outlineLevel="0" collapsed="false">
      <c r="Z1012" s="15"/>
      <c r="AA1012" s="15"/>
      <c r="AB1012" s="15"/>
      <c r="AC1012" s="15"/>
    </row>
    <row r="1013" customFormat="false" ht="15.75" hidden="false" customHeight="false" outlineLevel="0" collapsed="false">
      <c r="Z1013" s="15"/>
      <c r="AA1013" s="15"/>
      <c r="AB1013" s="15"/>
      <c r="AC1013" s="15"/>
    </row>
    <row r="1014" customFormat="false" ht="15.75" hidden="false" customHeight="false" outlineLevel="0" collapsed="false">
      <c r="Z1014" s="15"/>
      <c r="AA1014" s="15"/>
      <c r="AB1014" s="15"/>
      <c r="AC1014" s="15"/>
    </row>
    <row r="1015" customFormat="false" ht="15.75" hidden="false" customHeight="false" outlineLevel="0" collapsed="false">
      <c r="Z1015" s="15"/>
      <c r="AA1015" s="15"/>
      <c r="AB1015" s="15"/>
      <c r="AC1015" s="15"/>
    </row>
    <row r="1016" customFormat="false" ht="15.75" hidden="false" customHeight="false" outlineLevel="0" collapsed="false">
      <c r="Z1016" s="15"/>
      <c r="AA1016" s="15"/>
      <c r="AB1016" s="15"/>
      <c r="AC1016" s="15"/>
    </row>
    <row r="1017" customFormat="false" ht="15.75" hidden="false" customHeight="false" outlineLevel="0" collapsed="false">
      <c r="Z1017" s="15"/>
      <c r="AA1017" s="15"/>
      <c r="AB1017" s="15"/>
      <c r="AC1017" s="15"/>
    </row>
    <row r="1018" customFormat="false" ht="15.75" hidden="false" customHeight="false" outlineLevel="0" collapsed="false">
      <c r="Z1018" s="15"/>
      <c r="AA1018" s="15"/>
      <c r="AB1018" s="15"/>
      <c r="AC1018" s="15"/>
    </row>
    <row r="1019" customFormat="false" ht="15.75" hidden="false" customHeight="false" outlineLevel="0" collapsed="false">
      <c r="Z1019" s="15"/>
      <c r="AA1019" s="15"/>
      <c r="AB1019" s="15"/>
      <c r="AC1019" s="15"/>
    </row>
    <row r="1020" customFormat="false" ht="15.75" hidden="false" customHeight="false" outlineLevel="0" collapsed="false">
      <c r="Z1020" s="15"/>
      <c r="AA1020" s="15"/>
      <c r="AB1020" s="15"/>
      <c r="AC1020" s="15"/>
    </row>
    <row r="1021" customFormat="false" ht="15.75" hidden="false" customHeight="false" outlineLevel="0" collapsed="false">
      <c r="Z1021" s="15"/>
      <c r="AA1021" s="15"/>
      <c r="AB1021" s="15"/>
      <c r="AC1021" s="15"/>
    </row>
    <row r="1022" customFormat="false" ht="15.75" hidden="false" customHeight="false" outlineLevel="0" collapsed="false">
      <c r="Z1022" s="15"/>
      <c r="AA1022" s="15"/>
      <c r="AB1022" s="15"/>
      <c r="AC1022" s="15"/>
    </row>
    <row r="1023" customFormat="false" ht="15.75" hidden="false" customHeight="false" outlineLevel="0" collapsed="false">
      <c r="Z1023" s="15"/>
      <c r="AA1023" s="15"/>
      <c r="AB1023" s="15"/>
      <c r="AC1023" s="15"/>
    </row>
    <row r="1024" customFormat="false" ht="15.75" hidden="false" customHeight="false" outlineLevel="0" collapsed="false">
      <c r="Z1024" s="15"/>
      <c r="AA1024" s="15"/>
      <c r="AB1024" s="15"/>
      <c r="AC1024" s="15"/>
    </row>
    <row r="1025" customFormat="false" ht="15.75" hidden="false" customHeight="false" outlineLevel="0" collapsed="false">
      <c r="Z1025" s="15"/>
      <c r="AA1025" s="15"/>
      <c r="AB1025" s="15"/>
      <c r="AC1025" s="15"/>
    </row>
    <row r="1026" customFormat="false" ht="15.75" hidden="false" customHeight="false" outlineLevel="0" collapsed="false">
      <c r="Z1026" s="15"/>
      <c r="AA1026" s="15"/>
      <c r="AB1026" s="15"/>
      <c r="AC1026" s="15"/>
    </row>
    <row r="1027" customFormat="false" ht="15.75" hidden="false" customHeight="false" outlineLevel="0" collapsed="false">
      <c r="Z1027" s="15"/>
      <c r="AA1027" s="15"/>
      <c r="AB1027" s="15"/>
      <c r="AC1027" s="15"/>
    </row>
    <row r="1028" customFormat="false" ht="15.75" hidden="false" customHeight="false" outlineLevel="0" collapsed="false">
      <c r="Z1028" s="15"/>
      <c r="AA1028" s="15"/>
      <c r="AB1028" s="15"/>
      <c r="AC1028" s="15"/>
    </row>
    <row r="1048576" customFormat="false" ht="12.8" hidden="false" customHeight="false" outlineLevel="0" collapsed="false"/>
  </sheetData>
  <dataValidations count="26">
    <dataValidation allowBlank="true" errorStyle="stop" operator="between" showDropDown="false" showErrorMessage="true" showInputMessage="true" sqref="AD2:AD1028" type="list">
      <formula1>list!$B$25:$E$25</formula1>
      <formula2>0</formula2>
    </dataValidation>
    <dataValidation allowBlank="true" errorStyle="stop" operator="between" showDropDown="false" showErrorMessage="true" showInputMessage="true" sqref="BY2:CI1028" type="list">
      <formula1>list!$B$72:$C$72</formula1>
      <formula2>0</formula2>
    </dataValidation>
    <dataValidation allowBlank="true" errorStyle="stop" operator="between" showDropDown="false" showErrorMessage="true" showInputMessage="true" sqref="BW2:BX1028" type="list">
      <formula1>list!$B$70:$F$70</formula1>
      <formula2>0</formula2>
    </dataValidation>
    <dataValidation allowBlank="true" errorStyle="stop" operator="between" showDropDown="false" showErrorMessage="true" showInputMessage="true" sqref="BV2:BV1028" type="list">
      <formula1>list!$B$69:$C$69</formula1>
      <formula2>0</formula2>
    </dataValidation>
    <dataValidation allowBlank="true" errorStyle="stop" operator="between" showDropDown="false" showErrorMessage="true" showInputMessage="true" sqref="BU2:BU1028" type="list">
      <formula1>list!$B$68:$G$68</formula1>
      <formula2>0</formula2>
    </dataValidation>
    <dataValidation allowBlank="true" errorStyle="stop" operator="between" showDropDown="false" showErrorMessage="true" showInputMessage="true" sqref="BR2:BR1028" type="list">
      <formula1>list!$B$65:$F$65</formula1>
      <formula2>0</formula2>
    </dataValidation>
    <dataValidation allowBlank="true" errorStyle="stop" operator="between" showDropDown="false" showErrorMessage="true" showInputMessage="true" sqref="BQ2:BQ1028" type="list">
      <formula1>list!$B$64:$E$64</formula1>
      <formula2>0</formula2>
    </dataValidation>
    <dataValidation allowBlank="true" errorStyle="stop" operator="between" showDropDown="false" showErrorMessage="true" showInputMessage="true" sqref="BB2:BB1028" type="list">
      <formula1>list!$B$49:$P$49</formula1>
      <formula2>0</formula2>
    </dataValidation>
    <dataValidation allowBlank="true" errorStyle="stop" operator="between" showDropDown="false" showErrorMessage="true" showInputMessage="true" sqref="AX2:BA1028 BC2:BP1028 BS2:BT1028" type="list">
      <formula1>list!$B$50:$C$50</formula1>
      <formula2>0</formula2>
    </dataValidation>
    <dataValidation allowBlank="true" errorStyle="stop" operator="between" showDropDown="false" showErrorMessage="true" showInputMessage="true" sqref="AU2:AU1028 AW2:AW1028" type="list">
      <formula1>list!$B$42:$Z$42</formula1>
      <formula2>0</formula2>
    </dataValidation>
    <dataValidation allowBlank="true" errorStyle="stop" operator="between" showDropDown="false" showErrorMessage="true" showInputMessage="true" sqref="AM2:AN1028" type="list">
      <formula1>list!$B$34:$C$34</formula1>
      <formula2>0</formula2>
    </dataValidation>
    <dataValidation allowBlank="true" errorStyle="stop" operator="between" showDropDown="false" showErrorMessage="true" showInputMessage="true" sqref="AL2:AL1028" type="list">
      <formula1>list!$B$33:$H$33</formula1>
      <formula2>0</formula2>
    </dataValidation>
    <dataValidation allowBlank="true" errorStyle="stop" operator="between" showDropDown="false" showErrorMessage="true" showInputMessage="true" sqref="AF2:AK1028" type="list">
      <formula1>list!$B$27:$C$27</formula1>
      <formula2>0</formula2>
    </dataValidation>
    <dataValidation allowBlank="true" errorStyle="stop" operator="between" showDropDown="false" showErrorMessage="true" showInputMessage="true" sqref="AE2:AE1028" type="list">
      <formula1>list!$B$26:$E$26</formula1>
      <formula2>0</formula2>
    </dataValidation>
    <dataValidation allowBlank="true" errorStyle="stop" operator="between" showDropDown="false" showErrorMessage="true" showInputMessage="true" sqref="Z2:AC1028" type="list">
      <formula1>list!$B$21:$M$21</formula1>
      <formula2>0</formula2>
    </dataValidation>
    <dataValidation allowBlank="true" errorStyle="stop" operator="between" showDropDown="false" showErrorMessage="true" showInputMessage="true" sqref="V2:W1028" type="list">
      <formula1>list!$B$17:$J$17</formula1>
      <formula2>0</formula2>
    </dataValidation>
    <dataValidation allowBlank="true" errorStyle="stop" operator="between" showDropDown="false" showErrorMessage="true" showInputMessage="true" sqref="G2:U1028" type="list">
      <formula1>list!$B$2:$C$2</formula1>
      <formula2>0</formula2>
    </dataValidation>
    <dataValidation allowBlank="true" errorStyle="stop" operator="between" showDropDown="false" showErrorMessage="true" showInputMessage="true" sqref="AO2:AO1028 AQ2:AQ1028" type="list">
      <formula1>list!$B$36:$G$36</formula1>
      <formula2>0</formula2>
    </dataValidation>
    <dataValidation allowBlank="true" errorStyle="stop" operator="between" showDropDown="false" showErrorMessage="true" showInputMessage="true" sqref="AT2:AT1028 AV2:AV1028" type="list">
      <formula1>list!$B$41:$F$41</formula1>
      <formula2>0</formula2>
    </dataValidation>
    <dataValidation allowBlank="true" errorStyle="stop" operator="between" showDropDown="false" showErrorMessage="true" showInputMessage="true" sqref="AP2:AP1028 AR2:AR1028" type="list">
      <formula1>list!$B$37:$O$37</formula1>
      <formula2>0</formula2>
    </dataValidation>
    <dataValidation allowBlank="true" errorStyle="stop" operator="between" showDropDown="false" showErrorMessage="true" showInputMessage="true" sqref="Y2:Y153" type="list">
      <formula1>list!$B$20:$I$20</formula1>
      <formula2>0</formula2>
    </dataValidation>
    <dataValidation allowBlank="true" errorStyle="stop" operator="between" showDropDown="false" showErrorMessage="true" showInputMessage="true" sqref="AS2:AS47" type="list">
      <formula1>list!$B$40:$I$40</formula1>
      <formula2>0</formula2>
    </dataValidation>
    <dataValidation allowBlank="true" errorStyle="stop" operator="between" showDropDown="false" showErrorMessage="true" showInputMessage="true" sqref="X2:X30" type="list">
      <formula1>list!$B$19:$D$19</formula1>
      <formula2>0</formula2>
    </dataValidation>
    <dataValidation allowBlank="true" errorStyle="stop" operator="between" showDropDown="false" showErrorMessage="true" showInputMessage="true" sqref="AS122:AS1028" type="list">
      <formula1>list!$B$40:$G$40</formula1>
      <formula2>0</formula2>
    </dataValidation>
    <dataValidation allowBlank="true" errorStyle="stop" operator="between" showDropDown="false" showErrorMessage="true" showInputMessage="true" sqref="Y154:Y1028" type="list">
      <formula1>list!$B$20:$H$20</formula1>
      <formula2>0</formula2>
    </dataValidation>
    <dataValidation allowBlank="true" errorStyle="stop" operator="between" showDropDown="false" showErrorMessage="true" showInputMessage="true" sqref="X31:X1028" type="list">
      <formula1>list!$B$19:$C$19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50"/>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5" ySplit="1" topLeftCell="CC10" activePane="bottomRight" state="frozen"/>
      <selection pane="topLeft" activeCell="A1" activeCellId="0" sqref="A1"/>
      <selection pane="topRight" activeCell="CC1" activeCellId="0" sqref="CC1"/>
      <selection pane="bottomLeft" activeCell="A10" activeCellId="0" sqref="A10"/>
      <selection pane="bottomRight" activeCell="CF23" activeCellId="0" sqref="CF23"/>
    </sheetView>
  </sheetViews>
  <sheetFormatPr defaultColWidth="8.8710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38" min="38" style="0" width="23.83"/>
    <col collapsed="false" customWidth="true" hidden="false" outlineLevel="0" max="42" min="42" style="0" width="12.16"/>
    <col collapsed="false" customWidth="true" hidden="false" outlineLevel="0" max="44" min="44" style="0" width="12.16"/>
    <col collapsed="false" customWidth="true" hidden="false" outlineLevel="0" max="45" min="45" style="0" width="15.33"/>
    <col collapsed="false" customWidth="true" hidden="false" outlineLevel="0" max="46" min="46" style="0" width="11.16"/>
    <col collapsed="false" customWidth="true" hidden="false" outlineLevel="0" max="48" min="48" style="0" width="11.16"/>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339.75" hidden="false" customHeight="false" outlineLevel="0" collapsed="false">
      <c r="A2" s="1"/>
      <c r="B2" s="1" t="n">
        <v>501403</v>
      </c>
      <c r="C2" s="25" t="n">
        <v>42444</v>
      </c>
      <c r="D2" s="1" t="n">
        <v>0</v>
      </c>
      <c r="E2" s="26" t="s">
        <v>145</v>
      </c>
      <c r="F2" s="1"/>
      <c r="G2" s="27" t="b">
        <f aca="false">TRUE()</f>
        <v>1</v>
      </c>
      <c r="H2" s="27" t="b">
        <f aca="false">TRUE()</f>
        <v>1</v>
      </c>
      <c r="I2" s="27" t="b">
        <f aca="false">TRUE()</f>
        <v>1</v>
      </c>
      <c r="J2" s="1"/>
      <c r="K2" s="1"/>
      <c r="L2" s="1"/>
      <c r="M2" s="1"/>
      <c r="N2" s="1"/>
      <c r="O2" s="1"/>
      <c r="P2" s="1"/>
      <c r="Q2" s="1"/>
      <c r="R2" s="1"/>
      <c r="S2" s="1"/>
      <c r="T2" s="1"/>
      <c r="U2" s="1"/>
      <c r="V2" s="1"/>
      <c r="W2" s="1"/>
      <c r="X2" s="27" t="b">
        <f aca="false">FALSE()</f>
        <v>0</v>
      </c>
      <c r="Y2" s="1"/>
      <c r="Z2" s="1"/>
      <c r="AA2" s="1" t="s">
        <v>115</v>
      </c>
      <c r="AB2" s="1"/>
      <c r="AC2" s="1" t="s">
        <v>115</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86.75" hidden="false" customHeight="false" outlineLevel="0" collapsed="false">
      <c r="A3" s="1"/>
      <c r="B3" s="1" t="n">
        <v>501403</v>
      </c>
      <c r="C3" s="25" t="n">
        <v>42524</v>
      </c>
      <c r="D3" s="1" t="n">
        <v>2</v>
      </c>
      <c r="E3" s="26" t="s">
        <v>146</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135.75" hidden="false" customHeight="false" outlineLevel="0" collapsed="false">
      <c r="A4" s="1"/>
      <c r="B4" s="1" t="n">
        <v>501403</v>
      </c>
      <c r="C4" s="25" t="n">
        <v>42621</v>
      </c>
      <c r="D4" s="1" t="n">
        <v>5</v>
      </c>
      <c r="E4" s="26" t="s">
        <v>147</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86.75" hidden="false" customHeight="false" outlineLevel="0" collapsed="false">
      <c r="A5" s="1"/>
      <c r="B5" s="1" t="n">
        <v>501403</v>
      </c>
      <c r="C5" s="25" t="n">
        <v>42629</v>
      </c>
      <c r="D5" s="1" t="n">
        <v>6</v>
      </c>
      <c r="E5" s="26" t="s">
        <v>148</v>
      </c>
      <c r="F5" s="1"/>
      <c r="G5" s="1"/>
      <c r="H5" s="1"/>
      <c r="I5" s="1"/>
      <c r="J5" s="1"/>
      <c r="K5" s="27" t="b">
        <f aca="false">TRUE()</f>
        <v>1</v>
      </c>
      <c r="L5" s="1"/>
      <c r="M5" s="27" t="b">
        <f aca="false">TRUE()</f>
        <v>1</v>
      </c>
      <c r="N5" s="1"/>
      <c r="O5" s="1"/>
      <c r="P5" s="1"/>
      <c r="Q5" s="1"/>
      <c r="R5" s="1"/>
      <c r="S5" s="1"/>
      <c r="T5" s="1"/>
      <c r="U5" s="1"/>
      <c r="V5" s="1"/>
      <c r="W5" s="1"/>
      <c r="X5" s="1"/>
      <c r="Y5" s="1"/>
      <c r="Z5" s="1"/>
      <c r="AA5" s="1"/>
      <c r="AB5" s="1"/>
      <c r="AC5" s="1"/>
      <c r="AD5" s="1"/>
      <c r="AE5" s="1"/>
      <c r="AF5" s="1"/>
      <c r="AG5" s="1"/>
      <c r="AH5" s="1"/>
      <c r="AI5" s="1"/>
      <c r="AJ5" s="1"/>
      <c r="AK5" s="1"/>
      <c r="AL5" s="1" t="s">
        <v>149</v>
      </c>
      <c r="AM5" s="1"/>
      <c r="AN5" s="1"/>
      <c r="AO5" s="1" t="s">
        <v>101</v>
      </c>
      <c r="AP5" s="1" t="s">
        <v>91</v>
      </c>
      <c r="AQ5" s="1" t="s">
        <v>101</v>
      </c>
      <c r="AR5" s="1" t="s">
        <v>91</v>
      </c>
      <c r="AS5" s="1"/>
      <c r="AT5" s="1" t="s">
        <v>150</v>
      </c>
      <c r="AU5" s="1"/>
      <c r="AV5" s="1" t="s">
        <v>150</v>
      </c>
      <c r="AW5" s="1"/>
      <c r="AX5" s="1"/>
      <c r="AY5" s="27" t="b">
        <f aca="false">TRUE()</f>
        <v>1</v>
      </c>
      <c r="AZ5" s="1"/>
      <c r="BA5" s="1"/>
      <c r="BB5" s="1"/>
      <c r="BC5" s="27" t="b">
        <f aca="false">TRUE()</f>
        <v>1</v>
      </c>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84.75" hidden="false" customHeight="false" outlineLevel="0" collapsed="false">
      <c r="A6" s="1"/>
      <c r="B6" s="1" t="n">
        <v>501403</v>
      </c>
      <c r="C6" s="25" t="n">
        <v>42657</v>
      </c>
      <c r="D6" s="1" t="n">
        <v>7</v>
      </c>
      <c r="E6" s="26" t="s">
        <v>151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27" t="b">
        <f aca="false">TRUE()</f>
        <v>1</v>
      </c>
      <c r="AN6" s="27" t="b">
        <f aca="false">FALSE()</f>
        <v>0</v>
      </c>
      <c r="AO6" s="1" t="s">
        <v>101</v>
      </c>
      <c r="AP6" s="1" t="s">
        <v>152</v>
      </c>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27" t="b">
        <f aca="false">TRUE()</f>
        <v>1</v>
      </c>
      <c r="BU6" s="1" t="s">
        <v>153</v>
      </c>
      <c r="BV6" s="27" t="b">
        <f aca="false">TRUE()</f>
        <v>1</v>
      </c>
      <c r="BW6" s="1"/>
      <c r="BX6" s="1"/>
      <c r="BY6" s="1"/>
      <c r="BZ6" s="1"/>
      <c r="CA6" s="1"/>
      <c r="CB6" s="1"/>
      <c r="CC6" s="1"/>
      <c r="CD6" s="1"/>
      <c r="CE6" s="1"/>
      <c r="CF6" s="1"/>
      <c r="CG6" s="1"/>
      <c r="CH6" s="1"/>
      <c r="CI6" s="1"/>
    </row>
    <row r="7" customFormat="false" ht="84.75" hidden="false" customHeight="false" outlineLevel="0" collapsed="false">
      <c r="A7" s="1"/>
      <c r="B7" s="1" t="n">
        <v>501403</v>
      </c>
      <c r="C7" s="25" t="n">
        <v>42660</v>
      </c>
      <c r="D7" s="1" t="n">
        <v>7</v>
      </c>
      <c r="E7" s="26" t="s">
        <v>151</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7" t="b">
        <f aca="false">TRUE()</f>
        <v>1</v>
      </c>
      <c r="AN7" s="27" t="b">
        <f aca="false">FALSE()</f>
        <v>0</v>
      </c>
      <c r="AO7" s="1" t="s">
        <v>101</v>
      </c>
      <c r="AP7" s="1" t="s">
        <v>152</v>
      </c>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27" t="b">
        <f aca="false">TRUE()</f>
        <v>1</v>
      </c>
      <c r="BU7" s="1" t="s">
        <v>153</v>
      </c>
      <c r="BV7" s="27" t="b">
        <f aca="false">TRUE()</f>
        <v>1</v>
      </c>
      <c r="BW7" s="1"/>
      <c r="BX7" s="1"/>
      <c r="BY7" s="1"/>
      <c r="BZ7" s="1"/>
      <c r="CA7" s="1"/>
      <c r="CB7" s="1"/>
      <c r="CC7" s="1"/>
      <c r="CD7" s="1"/>
      <c r="CE7" s="1"/>
      <c r="CF7" s="1"/>
      <c r="CG7" s="1"/>
      <c r="CH7" s="1"/>
      <c r="CI7" s="1"/>
    </row>
    <row r="8" customFormat="false" ht="307.5" hidden="false" customHeight="true" outlineLevel="0" collapsed="false">
      <c r="B8" s="1" t="n">
        <v>501403</v>
      </c>
      <c r="C8" s="28" t="n">
        <v>42685</v>
      </c>
      <c r="D8" s="0" t="n">
        <v>8</v>
      </c>
      <c r="E8" s="29" t="s">
        <v>154</v>
      </c>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7" t="b">
        <f aca="false">TRUE()</f>
        <v>1</v>
      </c>
      <c r="AN8" s="27" t="b">
        <f aca="false">FALSE()</f>
        <v>0</v>
      </c>
      <c r="AO8" s="1"/>
      <c r="AP8" s="30" t="s">
        <v>155</v>
      </c>
      <c r="AQ8" s="1"/>
      <c r="AR8" s="30" t="s">
        <v>91</v>
      </c>
      <c r="AS8" s="1"/>
      <c r="AT8" s="1"/>
      <c r="AU8" s="1"/>
      <c r="AV8" s="1"/>
      <c r="AW8" s="1"/>
      <c r="AX8" s="1"/>
      <c r="AY8" s="1"/>
      <c r="AZ8" s="1"/>
      <c r="BA8" s="1"/>
      <c r="BB8" s="1"/>
      <c r="BC8" s="1"/>
      <c r="BD8" s="1"/>
      <c r="BE8" s="1"/>
      <c r="BF8" s="1"/>
      <c r="BG8" s="1"/>
      <c r="BH8" s="1"/>
      <c r="BI8" s="1"/>
      <c r="BJ8" s="1"/>
      <c r="BK8" s="1"/>
      <c r="BL8" s="1"/>
      <c r="BM8" s="1"/>
      <c r="BN8" s="1"/>
      <c r="BO8" s="1"/>
      <c r="BP8" s="1"/>
      <c r="BQ8" s="1"/>
      <c r="BR8" s="1"/>
      <c r="BS8" s="1"/>
      <c r="BT8" s="27" t="b">
        <f aca="false">TRUE()</f>
        <v>1</v>
      </c>
      <c r="BU8" s="1" t="s">
        <v>153</v>
      </c>
      <c r="BV8" s="27" t="b">
        <f aca="false">TRUE()</f>
        <v>1</v>
      </c>
      <c r="BW8" s="1"/>
      <c r="BX8" s="1"/>
      <c r="BY8" s="1"/>
      <c r="BZ8" s="1"/>
      <c r="CA8" s="1"/>
      <c r="CB8" s="1"/>
      <c r="CC8" s="1"/>
      <c r="CD8" s="1"/>
      <c r="CE8" s="1"/>
      <c r="CF8" s="1"/>
      <c r="CG8" s="1"/>
      <c r="CH8" s="1"/>
      <c r="CI8" s="1"/>
    </row>
    <row r="9" customFormat="false" ht="220.5" hidden="false" customHeight="false" outlineLevel="0" collapsed="false">
      <c r="B9" s="1" t="n">
        <v>501403</v>
      </c>
      <c r="C9" s="28" t="n">
        <v>42719</v>
      </c>
      <c r="D9" s="0" t="n">
        <v>9</v>
      </c>
      <c r="E9" s="29" t="s">
        <v>156</v>
      </c>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7" t="b">
        <f aca="false">FALSE()</f>
        <v>0</v>
      </c>
      <c r="AN9" s="27" t="b">
        <f aca="false">FALSE()</f>
        <v>0</v>
      </c>
      <c r="AO9" s="1"/>
      <c r="AP9" s="30" t="s">
        <v>155</v>
      </c>
      <c r="AQ9" s="1" t="s">
        <v>101</v>
      </c>
      <c r="AR9" s="30" t="s">
        <v>91</v>
      </c>
      <c r="AS9" s="1"/>
      <c r="AT9" s="1"/>
      <c r="AU9" s="1"/>
      <c r="AV9" s="1"/>
      <c r="AW9" s="1"/>
      <c r="AX9" s="1"/>
      <c r="AY9" s="1"/>
      <c r="AZ9" s="1"/>
      <c r="BA9" s="1"/>
      <c r="BB9" s="1"/>
      <c r="BC9" s="27" t="b">
        <f aca="false">FALSE()</f>
        <v>0</v>
      </c>
      <c r="BD9" s="1"/>
      <c r="BE9" s="1"/>
      <c r="BF9" s="1"/>
      <c r="BG9" s="1"/>
      <c r="BH9" s="1"/>
      <c r="BI9" s="1"/>
      <c r="BJ9" s="1"/>
      <c r="BK9" s="1"/>
      <c r="BL9" s="1"/>
      <c r="BM9" s="1"/>
      <c r="BN9" s="1"/>
      <c r="BO9" s="1"/>
      <c r="BP9" s="1"/>
      <c r="BQ9" s="1"/>
      <c r="BR9" s="1"/>
      <c r="BS9" s="27" t="b">
        <f aca="false">TRUE()</f>
        <v>1</v>
      </c>
      <c r="BT9" s="1"/>
      <c r="BU9" s="1"/>
      <c r="BV9" s="1"/>
      <c r="BW9" s="1"/>
      <c r="BX9" s="1"/>
      <c r="BY9" s="1"/>
      <c r="BZ9" s="1"/>
      <c r="CA9" s="1"/>
      <c r="CB9" s="1"/>
      <c r="CC9" s="1"/>
      <c r="CD9" s="1"/>
      <c r="CE9" s="1"/>
      <c r="CF9" s="1"/>
      <c r="CG9" s="1"/>
      <c r="CH9" s="1"/>
      <c r="CI9" s="1"/>
    </row>
    <row r="10" customFormat="false" ht="153" hidden="false" customHeight="false" outlineLevel="0" collapsed="false">
      <c r="B10" s="1" t="n">
        <v>501403</v>
      </c>
      <c r="C10" s="28" t="n">
        <v>42748</v>
      </c>
      <c r="D10" s="0" t="n">
        <v>10</v>
      </c>
      <c r="E10" s="29" t="s">
        <v>157</v>
      </c>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27" t="b">
        <f aca="false">FALSE()</f>
        <v>0</v>
      </c>
      <c r="AN10" s="27" t="b">
        <f aca="false">TRUE()</f>
        <v>1</v>
      </c>
      <c r="AO10" s="1" t="s">
        <v>101</v>
      </c>
      <c r="AP10" s="30" t="s">
        <v>155</v>
      </c>
      <c r="AQ10" s="1" t="s">
        <v>101</v>
      </c>
      <c r="AR10" s="30" t="s">
        <v>155</v>
      </c>
      <c r="AS10" s="1"/>
      <c r="AT10" s="1" t="s">
        <v>129</v>
      </c>
      <c r="AU10" s="1"/>
      <c r="AV10" s="1" t="s">
        <v>129</v>
      </c>
      <c r="AW10" s="1"/>
      <c r="AX10" s="1"/>
      <c r="AY10" s="27" t="b">
        <f aca="false">FALSE()</f>
        <v>0</v>
      </c>
      <c r="AZ10" s="1"/>
      <c r="BA10" s="1"/>
      <c r="BB10" s="1"/>
      <c r="BC10" s="1"/>
      <c r="BD10" s="1"/>
      <c r="BE10" s="1"/>
      <c r="BF10" s="1"/>
      <c r="BG10" s="1"/>
      <c r="BH10" s="1"/>
      <c r="BI10" s="1"/>
      <c r="BJ10" s="1"/>
      <c r="BK10" s="1"/>
      <c r="BL10" s="1"/>
      <c r="BM10" s="1"/>
      <c r="BN10" s="1"/>
      <c r="BO10" s="1"/>
      <c r="BP10" s="1"/>
      <c r="BQ10" s="1"/>
      <c r="BR10" s="1"/>
      <c r="BS10" s="31" t="b">
        <f aca="false">TRUE()</f>
        <v>1</v>
      </c>
      <c r="BT10" s="1"/>
      <c r="BU10" s="1"/>
      <c r="BV10" s="1"/>
      <c r="BW10" s="1"/>
      <c r="BX10" s="1"/>
      <c r="BY10" s="1"/>
      <c r="BZ10" s="1"/>
      <c r="CA10" s="1"/>
      <c r="CB10" s="1"/>
      <c r="CC10" s="1"/>
      <c r="CD10" s="1"/>
      <c r="CE10" s="1"/>
      <c r="CF10" s="1"/>
      <c r="CG10" s="1"/>
      <c r="CH10" s="1"/>
      <c r="CI10" s="1"/>
    </row>
    <row r="11" customFormat="false" ht="153" hidden="false" customHeight="false" outlineLevel="0" collapsed="false">
      <c r="B11" s="1" t="n">
        <v>501403</v>
      </c>
      <c r="C11" s="28" t="n">
        <v>42776</v>
      </c>
      <c r="D11" s="0" t="n">
        <v>11</v>
      </c>
      <c r="E11" s="29" t="s">
        <v>158</v>
      </c>
      <c r="G11" s="27" t="b">
        <f aca="false">TRUE()</f>
        <v>1</v>
      </c>
      <c r="H11" s="1"/>
      <c r="I11" s="1"/>
      <c r="J11" s="1"/>
      <c r="K11" s="1"/>
      <c r="L11" s="1"/>
      <c r="M11" s="1"/>
      <c r="N11" s="1"/>
      <c r="O11" s="1"/>
      <c r="P11" s="1"/>
      <c r="Q11" s="1"/>
      <c r="R11" s="27" t="b">
        <f aca="false">TRUE()</f>
        <v>1</v>
      </c>
      <c r="S11" s="1"/>
      <c r="T11" s="1"/>
      <c r="U11" s="1"/>
      <c r="V11" s="1"/>
      <c r="W11" s="1"/>
      <c r="X11" s="1"/>
      <c r="Y11" s="1"/>
      <c r="Z11" s="1"/>
      <c r="AA11" s="1"/>
      <c r="AB11" s="1"/>
      <c r="AC11" s="1"/>
      <c r="AD11" s="1"/>
      <c r="AE11" s="1"/>
      <c r="AF11" s="1"/>
      <c r="AG11" s="1"/>
      <c r="AH11" s="1"/>
      <c r="AI11" s="1"/>
      <c r="AJ11" s="1"/>
      <c r="AK11" s="1"/>
      <c r="AL11" s="1"/>
      <c r="AM11" s="27" t="b">
        <f aca="false">FALSE()</f>
        <v>0</v>
      </c>
      <c r="AN11" s="27" t="b">
        <f aca="false">FALSE()</f>
        <v>0</v>
      </c>
      <c r="AO11" s="1"/>
      <c r="AP11" s="30"/>
      <c r="AQ11" s="1"/>
      <c r="AR11" s="30"/>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31" t="b">
        <f aca="false">TRUE()</f>
        <v>1</v>
      </c>
      <c r="BT11" s="1"/>
      <c r="BU11" s="1"/>
      <c r="BV11" s="1"/>
      <c r="BW11" s="1"/>
      <c r="BX11" s="1"/>
      <c r="BY11" s="1"/>
      <c r="BZ11" s="1"/>
      <c r="CA11" s="1"/>
      <c r="CB11" s="1"/>
      <c r="CC11" s="1"/>
      <c r="CD11" s="1"/>
      <c r="CE11" s="1"/>
      <c r="CF11" s="1"/>
      <c r="CG11" s="1"/>
      <c r="CH11" s="1"/>
      <c r="CI11" s="1"/>
    </row>
    <row r="12" customFormat="false" ht="84.75" hidden="false" customHeight="false" outlineLevel="0" collapsed="false">
      <c r="B12" s="1" t="n">
        <v>501403</v>
      </c>
      <c r="C12" s="28" t="n">
        <v>42808</v>
      </c>
      <c r="D12" s="0" t="n">
        <v>12</v>
      </c>
      <c r="E12" s="32" t="s">
        <v>159</v>
      </c>
      <c r="G12" s="1"/>
      <c r="H12" s="1"/>
      <c r="I12" s="1"/>
      <c r="J12" s="1"/>
      <c r="K12" s="1"/>
      <c r="L12" s="1"/>
      <c r="M12" s="1"/>
      <c r="N12" s="1"/>
      <c r="O12" s="27" t="b">
        <f aca="false">TRUE()</f>
        <v>1</v>
      </c>
      <c r="P12" s="1"/>
      <c r="Q12" s="1"/>
      <c r="R12" s="1"/>
      <c r="S12" s="1"/>
      <c r="T12" s="1"/>
      <c r="U12" s="1"/>
      <c r="V12" s="1"/>
      <c r="W12" s="1"/>
      <c r="X12" s="1"/>
      <c r="Y12" s="1"/>
      <c r="Z12" s="1"/>
      <c r="AA12" s="1"/>
      <c r="AB12" s="1"/>
      <c r="AC12" s="1"/>
      <c r="AD12" s="1"/>
      <c r="AE12" s="1"/>
      <c r="AF12" s="1"/>
      <c r="AG12" s="1"/>
      <c r="AH12" s="1"/>
      <c r="AI12" s="1"/>
      <c r="AJ12" s="1"/>
      <c r="AK12" s="1"/>
      <c r="AL12" s="1"/>
      <c r="AM12" s="27" t="b">
        <f aca="false">TRUE()</f>
        <v>1</v>
      </c>
      <c r="AN12" s="27" t="b">
        <f aca="false">TRUE()</f>
        <v>1</v>
      </c>
      <c r="AO12" s="1" t="s">
        <v>101</v>
      </c>
      <c r="AP12" s="30" t="s">
        <v>160</v>
      </c>
      <c r="AQ12" s="1" t="s">
        <v>101</v>
      </c>
      <c r="AR12" s="30" t="s">
        <v>160</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51" hidden="false" customHeight="false" outlineLevel="0" collapsed="false">
      <c r="B13" s="1" t="n">
        <v>501403</v>
      </c>
      <c r="C13" s="28" t="n">
        <v>42839</v>
      </c>
      <c r="D13" s="0" t="n">
        <v>13</v>
      </c>
      <c r="E13" s="32" t="s">
        <v>161</v>
      </c>
      <c r="G13" s="1"/>
      <c r="H13" s="1"/>
      <c r="I13" s="1"/>
      <c r="J13" s="1"/>
      <c r="K13" s="1"/>
      <c r="L13" s="1"/>
      <c r="M13" s="1"/>
      <c r="N13" s="1"/>
      <c r="O13" s="27" t="b">
        <f aca="false">TRUE()</f>
        <v>1</v>
      </c>
      <c r="P13" s="1"/>
      <c r="Q13" s="1"/>
      <c r="R13" s="1"/>
      <c r="S13" s="1"/>
      <c r="T13" s="1"/>
      <c r="U13" s="1"/>
      <c r="V13" s="1"/>
      <c r="W13" s="1"/>
      <c r="X13" s="1"/>
      <c r="Y13" s="1"/>
      <c r="Z13" s="1"/>
      <c r="AA13" s="1"/>
      <c r="AB13" s="1"/>
      <c r="AC13" s="1"/>
      <c r="AD13" s="1"/>
      <c r="AE13" s="1"/>
      <c r="AF13" s="1"/>
      <c r="AG13" s="1"/>
      <c r="AH13" s="1"/>
      <c r="AI13" s="1"/>
      <c r="AJ13" s="1"/>
      <c r="AK13" s="1"/>
      <c r="AL13" s="1"/>
      <c r="AM13" s="27" t="b">
        <f aca="false">TRUE()</f>
        <v>1</v>
      </c>
      <c r="AN13" s="27" t="b">
        <f aca="false">TRUE()</f>
        <v>1</v>
      </c>
      <c r="AO13" s="1" t="s">
        <v>107</v>
      </c>
      <c r="AP13" s="30" t="s">
        <v>97</v>
      </c>
      <c r="AQ13" s="1" t="s">
        <v>107</v>
      </c>
      <c r="AR13" s="30" t="s">
        <v>97</v>
      </c>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118.5" hidden="false" customHeight="false" outlineLevel="0" collapsed="false">
      <c r="B14" s="1" t="n">
        <v>501403</v>
      </c>
      <c r="C14" s="28" t="n">
        <v>42902</v>
      </c>
      <c r="D14" s="0" t="n">
        <v>15</v>
      </c>
      <c r="E14" s="29" t="s">
        <v>162</v>
      </c>
      <c r="G14" s="27" t="b">
        <f aca="false">TRUE()</f>
        <v>1</v>
      </c>
      <c r="H14" s="27" t="b">
        <f aca="false">TRUE()</f>
        <v>1</v>
      </c>
      <c r="I14" s="27" t="b">
        <f aca="false">TRUE()</f>
        <v>1</v>
      </c>
      <c r="J14" s="1"/>
      <c r="K14" s="1"/>
      <c r="L14" s="1"/>
      <c r="M14" s="1"/>
      <c r="N14" s="1"/>
      <c r="O14" s="1"/>
      <c r="P14" s="1"/>
      <c r="Q14" s="1"/>
      <c r="R14" s="1"/>
      <c r="S14" s="1"/>
      <c r="T14" s="1"/>
      <c r="U14" s="1"/>
      <c r="V14" s="1"/>
      <c r="W14" s="1" t="s">
        <v>163</v>
      </c>
      <c r="X14" s="1"/>
      <c r="Y14" s="1"/>
      <c r="Z14" s="1"/>
      <c r="AA14" s="1"/>
      <c r="AB14" s="1"/>
      <c r="AC14" s="1"/>
      <c r="AD14" s="1"/>
      <c r="AE14" s="1"/>
      <c r="AF14" s="1"/>
      <c r="AG14" s="1"/>
      <c r="AH14" s="1"/>
      <c r="AI14" s="1"/>
      <c r="AJ14" s="1"/>
      <c r="AK14" s="1"/>
      <c r="AL14" s="1"/>
      <c r="AM14" s="27" t="b">
        <f aca="false">FALSE()</f>
        <v>0</v>
      </c>
      <c r="AN14" s="27" t="b">
        <f aca="false">TRUE()</f>
        <v>1</v>
      </c>
      <c r="AO14" s="1" t="s">
        <v>107</v>
      </c>
      <c r="AP14" s="30" t="s">
        <v>97</v>
      </c>
      <c r="AQ14" s="1" t="s">
        <v>122</v>
      </c>
      <c r="AR14" s="30" t="s">
        <v>164</v>
      </c>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31" t="b">
        <f aca="false">TRUE()</f>
        <v>1</v>
      </c>
      <c r="CA14" s="1"/>
      <c r="CB14" s="1"/>
      <c r="CC14" s="1"/>
      <c r="CD14" s="1"/>
      <c r="CE14" s="1"/>
      <c r="CF14" s="1"/>
      <c r="CG14" s="1"/>
      <c r="CH14" s="1"/>
      <c r="CI14" s="1"/>
    </row>
    <row r="15" customFormat="false" ht="355.5" hidden="false" customHeight="false" outlineLevel="0" collapsed="false">
      <c r="B15" s="1" t="n">
        <v>501403</v>
      </c>
      <c r="C15" s="28" t="n">
        <v>42965</v>
      </c>
      <c r="D15" s="0" t="n">
        <v>17</v>
      </c>
      <c r="E15" s="29" t="s">
        <v>165</v>
      </c>
      <c r="G15" s="1"/>
      <c r="H15" s="1"/>
      <c r="I15" s="1"/>
      <c r="J15" s="1"/>
      <c r="K15" s="1"/>
      <c r="L15" s="1"/>
      <c r="M15" s="1"/>
      <c r="N15" s="1"/>
      <c r="O15" s="1"/>
      <c r="P15" s="1"/>
      <c r="Q15" s="1"/>
      <c r="R15" s="1"/>
      <c r="S15" s="1"/>
      <c r="T15" s="1"/>
      <c r="U15" s="1"/>
      <c r="V15" s="1"/>
      <c r="W15" s="1"/>
      <c r="X15" s="1"/>
      <c r="Y15" s="1"/>
      <c r="Z15" s="1" t="s">
        <v>87</v>
      </c>
      <c r="AA15" s="1" t="s">
        <v>87</v>
      </c>
      <c r="AB15" s="1" t="s">
        <v>87</v>
      </c>
      <c r="AC15" s="1" t="s">
        <v>87</v>
      </c>
      <c r="AD15" s="1"/>
      <c r="AE15" s="1"/>
      <c r="AF15" s="1"/>
      <c r="AG15" s="1"/>
      <c r="AH15" s="1"/>
      <c r="AI15" s="1"/>
      <c r="AJ15" s="1"/>
      <c r="AK15" s="1"/>
      <c r="AL15" s="1"/>
      <c r="AM15" s="27" t="b">
        <f aca="false">TRUE()</f>
        <v>1</v>
      </c>
      <c r="AN15" s="27" t="b">
        <f aca="false">TRUE()</f>
        <v>1</v>
      </c>
      <c r="AO15" s="1" t="s">
        <v>101</v>
      </c>
      <c r="AP15" s="30" t="s">
        <v>155</v>
      </c>
      <c r="AQ15" s="1" t="s">
        <v>101</v>
      </c>
      <c r="AR15" s="30" t="s">
        <v>155</v>
      </c>
      <c r="AS15" s="1"/>
      <c r="AT15" s="1"/>
      <c r="AU15" s="1"/>
      <c r="AV15" s="1"/>
      <c r="AW15" s="1"/>
      <c r="AX15" s="27" t="b">
        <f aca="false">FALSE()</f>
        <v>0</v>
      </c>
      <c r="AY15" s="27" t="b">
        <f aca="false">FALSE()</f>
        <v>0</v>
      </c>
      <c r="AZ15" s="27" t="b">
        <f aca="false">FALSE()</f>
        <v>0</v>
      </c>
      <c r="BA15" s="27" t="b">
        <f aca="false">FALSE()</f>
        <v>0</v>
      </c>
      <c r="BB15" s="1"/>
      <c r="BC15" s="1"/>
      <c r="BD15" s="1"/>
      <c r="BE15" s="1"/>
      <c r="BF15" s="1"/>
      <c r="BG15" s="1"/>
      <c r="BH15" s="1"/>
      <c r="BI15" s="1"/>
      <c r="BJ15" s="1"/>
      <c r="BK15" s="1"/>
      <c r="BL15" s="1"/>
      <c r="BM15" s="1"/>
      <c r="BN15" s="1"/>
      <c r="BO15" s="1"/>
      <c r="BP15" s="1"/>
      <c r="BQ15" s="1" t="s">
        <v>135</v>
      </c>
      <c r="BR15" s="1" t="s">
        <v>108</v>
      </c>
      <c r="BS15" s="1"/>
      <c r="BT15" s="1"/>
      <c r="BU15" s="1"/>
      <c r="BV15" s="31" t="b">
        <f aca="false">TRUE()</f>
        <v>1</v>
      </c>
      <c r="BW15" s="1"/>
      <c r="BX15" s="1"/>
      <c r="BY15" s="1"/>
      <c r="BZ15" s="1"/>
      <c r="CA15" s="1"/>
      <c r="CB15" s="1"/>
      <c r="CC15" s="1"/>
      <c r="CD15" s="1"/>
      <c r="CE15" s="1"/>
      <c r="CF15" s="1"/>
      <c r="CG15" s="1"/>
      <c r="CH15" s="1"/>
      <c r="CI15" s="1"/>
    </row>
    <row r="16" customFormat="false" ht="322.5" hidden="false" customHeight="false" outlineLevel="0" collapsed="false">
      <c r="B16" s="1" t="n">
        <v>501403</v>
      </c>
      <c r="C16" s="28" t="n">
        <v>43035</v>
      </c>
      <c r="D16" s="0" t="n">
        <v>19</v>
      </c>
      <c r="E16" s="29" t="s">
        <v>166</v>
      </c>
      <c r="G16" s="1"/>
      <c r="H16" s="1"/>
      <c r="I16" s="1"/>
      <c r="J16" s="1"/>
      <c r="K16" s="1"/>
      <c r="L16" s="1"/>
      <c r="M16" s="1"/>
      <c r="N16" s="1"/>
      <c r="O16" s="1"/>
      <c r="P16" s="1"/>
      <c r="Q16" s="1"/>
      <c r="R16" s="1"/>
      <c r="S16" s="1"/>
      <c r="T16" s="1"/>
      <c r="U16" s="1"/>
      <c r="V16" s="1"/>
      <c r="W16" s="1"/>
      <c r="X16" s="1"/>
      <c r="Y16" s="1"/>
      <c r="Z16" s="1" t="s">
        <v>87</v>
      </c>
      <c r="AA16" s="1" t="s">
        <v>87</v>
      </c>
      <c r="AB16" s="1" t="s">
        <v>87</v>
      </c>
      <c r="AC16" s="1" t="s">
        <v>87</v>
      </c>
      <c r="AD16" s="1"/>
      <c r="AE16" s="1"/>
      <c r="AF16" s="1"/>
      <c r="AG16" s="1"/>
      <c r="AH16" s="1"/>
      <c r="AI16" s="1"/>
      <c r="AJ16" s="1"/>
      <c r="AK16" s="1"/>
      <c r="AL16" s="1"/>
      <c r="AM16" s="27" t="b">
        <f aca="false">TRUE()</f>
        <v>1</v>
      </c>
      <c r="AN16" s="27" t="b">
        <f aca="false">TRUE()</f>
        <v>1</v>
      </c>
      <c r="AO16" s="1" t="s">
        <v>122</v>
      </c>
      <c r="AP16" s="30" t="s">
        <v>167</v>
      </c>
      <c r="AQ16" s="1" t="s">
        <v>122</v>
      </c>
      <c r="AR16" s="30" t="s">
        <v>167</v>
      </c>
      <c r="AS16" s="1" t="s">
        <v>168</v>
      </c>
      <c r="AT16" s="1"/>
      <c r="AU16" s="1"/>
      <c r="AV16" s="1"/>
      <c r="AW16" s="1"/>
      <c r="AX16" s="27" t="b">
        <f aca="false">FALSE()</f>
        <v>0</v>
      </c>
      <c r="AY16" s="27" t="b">
        <f aca="false">FALSE()</f>
        <v>0</v>
      </c>
      <c r="AZ16" s="27" t="b">
        <f aca="false">FALSE()</f>
        <v>0</v>
      </c>
      <c r="BA16" s="27" t="b">
        <f aca="false">FALSE()</f>
        <v>0</v>
      </c>
      <c r="BB16" s="1"/>
      <c r="BC16" s="1"/>
      <c r="BD16" s="1"/>
      <c r="BE16" s="1"/>
      <c r="BF16" s="1"/>
      <c r="BG16" s="1"/>
      <c r="BH16" s="1"/>
      <c r="BI16" s="1"/>
      <c r="BJ16" s="1"/>
      <c r="BK16" s="1"/>
      <c r="BL16" s="1"/>
      <c r="BM16" s="1"/>
      <c r="BN16" s="1"/>
      <c r="BO16" s="1"/>
      <c r="BP16" s="1"/>
      <c r="BQ16" s="1" t="s">
        <v>135</v>
      </c>
      <c r="BR16" s="1" t="s">
        <v>103</v>
      </c>
      <c r="BS16" s="1"/>
      <c r="BT16" s="1"/>
      <c r="BU16" s="1"/>
      <c r="BV16" s="1"/>
      <c r="BW16" s="1"/>
      <c r="BX16" s="1"/>
      <c r="BY16" s="1"/>
      <c r="BZ16" s="1"/>
      <c r="CA16" s="1"/>
      <c r="CB16" s="1"/>
      <c r="CC16" s="1"/>
      <c r="CD16" s="1"/>
      <c r="CE16" s="1"/>
      <c r="CF16" s="1"/>
      <c r="CG16" s="1"/>
      <c r="CH16" s="1"/>
      <c r="CI16" s="1"/>
    </row>
    <row r="17" customFormat="false" ht="339.75" hidden="false" customHeight="false" outlineLevel="0" collapsed="false">
      <c r="B17" s="1" t="n">
        <v>501403</v>
      </c>
      <c r="C17" s="28" t="n">
        <v>43074</v>
      </c>
      <c r="D17" s="0" t="n">
        <v>21</v>
      </c>
      <c r="E17" s="29" t="s">
        <v>169</v>
      </c>
      <c r="G17" s="1"/>
      <c r="H17" s="1"/>
      <c r="I17" s="1"/>
      <c r="J17" s="1"/>
      <c r="K17" s="1"/>
      <c r="L17" s="1"/>
      <c r="M17" s="1"/>
      <c r="N17" s="1"/>
      <c r="O17" s="1"/>
      <c r="P17" s="1"/>
      <c r="Q17" s="1"/>
      <c r="R17" s="1"/>
      <c r="S17" s="1"/>
      <c r="T17" s="1"/>
      <c r="U17" s="1"/>
      <c r="V17" s="1"/>
      <c r="W17" s="1"/>
      <c r="X17" s="1"/>
      <c r="Y17" s="1"/>
      <c r="Z17" s="1" t="s">
        <v>87</v>
      </c>
      <c r="AA17" s="1" t="s">
        <v>87</v>
      </c>
      <c r="AB17" s="1" t="s">
        <v>87</v>
      </c>
      <c r="AC17" s="1" t="s">
        <v>87</v>
      </c>
      <c r="AD17" s="1"/>
      <c r="AE17" s="1"/>
      <c r="AF17" s="1"/>
      <c r="AG17" s="1"/>
      <c r="AH17" s="1"/>
      <c r="AI17" s="1"/>
      <c r="AJ17" s="1"/>
      <c r="AK17" s="1"/>
      <c r="AL17" s="1"/>
      <c r="AM17" s="27" t="b">
        <f aca="false">FALSE()</f>
        <v>0</v>
      </c>
      <c r="AN17" s="27" t="b">
        <f aca="false">TRUE()</f>
        <v>1</v>
      </c>
      <c r="AO17" s="1" t="s">
        <v>122</v>
      </c>
      <c r="AP17" s="30" t="s">
        <v>167</v>
      </c>
      <c r="AQ17" s="1" t="s">
        <v>122</v>
      </c>
      <c r="AR17" s="30" t="s">
        <v>164</v>
      </c>
      <c r="AS17" s="1"/>
      <c r="AT17" s="1"/>
      <c r="AU17" s="1"/>
      <c r="AV17" s="1"/>
      <c r="AW17" s="1"/>
      <c r="AX17" s="27" t="b">
        <f aca="false">FALSE()</f>
        <v>0</v>
      </c>
      <c r="AY17" s="27" t="b">
        <f aca="false">FALSE()</f>
        <v>0</v>
      </c>
      <c r="AZ17" s="27" t="b">
        <f aca="false">FALSE()</f>
        <v>0</v>
      </c>
      <c r="BA17" s="27" t="b">
        <f aca="false">FALSE()</f>
        <v>0</v>
      </c>
      <c r="BB17" s="1"/>
      <c r="BC17" s="1"/>
      <c r="BD17" s="1"/>
      <c r="BE17" s="1"/>
      <c r="BF17" s="1"/>
      <c r="BG17" s="1"/>
      <c r="BH17" s="1"/>
      <c r="BI17" s="1"/>
      <c r="BJ17" s="1"/>
      <c r="BK17" s="1"/>
      <c r="BL17" s="1"/>
      <c r="BM17" s="1"/>
      <c r="BN17" s="1"/>
      <c r="BO17" s="1"/>
      <c r="BP17" s="1"/>
      <c r="BQ17" s="1" t="s">
        <v>135</v>
      </c>
      <c r="BR17" s="1" t="s">
        <v>103</v>
      </c>
      <c r="BS17" s="1"/>
      <c r="BT17" s="1"/>
      <c r="BU17" s="1"/>
      <c r="BV17" s="1"/>
      <c r="BW17" s="1"/>
      <c r="BX17" s="1"/>
      <c r="BY17" s="1"/>
      <c r="BZ17" s="1"/>
      <c r="CA17" s="1"/>
      <c r="CB17" s="1"/>
      <c r="CC17" s="1"/>
      <c r="CD17" s="1"/>
      <c r="CE17" s="1"/>
      <c r="CF17" s="1"/>
      <c r="CG17" s="1"/>
      <c r="CH17" s="1"/>
      <c r="CI17" s="1"/>
    </row>
    <row r="18" customFormat="false" ht="271.5" hidden="false" customHeight="false" outlineLevel="0" collapsed="false">
      <c r="B18" s="1" t="n">
        <v>501403</v>
      </c>
      <c r="C18" s="28" t="n">
        <v>43112</v>
      </c>
      <c r="D18" s="0" t="n">
        <v>22</v>
      </c>
      <c r="E18" s="29" t="s">
        <v>170</v>
      </c>
      <c r="G18" s="1"/>
      <c r="H18" s="1"/>
      <c r="I18" s="1"/>
      <c r="J18" s="1"/>
      <c r="K18" s="1"/>
      <c r="L18" s="1"/>
      <c r="M18" s="1"/>
      <c r="N18" s="1"/>
      <c r="O18" s="1"/>
      <c r="P18" s="1"/>
      <c r="Q18" s="1"/>
      <c r="R18" s="1"/>
      <c r="S18" s="1"/>
      <c r="T18" s="1"/>
      <c r="U18" s="1"/>
      <c r="V18" s="1"/>
      <c r="W18" s="1" t="s">
        <v>163</v>
      </c>
      <c r="X18" s="1"/>
      <c r="Y18" s="1"/>
      <c r="Z18" s="1" t="s">
        <v>87</v>
      </c>
      <c r="AA18" s="1" t="s">
        <v>87</v>
      </c>
      <c r="AB18" s="1" t="s">
        <v>87</v>
      </c>
      <c r="AC18" s="1" t="s">
        <v>87</v>
      </c>
      <c r="AD18" s="1"/>
      <c r="AE18" s="1"/>
      <c r="AF18" s="1"/>
      <c r="AG18" s="1"/>
      <c r="AH18" s="1"/>
      <c r="AI18" s="1"/>
      <c r="AJ18" s="1"/>
      <c r="AK18" s="1"/>
      <c r="AL18" s="1"/>
      <c r="AM18" s="27" t="b">
        <f aca="false">TRUE()</f>
        <v>1</v>
      </c>
      <c r="AN18" s="27" t="b">
        <f aca="false">FALSE()</f>
        <v>0</v>
      </c>
      <c r="AO18" s="1" t="s">
        <v>101</v>
      </c>
      <c r="AP18" s="30" t="s">
        <v>160</v>
      </c>
      <c r="AQ18" s="1" t="s">
        <v>122</v>
      </c>
      <c r="AR18" s="30" t="s">
        <v>164</v>
      </c>
      <c r="AS18" s="1"/>
      <c r="AT18" s="1"/>
      <c r="AU18" s="1"/>
      <c r="AV18" s="1"/>
      <c r="AW18" s="1"/>
      <c r="AX18" s="27" t="b">
        <f aca="false">FALSE()</f>
        <v>0</v>
      </c>
      <c r="AY18" s="27" t="b">
        <f aca="false">FALSE()</f>
        <v>0</v>
      </c>
      <c r="AZ18" s="27" t="b">
        <f aca="false">FALSE()</f>
        <v>0</v>
      </c>
      <c r="BA18" s="27" t="b">
        <f aca="false">FALSE()</f>
        <v>0</v>
      </c>
      <c r="BB18" s="1"/>
      <c r="BC18" s="1"/>
      <c r="BD18" s="1"/>
      <c r="BE18" s="1"/>
      <c r="BF18" s="1"/>
      <c r="BG18" s="1"/>
      <c r="BH18" s="1"/>
      <c r="BI18" s="1"/>
      <c r="BJ18" s="1"/>
      <c r="BK18" s="1"/>
      <c r="BL18" s="1"/>
      <c r="BM18" s="1"/>
      <c r="BN18" s="1"/>
      <c r="BO18" s="1"/>
      <c r="BP18" s="1"/>
      <c r="BQ18" s="1" t="s">
        <v>103</v>
      </c>
      <c r="BR18" s="1" t="s">
        <v>103</v>
      </c>
      <c r="BS18" s="1"/>
      <c r="BT18" s="1"/>
      <c r="BU18" s="1"/>
      <c r="BV18" s="1"/>
      <c r="BW18" s="1"/>
      <c r="BX18" s="1"/>
      <c r="BY18" s="1"/>
      <c r="BZ18" s="1"/>
      <c r="CA18" s="1"/>
      <c r="CB18" s="1"/>
      <c r="CC18" s="1"/>
      <c r="CD18" s="1"/>
      <c r="CE18" s="1"/>
      <c r="CF18" s="1"/>
      <c r="CG18" s="1"/>
      <c r="CH18" s="1"/>
      <c r="CI18" s="1"/>
    </row>
    <row r="19" customFormat="false" ht="84.75" hidden="false" customHeight="false" outlineLevel="0" collapsed="false">
      <c r="B19" s="1" t="n">
        <v>501403</v>
      </c>
      <c r="C19" s="28" t="n">
        <v>43140</v>
      </c>
      <c r="D19" s="0" t="n">
        <v>23</v>
      </c>
      <c r="E19" s="29" t="s">
        <v>171</v>
      </c>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30"/>
      <c r="AQ19" s="1"/>
      <c r="AR19" s="30"/>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t="s">
        <v>119</v>
      </c>
      <c r="BS19" s="1"/>
      <c r="BT19" s="1"/>
      <c r="BU19" s="1"/>
      <c r="BV19" s="1"/>
      <c r="BW19" s="1"/>
      <c r="BX19" s="1"/>
      <c r="BY19" s="1"/>
      <c r="BZ19" s="1"/>
      <c r="CA19" s="1"/>
      <c r="CB19" s="1"/>
      <c r="CC19" s="1"/>
      <c r="CD19" s="1"/>
      <c r="CE19" s="1"/>
      <c r="CF19" s="1"/>
      <c r="CG19" s="1"/>
      <c r="CH19" s="1"/>
      <c r="CI19" s="1"/>
    </row>
    <row r="20" customFormat="false" ht="255" hidden="false" customHeight="false" outlineLevel="0" collapsed="false">
      <c r="B20" s="1" t="n">
        <v>501403</v>
      </c>
      <c r="C20" s="28" t="n">
        <v>43168</v>
      </c>
      <c r="D20" s="0" t="n">
        <v>24</v>
      </c>
      <c r="E20" s="29" t="s">
        <v>172</v>
      </c>
      <c r="G20" s="1"/>
      <c r="H20" s="1"/>
      <c r="I20" s="1"/>
      <c r="J20" s="1"/>
      <c r="K20" s="1"/>
      <c r="L20" s="1"/>
      <c r="M20" s="1"/>
      <c r="N20" s="1"/>
      <c r="O20" s="1"/>
      <c r="P20" s="1"/>
      <c r="Q20" s="1"/>
      <c r="R20" s="1"/>
      <c r="S20" s="1"/>
      <c r="T20" s="1"/>
      <c r="U20" s="1"/>
      <c r="V20" s="1"/>
      <c r="W20" s="1"/>
      <c r="X20" s="1"/>
      <c r="Y20" s="1"/>
      <c r="Z20" s="1" t="s">
        <v>87</v>
      </c>
      <c r="AA20" s="1" t="s">
        <v>87</v>
      </c>
      <c r="AB20" s="1" t="s">
        <v>87</v>
      </c>
      <c r="AC20" s="1" t="s">
        <v>87</v>
      </c>
      <c r="AD20" s="1"/>
      <c r="AE20" s="1"/>
      <c r="AF20" s="1"/>
      <c r="AG20" s="1"/>
      <c r="AH20" s="1"/>
      <c r="AI20" s="1"/>
      <c r="AJ20" s="1"/>
      <c r="AK20" s="27" t="b">
        <f aca="false">TRUE()</f>
        <v>1</v>
      </c>
      <c r="AL20" s="1"/>
      <c r="AM20" s="27" t="b">
        <f aca="false">TRUE()</f>
        <v>1</v>
      </c>
      <c r="AN20" s="27" t="b">
        <f aca="false">FALSE()</f>
        <v>0</v>
      </c>
      <c r="AO20" s="1" t="s">
        <v>122</v>
      </c>
      <c r="AP20" s="30" t="s">
        <v>97</v>
      </c>
      <c r="AQ20" s="1" t="s">
        <v>122</v>
      </c>
      <c r="AR20" s="30" t="s">
        <v>164</v>
      </c>
      <c r="AS20" s="1" t="s">
        <v>168</v>
      </c>
      <c r="AT20" s="1"/>
      <c r="AU20" s="1"/>
      <c r="AV20" s="1"/>
      <c r="AW20" s="1"/>
      <c r="AX20" s="27" t="b">
        <f aca="false">FALSE()</f>
        <v>0</v>
      </c>
      <c r="AY20" s="27" t="b">
        <f aca="false">FALSE()</f>
        <v>0</v>
      </c>
      <c r="AZ20" s="27" t="b">
        <f aca="false">FALSE()</f>
        <v>0</v>
      </c>
      <c r="BA20" s="27" t="b">
        <f aca="false">FALSE()</f>
        <v>0</v>
      </c>
      <c r="BB20" s="1"/>
      <c r="BC20" s="1"/>
      <c r="BD20" s="1"/>
      <c r="BE20" s="1"/>
      <c r="BF20" s="1"/>
      <c r="BG20" s="1"/>
      <c r="BH20" s="1"/>
      <c r="BI20" s="1"/>
      <c r="BJ20" s="1"/>
      <c r="BK20" s="1"/>
      <c r="BL20" s="1"/>
      <c r="BM20" s="1"/>
      <c r="BN20" s="1"/>
      <c r="BO20" s="1"/>
      <c r="BP20" s="1"/>
      <c r="BQ20" s="1" t="s">
        <v>135</v>
      </c>
      <c r="BR20" s="1" t="s">
        <v>103</v>
      </c>
      <c r="BS20" s="1"/>
      <c r="BT20" s="1"/>
      <c r="BU20" s="1"/>
      <c r="BV20" s="1"/>
      <c r="BW20" s="1"/>
      <c r="BX20" s="1"/>
      <c r="BY20" s="1"/>
      <c r="BZ20" s="1"/>
      <c r="CA20" s="1"/>
      <c r="CB20" s="1"/>
      <c r="CC20" s="1"/>
      <c r="CD20" s="1"/>
      <c r="CE20" s="1"/>
      <c r="CF20" s="1"/>
      <c r="CG20" s="1"/>
      <c r="CH20" s="1"/>
      <c r="CI20" s="1"/>
    </row>
    <row r="21" customFormat="false" ht="169.5" hidden="false" customHeight="false" outlineLevel="0" collapsed="false">
      <c r="B21" s="1" t="n">
        <v>501403</v>
      </c>
      <c r="C21" s="28" t="n">
        <v>43193</v>
      </c>
      <c r="D21" s="0" t="n">
        <v>25</v>
      </c>
      <c r="E21" s="29" t="s">
        <v>173</v>
      </c>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30"/>
      <c r="AQ21" s="1"/>
      <c r="AR21" s="30"/>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27" t="b">
        <f aca="false">TRUE()</f>
        <v>1</v>
      </c>
      <c r="BU21" s="1" t="s">
        <v>174</v>
      </c>
      <c r="BV21" s="1"/>
      <c r="BW21" s="1"/>
      <c r="BX21" s="1"/>
      <c r="BY21" s="1"/>
      <c r="BZ21" s="1"/>
      <c r="CA21" s="1"/>
      <c r="CB21" s="1"/>
      <c r="CC21" s="1"/>
      <c r="CD21" s="1"/>
      <c r="CE21" s="1"/>
      <c r="CF21" s="1"/>
      <c r="CG21" s="1"/>
      <c r="CH21" s="1"/>
      <c r="CI21" s="1"/>
    </row>
    <row r="22" customFormat="false" ht="387.75" hidden="false" customHeight="false" outlineLevel="0" collapsed="false">
      <c r="B22" s="1" t="n">
        <v>501403</v>
      </c>
      <c r="C22" s="28" t="n">
        <v>43223</v>
      </c>
      <c r="D22" s="0" t="n">
        <v>26</v>
      </c>
      <c r="E22" s="29" t="s">
        <v>175</v>
      </c>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30" t="s">
        <v>155</v>
      </c>
      <c r="AQ22" s="1"/>
      <c r="AR22" s="30" t="s">
        <v>91</v>
      </c>
      <c r="AS22" s="1"/>
      <c r="AT22" s="1" t="s">
        <v>133</v>
      </c>
      <c r="AU22" s="1" t="s">
        <v>117</v>
      </c>
      <c r="AV22" s="1" t="s">
        <v>133</v>
      </c>
      <c r="AW22" s="1" t="s">
        <v>117</v>
      </c>
      <c r="AX22" s="27" t="b">
        <f aca="false">TRUE()</f>
        <v>1</v>
      </c>
      <c r="AY22" s="1"/>
      <c r="AZ22" s="1"/>
      <c r="BA22" s="1"/>
      <c r="BB22" s="1"/>
      <c r="BC22" s="1"/>
      <c r="BD22" s="1"/>
      <c r="BE22" s="1"/>
      <c r="BF22" s="1"/>
      <c r="BG22" s="1"/>
      <c r="BH22" s="1"/>
      <c r="BI22" s="1"/>
      <c r="BJ22" s="1"/>
      <c r="BK22" s="1"/>
      <c r="BL22" s="1"/>
      <c r="BM22" s="1"/>
      <c r="BN22" s="1"/>
      <c r="BO22" s="1"/>
      <c r="BP22" s="1"/>
      <c r="BQ22" s="1" t="s">
        <v>135</v>
      </c>
      <c r="BR22" s="1" t="s">
        <v>108</v>
      </c>
      <c r="BS22" s="1"/>
      <c r="BT22" s="1"/>
      <c r="BU22" s="1"/>
      <c r="BV22" s="1"/>
      <c r="BW22" s="1"/>
      <c r="BX22" s="1"/>
      <c r="BY22" s="1"/>
      <c r="BZ22" s="1"/>
      <c r="CA22" s="1"/>
      <c r="CB22" s="1"/>
      <c r="CC22" s="1"/>
      <c r="CD22" s="1"/>
      <c r="CE22" s="1"/>
      <c r="CF22" s="1"/>
      <c r="CG22" s="1"/>
      <c r="CH22" s="1"/>
      <c r="CI22" s="1"/>
    </row>
    <row r="23" customFormat="false" ht="409.5" hidden="false" customHeight="false" outlineLevel="0" collapsed="false">
      <c r="B23" s="1" t="n">
        <v>501403</v>
      </c>
      <c r="C23" s="28" t="n">
        <v>43245</v>
      </c>
      <c r="D23" s="0" t="n">
        <v>26</v>
      </c>
      <c r="E23" s="29" t="s">
        <v>176</v>
      </c>
      <c r="G23" s="27" t="b">
        <f aca="false">TRUE()</f>
        <v>1</v>
      </c>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30" t="s">
        <v>155</v>
      </c>
      <c r="AQ23" s="1"/>
      <c r="AR23" s="30" t="s">
        <v>91</v>
      </c>
      <c r="AS23" s="1"/>
      <c r="AT23" s="1"/>
      <c r="AU23" s="1"/>
      <c r="AV23" s="1"/>
      <c r="AW23" s="1"/>
      <c r="AX23" s="1"/>
      <c r="AY23" s="1"/>
      <c r="AZ23" s="1"/>
      <c r="BA23" s="1"/>
      <c r="BB23" s="1"/>
      <c r="BC23" s="1"/>
      <c r="BD23" s="1"/>
      <c r="BE23" s="1"/>
      <c r="BF23" s="1"/>
      <c r="BG23" s="1"/>
      <c r="BH23" s="1"/>
      <c r="BI23" s="1"/>
      <c r="BJ23" s="1"/>
      <c r="BK23" s="1"/>
      <c r="BL23" s="1"/>
      <c r="BM23" s="1"/>
      <c r="BN23" s="1"/>
      <c r="BO23" s="1"/>
      <c r="BP23" s="1"/>
      <c r="BQ23" s="1" t="s">
        <v>135</v>
      </c>
      <c r="BR23" s="1"/>
      <c r="BS23" s="1"/>
      <c r="BT23" s="1"/>
      <c r="BU23" s="1"/>
      <c r="BV23" s="1"/>
      <c r="BW23" s="1"/>
      <c r="BX23" s="1"/>
      <c r="BY23" s="1"/>
      <c r="BZ23" s="1"/>
      <c r="CA23" s="1"/>
      <c r="CB23" s="1"/>
      <c r="CC23" s="1"/>
      <c r="CD23" s="1"/>
      <c r="CE23" s="1"/>
      <c r="CF23" s="27" t="b">
        <f aca="false">TRUE()</f>
        <v>1</v>
      </c>
      <c r="CG23" s="27" t="b">
        <f aca="false">TRUE()</f>
        <v>1</v>
      </c>
      <c r="CH23" s="1"/>
      <c r="CI23" s="1"/>
    </row>
    <row r="24" customFormat="false" ht="15.75" hidden="false" customHeight="false" outlineLevel="0" collapsed="false">
      <c r="B24" s="1" t="n">
        <v>501403</v>
      </c>
    </row>
    <row r="25" customFormat="false" ht="15.75" hidden="false" customHeight="false" outlineLevel="0" collapsed="false">
      <c r="B25" s="1" t="n">
        <v>501403</v>
      </c>
    </row>
    <row r="26" customFormat="false" ht="15.75" hidden="false" customHeight="false" outlineLevel="0" collapsed="false">
      <c r="B26" s="1" t="n">
        <v>501403</v>
      </c>
    </row>
    <row r="27" customFormat="false" ht="15.75" hidden="false" customHeight="false" outlineLevel="0" collapsed="false">
      <c r="B27" s="1" t="n">
        <v>501403</v>
      </c>
    </row>
    <row r="28" customFormat="false" ht="15.75" hidden="false" customHeight="false" outlineLevel="0" collapsed="false">
      <c r="B28" s="1" t="n">
        <v>501403</v>
      </c>
    </row>
    <row r="29" customFormat="false" ht="15.75" hidden="false" customHeight="false" outlineLevel="0" collapsed="false">
      <c r="B29" s="1" t="n">
        <v>501403</v>
      </c>
    </row>
    <row r="30" customFormat="false" ht="15.75" hidden="false" customHeight="false" outlineLevel="0" collapsed="false">
      <c r="B30" s="1" t="n">
        <v>501403</v>
      </c>
    </row>
    <row r="31" customFormat="false" ht="15.75" hidden="false" customHeight="false" outlineLevel="0" collapsed="false">
      <c r="B31" s="1" t="n">
        <v>501403</v>
      </c>
    </row>
    <row r="32" customFormat="false" ht="15.75" hidden="false" customHeight="false" outlineLevel="0" collapsed="false">
      <c r="B32" s="1" t="n">
        <v>501403</v>
      </c>
    </row>
    <row r="33" customFormat="false" ht="15.75" hidden="false" customHeight="false" outlineLevel="0" collapsed="false">
      <c r="B33" s="1" t="n">
        <v>501403</v>
      </c>
    </row>
    <row r="34" customFormat="false" ht="15.75" hidden="false" customHeight="false" outlineLevel="0" collapsed="false">
      <c r="B34" s="1" t="n">
        <v>501403</v>
      </c>
    </row>
    <row r="35" customFormat="false" ht="15.75" hidden="false" customHeight="false" outlineLevel="0" collapsed="false">
      <c r="B35" s="1" t="n">
        <v>501403</v>
      </c>
    </row>
    <row r="36" customFormat="false" ht="15.75" hidden="false" customHeight="false" outlineLevel="0" collapsed="false">
      <c r="B36" s="1" t="n">
        <v>501403</v>
      </c>
    </row>
    <row r="37" customFormat="false" ht="15.75" hidden="false" customHeight="false" outlineLevel="0" collapsed="false">
      <c r="B37" s="1" t="n">
        <v>501403</v>
      </c>
    </row>
    <row r="38" customFormat="false" ht="15.75" hidden="false" customHeight="false" outlineLevel="0" collapsed="false">
      <c r="B38" s="1" t="n">
        <v>501403</v>
      </c>
    </row>
    <row r="39" customFormat="false" ht="15.75" hidden="false" customHeight="false" outlineLevel="0" collapsed="false">
      <c r="B39" s="1" t="n">
        <v>501403</v>
      </c>
    </row>
    <row r="40" customFormat="false" ht="15.75" hidden="false" customHeight="false" outlineLevel="0" collapsed="false">
      <c r="B40" s="1" t="n">
        <v>501403</v>
      </c>
    </row>
    <row r="41" customFormat="false" ht="15.75" hidden="false" customHeight="false" outlineLevel="0" collapsed="false">
      <c r="B41" s="1" t="n">
        <v>501403</v>
      </c>
    </row>
    <row r="42" customFormat="false" ht="15.75" hidden="false" customHeight="false" outlineLevel="0" collapsed="false">
      <c r="B42" s="1" t="n">
        <v>501403</v>
      </c>
    </row>
    <row r="43" customFormat="false" ht="15.75" hidden="false" customHeight="false" outlineLevel="0" collapsed="false">
      <c r="B43" s="1" t="n">
        <v>501403</v>
      </c>
    </row>
    <row r="44" customFormat="false" ht="15.75" hidden="false" customHeight="false" outlineLevel="0" collapsed="false">
      <c r="B44" s="1" t="n">
        <v>501403</v>
      </c>
    </row>
    <row r="45" customFormat="false" ht="15.75" hidden="false" customHeight="false" outlineLevel="0" collapsed="false">
      <c r="B45" s="1" t="n">
        <v>501403</v>
      </c>
    </row>
    <row r="46" customFormat="false" ht="15.75" hidden="false" customHeight="false" outlineLevel="0" collapsed="false">
      <c r="B46" s="1" t="n">
        <v>501403</v>
      </c>
    </row>
    <row r="47" customFormat="false" ht="15.75" hidden="false" customHeight="false" outlineLevel="0" collapsed="false">
      <c r="B47" s="1" t="n">
        <v>501403</v>
      </c>
    </row>
    <row r="48" customFormat="false" ht="15.75" hidden="false" customHeight="false" outlineLevel="0" collapsed="false">
      <c r="B48" s="1" t="n">
        <v>501403</v>
      </c>
    </row>
    <row r="49" customFormat="false" ht="15.75" hidden="false" customHeight="false" outlineLevel="0" collapsed="false">
      <c r="B49" s="1" t="n">
        <v>501403</v>
      </c>
    </row>
    <row r="50" customFormat="false" ht="15.75" hidden="false" customHeight="false" outlineLevel="0" collapsed="false">
      <c r="B50" s="1" t="n">
        <v>501403</v>
      </c>
    </row>
  </sheetData>
  <dataValidations count="25">
    <dataValidation allowBlank="true" errorStyle="stop" operator="between" showDropDown="false" showErrorMessage="true" showInputMessage="true" sqref="AD2:AD23" type="list">
      <formula1>list!$B$25:$E$25</formula1>
      <formula2>0</formula2>
    </dataValidation>
    <dataValidation allowBlank="true" errorStyle="stop" operator="between" showDropDown="false" showErrorMessage="true" showInputMessage="true" sqref="BY2:CI23" type="list">
      <formula1>list!$B$72:$C$72</formula1>
      <formula2>0</formula2>
    </dataValidation>
    <dataValidation allowBlank="true" errorStyle="stop" operator="between" showDropDown="false" showErrorMessage="true" showInputMessage="true" sqref="BW2:BX23" type="list">
      <formula1>list!$B$70:$F$70</formula1>
      <formula2>0</formula2>
    </dataValidation>
    <dataValidation allowBlank="true" errorStyle="stop" operator="between" showDropDown="false" showErrorMessage="true" showInputMessage="true" sqref="BV2:BV23" type="list">
      <formula1>list!$B$69:$C$69</formula1>
      <formula2>0</formula2>
    </dataValidation>
    <dataValidation allowBlank="true" errorStyle="stop" operator="between" showDropDown="false" showErrorMessage="true" showInputMessage="true" sqref="BU2:BU23" type="list">
      <formula1>list!$B$68:$G$68</formula1>
      <formula2>0</formula2>
    </dataValidation>
    <dataValidation allowBlank="true" errorStyle="stop" operator="between" showDropDown="false" showErrorMessage="true" showInputMessage="true" sqref="BR2:BR23" type="list">
      <formula1>list!$B$65:$F$65</formula1>
      <formula2>0</formula2>
    </dataValidation>
    <dataValidation allowBlank="true" errorStyle="stop" operator="between" showDropDown="false" showErrorMessage="true" showInputMessage="true" sqref="BQ2:BQ23" type="list">
      <formula1>list!$B$64:$E$64</formula1>
      <formula2>0</formula2>
    </dataValidation>
    <dataValidation allowBlank="true" errorStyle="stop" operator="between" showDropDown="false" showErrorMessage="true" showInputMessage="true" sqref="BB2:BB23" type="list">
      <formula1>list!$B$49:$P$49</formula1>
      <formula2>0</formula2>
    </dataValidation>
    <dataValidation allowBlank="true" errorStyle="stop" operator="between" showDropDown="false" showErrorMessage="true" showInputMessage="true" sqref="AX2:BA23 BC2:BP23 BS2:BT23" type="list">
      <formula1>list!$B$50:$C$50</formula1>
      <formula2>0</formula2>
    </dataValidation>
    <dataValidation allowBlank="true" errorStyle="stop" operator="between" showDropDown="false" showErrorMessage="true" showInputMessage="true" sqref="AU2:AU23 AW2:AW23" type="list">
      <formula1>list!$B$42:$Z$42</formula1>
      <formula2>0</formula2>
    </dataValidation>
    <dataValidation allowBlank="true" errorStyle="stop" operator="between" showDropDown="false" showErrorMessage="true" showInputMessage="true" sqref="AM2:AN23" type="list">
      <formula1>list!$B$34:$C$34</formula1>
      <formula2>0</formula2>
    </dataValidation>
    <dataValidation allowBlank="true" errorStyle="stop" operator="between" showDropDown="false" showErrorMessage="true" showInputMessage="true" sqref="AL2:AL23" type="list">
      <formula1>list!$B$33:$H$33</formula1>
      <formula2>0</formula2>
    </dataValidation>
    <dataValidation allowBlank="true" errorStyle="stop" operator="between" showDropDown="false" showErrorMessage="true" showInputMessage="true" sqref="AF2:AK23" type="list">
      <formula1>list!$B$27:$C$27</formula1>
      <formula2>0</formula2>
    </dataValidation>
    <dataValidation allowBlank="true" errorStyle="stop" operator="between" showDropDown="false" showErrorMessage="true" showInputMessage="true" sqref="AE2:AE23" type="list">
      <formula1>list!$B$26:$E$26</formula1>
      <formula2>0</formula2>
    </dataValidation>
    <dataValidation allowBlank="true" errorStyle="stop" operator="between" showDropDown="false" showErrorMessage="true" showInputMessage="true" sqref="Z2:AC23" type="list">
      <formula1>list!$B$21:$M$21</formula1>
      <formula2>0</formula2>
    </dataValidation>
    <dataValidation allowBlank="true" errorStyle="stop" operator="between" showDropDown="false" showErrorMessage="true" showInputMessage="true" sqref="V2:W23" type="list">
      <formula1>list!$B$17:$J$17</formula1>
      <formula2>0</formula2>
    </dataValidation>
    <dataValidation allowBlank="true" errorStyle="stop" operator="between" showDropDown="false" showErrorMessage="true" showInputMessage="true" sqref="G2:U23" type="list">
      <formula1>list!$B$2:$C$2</formula1>
      <formula2>0</formula2>
    </dataValidation>
    <dataValidation allowBlank="true" errorStyle="stop" operator="between" showDropDown="false" showErrorMessage="true" showInputMessage="true" sqref="AO2:AO23 AQ2:AQ23" type="list">
      <formula1>list!$B$36:$G$36</formula1>
      <formula2>0</formula2>
    </dataValidation>
    <dataValidation allowBlank="true" errorStyle="stop" operator="between" showDropDown="false" showErrorMessage="true" showInputMessage="true" sqref="AT2:AT23 AV2:AV23" type="list">
      <formula1>list!$B$41:$F$41</formula1>
      <formula2>0</formula2>
    </dataValidation>
    <dataValidation allowBlank="true" errorStyle="stop" operator="between" showDropDown="false" showErrorMessage="true" showInputMessage="true" sqref="AP2:AP7 AR2:AR7" type="list">
      <formula1>list!$B$37:$O$37</formula1>
      <formula2>0</formula2>
    </dataValidation>
    <dataValidation allowBlank="true" errorStyle="stop" operator="between" showDropDown="false" showErrorMessage="true" showInputMessage="true" sqref="AS2:AS23" type="list">
      <formula1>list!$B$40:$I$40</formula1>
      <formula2>0</formula2>
    </dataValidation>
    <dataValidation allowBlank="true" errorStyle="stop" operator="between" showDropDown="false" showErrorMessage="true" showInputMessage="true" sqref="X2:Y2 X3:X23" type="list">
      <formula1>list!$B$19:$D$19</formula1>
      <formula2>0</formula2>
    </dataValidation>
    <dataValidation allowBlank="true" errorStyle="stop" operator="between" showDropDown="false" showErrorMessage="true" showInputMessage="true" sqref="Y3:Y23" type="list">
      <formula1>list!$B$20:$I$20</formula1>
      <formula2>0</formula2>
    </dataValidation>
    <dataValidation allowBlank="true" errorStyle="stop" operator="between" showDropDown="false" showErrorMessage="true" showInputMessage="true" sqref="AP8:AP15 AR8:AR15 AR17:AR23 AP18:AP23" type="list">
      <formula1>list!$B$37:$P$37</formula1>
      <formula2>0</formula2>
    </dataValidation>
    <dataValidation allowBlank="true" errorStyle="stop" operator="between" showDropDown="false" showErrorMessage="true" showInputMessage="true" sqref="AP16:AP17 AR16"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154"/>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CB35" activePane="bottomRight" state="frozen"/>
      <selection pane="topLeft" activeCell="A1" activeCellId="0" sqref="A1"/>
      <selection pane="topRight" activeCell="CB1" activeCellId="0" sqref="CB1"/>
      <selection pane="bottomLeft" activeCell="A35" activeCellId="0" sqref="A35"/>
      <selection pane="bottomRight" activeCell="AR13" activeCellId="0" sqref="AR13"/>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43.5"/>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20.5" hidden="false" customHeight="false" outlineLevel="0" collapsed="false">
      <c r="B2" s="1" t="n">
        <v>526080</v>
      </c>
      <c r="C2" s="25" t="n">
        <v>42180</v>
      </c>
      <c r="D2" s="1" t="n">
        <v>0</v>
      </c>
      <c r="E2" s="26" t="s">
        <v>177</v>
      </c>
      <c r="U2" s="27" t="b">
        <f aca="false">TRUE()</f>
        <v>1</v>
      </c>
      <c r="Y2" s="30" t="s">
        <v>178</v>
      </c>
    </row>
    <row r="3" customFormat="false" ht="409.5" hidden="false" customHeight="false" outlineLevel="0" collapsed="false">
      <c r="B3" s="1" t="n">
        <v>526080</v>
      </c>
      <c r="C3" s="28" t="n">
        <v>42696</v>
      </c>
      <c r="D3" s="1" t="n">
        <v>0</v>
      </c>
      <c r="E3" s="26" t="s">
        <v>179</v>
      </c>
      <c r="G3" s="27" t="b">
        <f aca="false">TRUE()</f>
        <v>1</v>
      </c>
      <c r="H3" s="27" t="b">
        <f aca="false">TRUE()</f>
        <v>1</v>
      </c>
      <c r="I3" s="27" t="b">
        <f aca="false">TRUE()</f>
        <v>1</v>
      </c>
      <c r="X3" s="1" t="s">
        <v>180</v>
      </c>
      <c r="Y3" s="30"/>
      <c r="Z3" s="1" t="s">
        <v>181</v>
      </c>
      <c r="AA3" s="1" t="s">
        <v>181</v>
      </c>
      <c r="AB3" s="1" t="s">
        <v>181</v>
      </c>
      <c r="AC3" s="1" t="s">
        <v>181</v>
      </c>
      <c r="AD3" s="1" t="s">
        <v>182</v>
      </c>
    </row>
    <row r="4" customFormat="false" ht="409.5" hidden="false" customHeight="false" outlineLevel="0" collapsed="false">
      <c r="B4" s="1" t="n">
        <v>526080</v>
      </c>
      <c r="C4" s="28" t="n">
        <v>42877</v>
      </c>
      <c r="D4" s="1" t="n">
        <v>0</v>
      </c>
      <c r="E4" s="26" t="s">
        <v>183</v>
      </c>
      <c r="K4" s="27" t="b">
        <f aca="false">TRUE()</f>
        <v>1</v>
      </c>
      <c r="Y4" s="30"/>
      <c r="Z4" s="1" t="s">
        <v>181</v>
      </c>
      <c r="AA4" s="1" t="s">
        <v>181</v>
      </c>
      <c r="AB4" s="1" t="s">
        <v>181</v>
      </c>
      <c r="AC4" s="1" t="s">
        <v>181</v>
      </c>
      <c r="AD4" s="1" t="s">
        <v>182</v>
      </c>
      <c r="AL4" s="1" t="s">
        <v>89</v>
      </c>
      <c r="AM4" s="27" t="b">
        <f aca="false">TRUE()</f>
        <v>1</v>
      </c>
      <c r="AO4" s="1" t="s">
        <v>96</v>
      </c>
      <c r="AP4" s="1" t="s">
        <v>91</v>
      </c>
      <c r="BC4" s="27" t="b">
        <f aca="false">TRUE()</f>
        <v>1</v>
      </c>
    </row>
    <row r="5" customFormat="false" ht="255" hidden="false" customHeight="false" outlineLevel="0" collapsed="false">
      <c r="B5" s="1" t="n">
        <v>526080</v>
      </c>
      <c r="C5" s="28" t="n">
        <v>42892</v>
      </c>
      <c r="D5" s="1" t="n">
        <v>0</v>
      </c>
      <c r="E5" s="26" t="s">
        <v>184</v>
      </c>
      <c r="L5" s="27" t="b">
        <f aca="false">TRUE()</f>
        <v>1</v>
      </c>
      <c r="M5" s="27" t="b">
        <f aca="false">TRUE()</f>
        <v>1</v>
      </c>
      <c r="Y5" s="30"/>
      <c r="AL5" s="1" t="s">
        <v>89</v>
      </c>
      <c r="AM5" s="27" t="b">
        <f aca="false">TRUE()</f>
        <v>1</v>
      </c>
      <c r="AN5" s="27" t="b">
        <f aca="false">TRUE()</f>
        <v>1</v>
      </c>
      <c r="AO5" s="1" t="s">
        <v>96</v>
      </c>
      <c r="AP5" s="1" t="s">
        <v>131</v>
      </c>
      <c r="AQ5" s="1" t="s">
        <v>96</v>
      </c>
      <c r="AR5" s="1" t="s">
        <v>131</v>
      </c>
      <c r="BC5" s="27" t="b">
        <f aca="false">TRUE()</f>
        <v>1</v>
      </c>
      <c r="BF5" s="27" t="b">
        <f aca="false">TRUE()</f>
        <v>1</v>
      </c>
      <c r="BQ5" s="1" t="s">
        <v>103</v>
      </c>
    </row>
    <row r="6" customFormat="false" ht="303.75" hidden="false" customHeight="true" outlineLevel="0" collapsed="false">
      <c r="B6" s="1" t="n">
        <v>526080</v>
      </c>
      <c r="C6" s="28" t="n">
        <v>42894</v>
      </c>
      <c r="D6" s="1" t="n">
        <v>0</v>
      </c>
      <c r="E6" s="26" t="s">
        <v>185</v>
      </c>
      <c r="Y6" s="30"/>
      <c r="AK6" s="27" t="b">
        <f aca="false">TRUE()</f>
        <v>1</v>
      </c>
      <c r="AO6" s="1" t="s">
        <v>96</v>
      </c>
      <c r="AP6" s="1" t="s">
        <v>131</v>
      </c>
      <c r="BF6" s="27" t="b">
        <f aca="false">TRUE()</f>
        <v>1</v>
      </c>
      <c r="BT6" s="27" t="b">
        <f aca="false">TRUE()</f>
        <v>1</v>
      </c>
      <c r="BU6" s="26" t="s">
        <v>153</v>
      </c>
      <c r="BV6" s="27" t="b">
        <f aca="false">TRUE()</f>
        <v>1</v>
      </c>
    </row>
    <row r="7" customFormat="false" ht="84.75" hidden="false" customHeight="false" outlineLevel="0" collapsed="false">
      <c r="B7" s="1" t="n">
        <v>526080</v>
      </c>
      <c r="C7" s="28" t="n">
        <v>42912</v>
      </c>
      <c r="D7" s="1" t="n">
        <v>1</v>
      </c>
      <c r="E7" s="26" t="s">
        <v>186</v>
      </c>
      <c r="Y7" s="30"/>
      <c r="AK7" s="27" t="b">
        <f aca="false">TRUE()</f>
        <v>1</v>
      </c>
      <c r="BF7" s="27" t="b">
        <f aca="false">TRUE()</f>
        <v>1</v>
      </c>
      <c r="BT7" s="27" t="b">
        <f aca="false">TRUE()</f>
        <v>1</v>
      </c>
      <c r="BU7" s="26" t="s">
        <v>153</v>
      </c>
      <c r="BV7" s="27" t="b">
        <f aca="false">TRUE()</f>
        <v>1</v>
      </c>
    </row>
    <row r="8" customFormat="false" ht="102" hidden="false" customHeight="false" outlineLevel="0" collapsed="false">
      <c r="B8" s="1" t="n">
        <v>526080</v>
      </c>
      <c r="C8" s="28" t="n">
        <v>42915</v>
      </c>
      <c r="D8" s="1" t="n">
        <v>1</v>
      </c>
      <c r="E8" s="26" t="s">
        <v>187</v>
      </c>
      <c r="Y8" s="30"/>
      <c r="AM8" s="27" t="b">
        <f aca="false">TRUE()</f>
        <v>1</v>
      </c>
      <c r="AN8" s="27" t="b">
        <f aca="false">TRUE()</f>
        <v>1</v>
      </c>
      <c r="AO8" s="1" t="s">
        <v>96</v>
      </c>
      <c r="AP8" s="1" t="s">
        <v>94</v>
      </c>
      <c r="AQ8" s="1" t="s">
        <v>96</v>
      </c>
      <c r="AR8" s="1" t="s">
        <v>94</v>
      </c>
      <c r="BF8" s="27" t="b">
        <f aca="false">TRUE()</f>
        <v>1</v>
      </c>
      <c r="BT8" s="27" t="b">
        <f aca="false">TRUE()</f>
        <v>1</v>
      </c>
      <c r="BU8" s="26" t="s">
        <v>153</v>
      </c>
      <c r="BV8" s="27" t="b">
        <f aca="false">TRUE()</f>
        <v>1</v>
      </c>
    </row>
    <row r="9" customFormat="false" ht="186.75" hidden="false" customHeight="false" outlineLevel="0" collapsed="false">
      <c r="B9" s="1" t="n">
        <v>526080</v>
      </c>
      <c r="C9" s="28" t="n">
        <v>42933</v>
      </c>
      <c r="D9" s="1" t="n">
        <v>1</v>
      </c>
      <c r="E9" s="26" t="s">
        <v>188</v>
      </c>
      <c r="Y9" s="30"/>
      <c r="AK9" s="27" t="b">
        <f aca="false">TRUE()</f>
        <v>1</v>
      </c>
      <c r="AP9" s="1" t="s">
        <v>94</v>
      </c>
      <c r="AR9" s="1" t="s">
        <v>94</v>
      </c>
      <c r="BB9" s="1" t="s">
        <v>189</v>
      </c>
      <c r="BF9" s="27" t="b">
        <f aca="false">TRUE()</f>
        <v>1</v>
      </c>
      <c r="BT9" s="27" t="b">
        <f aca="false">TRUE()</f>
        <v>1</v>
      </c>
      <c r="BU9" s="26" t="s">
        <v>153</v>
      </c>
      <c r="BV9" s="27" t="b">
        <f aca="false">TRUE()</f>
        <v>1</v>
      </c>
    </row>
    <row r="10" customFormat="false" ht="167.25" hidden="false" customHeight="true" outlineLevel="0" collapsed="false">
      <c r="B10" s="1" t="n">
        <v>526080</v>
      </c>
      <c r="C10" s="28" t="n">
        <v>42942</v>
      </c>
      <c r="D10" s="1" t="n">
        <v>2</v>
      </c>
      <c r="E10" s="33" t="s">
        <v>190</v>
      </c>
      <c r="Y10" s="30"/>
      <c r="AK10" s="27" t="b">
        <f aca="false">TRUE()</f>
        <v>1</v>
      </c>
      <c r="BF10" s="27" t="b">
        <f aca="false">TRUE()</f>
        <v>1</v>
      </c>
      <c r="BT10" s="27" t="b">
        <f aca="false">TRUE()</f>
        <v>1</v>
      </c>
      <c r="BU10" s="26" t="s">
        <v>153</v>
      </c>
      <c r="BV10" s="27" t="b">
        <f aca="false">TRUE()</f>
        <v>1</v>
      </c>
    </row>
    <row r="11" customFormat="false" ht="79.5" hidden="false" customHeight="false" outlineLevel="0" collapsed="false">
      <c r="B11" s="1" t="n">
        <v>526080</v>
      </c>
      <c r="C11" s="28" t="n">
        <v>42948</v>
      </c>
      <c r="D11" s="1" t="n">
        <v>2</v>
      </c>
      <c r="E11" s="33" t="s">
        <v>191</v>
      </c>
      <c r="Y11" s="30"/>
      <c r="AK11" s="27" t="b">
        <f aca="false">TRUE()</f>
        <v>1</v>
      </c>
      <c r="BB11" s="1" t="s">
        <v>189</v>
      </c>
      <c r="BT11" s="27" t="b">
        <f aca="false">TRUE()</f>
        <v>1</v>
      </c>
      <c r="BU11" s="1" t="s">
        <v>90</v>
      </c>
    </row>
    <row r="12" customFormat="false" ht="72" hidden="false" customHeight="true" outlineLevel="0" collapsed="false">
      <c r="B12" s="1" t="n">
        <v>526080</v>
      </c>
      <c r="C12" s="28" t="n">
        <v>42961</v>
      </c>
      <c r="D12" s="1" t="n">
        <v>2</v>
      </c>
      <c r="E12" s="33" t="s">
        <v>192</v>
      </c>
      <c r="K12" s="27" t="b">
        <f aca="false">TRUE()</f>
        <v>1</v>
      </c>
      <c r="M12" s="27" t="b">
        <f aca="false">TRUE()</f>
        <v>1</v>
      </c>
      <c r="Y12" s="30"/>
      <c r="Z12" s="1" t="s">
        <v>193</v>
      </c>
      <c r="AA12" s="1" t="s">
        <v>193</v>
      </c>
      <c r="AB12" s="1" t="s">
        <v>181</v>
      </c>
      <c r="AC12" s="1" t="s">
        <v>181</v>
      </c>
      <c r="AM12" s="27" t="b">
        <f aca="false">TRUE()</f>
        <v>1</v>
      </c>
      <c r="AN12" s="27" t="b">
        <f aca="false">TRUE()</f>
        <v>1</v>
      </c>
      <c r="AO12" s="1" t="s">
        <v>96</v>
      </c>
      <c r="AP12" s="1" t="s">
        <v>152</v>
      </c>
      <c r="AQ12" s="1" t="s">
        <v>96</v>
      </c>
      <c r="AR12" s="1" t="s">
        <v>152</v>
      </c>
      <c r="AX12" s="27" t="b">
        <f aca="false">FALSE()</f>
        <v>0</v>
      </c>
      <c r="AY12" s="27" t="b">
        <f aca="false">FALSE()</f>
        <v>0</v>
      </c>
      <c r="AZ12" s="27" t="b">
        <f aca="false">FALSE()</f>
        <v>0</v>
      </c>
      <c r="BA12" s="27" t="b">
        <f aca="false">FALSE()</f>
        <v>0</v>
      </c>
      <c r="BB12" s="1" t="s">
        <v>189</v>
      </c>
      <c r="BC12" s="27" t="b">
        <f aca="false">TRUE()</f>
        <v>1</v>
      </c>
      <c r="BF12" s="27" t="b">
        <f aca="false">TRUE()</f>
        <v>1</v>
      </c>
      <c r="BQ12" s="1" t="s">
        <v>103</v>
      </c>
      <c r="BR12" s="1" t="s">
        <v>103</v>
      </c>
    </row>
    <row r="13" customFormat="false" ht="79.5" hidden="false" customHeight="true" outlineLevel="0" collapsed="false">
      <c r="B13" s="1" t="n">
        <v>526080</v>
      </c>
      <c r="C13" s="28" t="n">
        <v>42989</v>
      </c>
      <c r="D13" s="1" t="n">
        <v>3</v>
      </c>
      <c r="E13" s="33" t="s">
        <v>194</v>
      </c>
      <c r="Y13" s="30"/>
      <c r="Z13" s="1" t="s">
        <v>193</v>
      </c>
      <c r="AA13" s="1" t="s">
        <v>193</v>
      </c>
      <c r="AB13" s="1" t="s">
        <v>181</v>
      </c>
      <c r="AC13" s="1" t="s">
        <v>181</v>
      </c>
      <c r="AD13" s="1" t="s">
        <v>182</v>
      </c>
      <c r="AE13" s="1" t="s">
        <v>113</v>
      </c>
      <c r="AM13" s="27" t="b">
        <f aca="false">TRUE()</f>
        <v>1</v>
      </c>
      <c r="AN13" s="27" t="b">
        <f aca="false">TRUE()</f>
        <v>1</v>
      </c>
      <c r="AO13" s="1" t="s">
        <v>96</v>
      </c>
      <c r="AP13" s="1" t="s">
        <v>94</v>
      </c>
      <c r="AQ13" s="1" t="s">
        <v>96</v>
      </c>
      <c r="AR13" s="1" t="s">
        <v>94</v>
      </c>
      <c r="AX13" s="27" t="b">
        <f aca="false">FALSE()</f>
        <v>0</v>
      </c>
      <c r="AY13" s="27" t="b">
        <f aca="false">FALSE()</f>
        <v>0</v>
      </c>
      <c r="AZ13" s="27" t="b">
        <f aca="false">FALSE()</f>
        <v>0</v>
      </c>
      <c r="BA13" s="27" t="b">
        <f aca="false">FALSE()</f>
        <v>0</v>
      </c>
      <c r="BB13" s="1" t="s">
        <v>189</v>
      </c>
      <c r="BC13" s="27" t="b">
        <f aca="false">TRUE()</f>
        <v>1</v>
      </c>
      <c r="BF13" s="27" t="b">
        <f aca="false">TRUE()</f>
        <v>1</v>
      </c>
      <c r="BQ13" s="1" t="s">
        <v>103</v>
      </c>
      <c r="BR13" s="1" t="s">
        <v>103</v>
      </c>
      <c r="BT13" s="27" t="b">
        <f aca="false">TRUE()</f>
        <v>1</v>
      </c>
      <c r="BU13" s="26" t="s">
        <v>153</v>
      </c>
      <c r="BV13" s="27" t="b">
        <f aca="false">TRUE()</f>
        <v>1</v>
      </c>
    </row>
    <row r="14" customFormat="false" ht="141" hidden="false" customHeight="true" outlineLevel="0" collapsed="false">
      <c r="B14" s="1" t="n">
        <v>526080</v>
      </c>
      <c r="C14" s="28" t="n">
        <v>43024</v>
      </c>
      <c r="D14" s="1" t="n">
        <v>4</v>
      </c>
      <c r="E14" s="33" t="s">
        <v>195</v>
      </c>
      <c r="J14" s="27" t="b">
        <f aca="false">TRUE()</f>
        <v>1</v>
      </c>
      <c r="Y14" s="30"/>
      <c r="Z14" s="1" t="s">
        <v>193</v>
      </c>
      <c r="AA14" s="1" t="s">
        <v>193</v>
      </c>
      <c r="AB14" s="1" t="s">
        <v>181</v>
      </c>
      <c r="AC14" s="1" t="s">
        <v>181</v>
      </c>
      <c r="AD14" s="1" t="s">
        <v>182</v>
      </c>
      <c r="AE14" s="1" t="s">
        <v>113</v>
      </c>
      <c r="AI14" s="27" t="b">
        <f aca="false">TRUE()</f>
        <v>1</v>
      </c>
      <c r="AM14" s="27" t="b">
        <f aca="false">TRUE()</f>
        <v>1</v>
      </c>
      <c r="AN14" s="27" t="b">
        <f aca="false">FALSE()</f>
        <v>0</v>
      </c>
      <c r="AO14" s="1" t="s">
        <v>96</v>
      </c>
      <c r="AP14" s="1" t="s">
        <v>94</v>
      </c>
      <c r="AQ14" s="1" t="s">
        <v>96</v>
      </c>
      <c r="AR14" s="1" t="s">
        <v>94</v>
      </c>
      <c r="AX14" s="27" t="b">
        <f aca="false">FALSE()</f>
        <v>0</v>
      </c>
      <c r="AY14" s="27" t="b">
        <f aca="false">FALSE()</f>
        <v>0</v>
      </c>
      <c r="AZ14" s="27" t="b">
        <f aca="false">FALSE()</f>
        <v>0</v>
      </c>
      <c r="BA14" s="27" t="b">
        <f aca="false">FALSE()</f>
        <v>0</v>
      </c>
      <c r="BB14" s="1" t="s">
        <v>189</v>
      </c>
      <c r="BQ14" s="1" t="s">
        <v>103</v>
      </c>
      <c r="BR14" s="1" t="s">
        <v>103</v>
      </c>
      <c r="BT14" s="27" t="b">
        <f aca="false">TRUE()</f>
        <v>1</v>
      </c>
      <c r="BU14" s="26" t="s">
        <v>153</v>
      </c>
      <c r="BV14" s="27" t="b">
        <f aca="false">TRUE()</f>
        <v>1</v>
      </c>
    </row>
    <row r="15" customFormat="false" ht="108.75" hidden="false" customHeight="true" outlineLevel="0" collapsed="false">
      <c r="B15" s="1" t="n">
        <v>526080</v>
      </c>
      <c r="C15" s="28" t="n">
        <v>43052</v>
      </c>
      <c r="D15" s="1" t="n">
        <v>5</v>
      </c>
      <c r="E15" s="33" t="s">
        <v>196</v>
      </c>
      <c r="J15" s="27" t="b">
        <f aca="false">TRUE()</f>
        <v>1</v>
      </c>
      <c r="Q15" s="27" t="b">
        <f aca="false">TRUE()</f>
        <v>1</v>
      </c>
      <c r="Y15" s="30"/>
      <c r="Z15" s="1" t="s">
        <v>193</v>
      </c>
      <c r="AA15" s="1" t="s">
        <v>193</v>
      </c>
      <c r="AB15" s="1" t="s">
        <v>181</v>
      </c>
      <c r="AC15" s="1" t="s">
        <v>181</v>
      </c>
      <c r="AD15" s="1" t="s">
        <v>182</v>
      </c>
      <c r="AE15" s="1" t="s">
        <v>113</v>
      </c>
      <c r="AI15" s="27" t="b">
        <f aca="false">TRUE()</f>
        <v>1</v>
      </c>
      <c r="AM15" s="27" t="b">
        <f aca="false">TRUE()</f>
        <v>1</v>
      </c>
      <c r="AN15" s="27" t="b">
        <f aca="false">FALSE()</f>
        <v>0</v>
      </c>
      <c r="AO15" s="1" t="s">
        <v>96</v>
      </c>
      <c r="AP15" s="1" t="s">
        <v>152</v>
      </c>
      <c r="AQ15" s="1" t="s">
        <v>96</v>
      </c>
      <c r="AR15" s="1" t="s">
        <v>94</v>
      </c>
      <c r="AX15" s="27" t="b">
        <f aca="false">FALSE()</f>
        <v>0</v>
      </c>
      <c r="AY15" s="27" t="b">
        <f aca="false">FALSE()</f>
        <v>0</v>
      </c>
      <c r="AZ15" s="27" t="b">
        <f aca="false">FALSE()</f>
        <v>0</v>
      </c>
      <c r="BA15" s="27" t="b">
        <f aca="false">FALSE()</f>
        <v>0</v>
      </c>
      <c r="BQ15" s="1" t="s">
        <v>135</v>
      </c>
    </row>
    <row r="16" customFormat="false" ht="122.25" hidden="false" customHeight="true" outlineLevel="0" collapsed="false">
      <c r="B16" s="1" t="n">
        <v>526080</v>
      </c>
      <c r="C16" s="28" t="n">
        <v>43053</v>
      </c>
      <c r="D16" s="1" t="n">
        <v>5</v>
      </c>
      <c r="E16" s="33" t="s">
        <v>197</v>
      </c>
      <c r="Y16" s="30"/>
      <c r="AM16" s="27" t="b">
        <f aca="false">TRUE()</f>
        <v>1</v>
      </c>
      <c r="AN16" s="27" t="b">
        <f aca="false">FALSE()</f>
        <v>0</v>
      </c>
      <c r="AO16" s="1" t="s">
        <v>96</v>
      </c>
      <c r="AP16" s="1" t="s">
        <v>131</v>
      </c>
      <c r="AQ16" s="1" t="s">
        <v>96</v>
      </c>
      <c r="AR16" s="1" t="s">
        <v>94</v>
      </c>
      <c r="AX16" s="27" t="b">
        <f aca="false">FALSE()</f>
        <v>0</v>
      </c>
      <c r="AY16" s="27" t="b">
        <f aca="false">FALSE()</f>
        <v>0</v>
      </c>
      <c r="AZ16" s="27" t="b">
        <f aca="false">FALSE()</f>
        <v>0</v>
      </c>
      <c r="BA16" s="27" t="b">
        <f aca="false">FALSE()</f>
        <v>0</v>
      </c>
      <c r="BQ16" s="1" t="s">
        <v>135</v>
      </c>
      <c r="BR16" s="1" t="s">
        <v>103</v>
      </c>
    </row>
    <row r="17" customFormat="false" ht="137.25" hidden="false" customHeight="true" outlineLevel="0" collapsed="false">
      <c r="B17" s="1" t="n">
        <v>526080</v>
      </c>
      <c r="C17" s="28" t="n">
        <v>43080</v>
      </c>
      <c r="D17" s="1" t="n">
        <v>6</v>
      </c>
      <c r="E17" s="33" t="s">
        <v>198</v>
      </c>
      <c r="Y17" s="30"/>
      <c r="Z17" s="1" t="s">
        <v>193</v>
      </c>
      <c r="AA17" s="1" t="s">
        <v>193</v>
      </c>
      <c r="AB17" s="1" t="s">
        <v>181</v>
      </c>
      <c r="AC17" s="1" t="s">
        <v>181</v>
      </c>
      <c r="AD17" s="1" t="s">
        <v>182</v>
      </c>
      <c r="AE17" s="1" t="s">
        <v>113</v>
      </c>
      <c r="AM17" s="27" t="b">
        <f aca="false">TRUE()</f>
        <v>1</v>
      </c>
      <c r="AN17" s="27" t="b">
        <f aca="false">TRUE()</f>
        <v>1</v>
      </c>
      <c r="AO17" s="1" t="s">
        <v>96</v>
      </c>
      <c r="AP17" s="1" t="s">
        <v>94</v>
      </c>
      <c r="AQ17" s="1" t="s">
        <v>96</v>
      </c>
      <c r="AR17" s="1" t="s">
        <v>97</v>
      </c>
      <c r="AX17" s="27" t="b">
        <f aca="false">FALSE()</f>
        <v>0</v>
      </c>
      <c r="AY17" s="27" t="b">
        <f aca="false">FALSE()</f>
        <v>0</v>
      </c>
      <c r="AZ17" s="27" t="b">
        <f aca="false">FALSE()</f>
        <v>0</v>
      </c>
      <c r="BA17" s="27" t="b">
        <f aca="false">FALSE()</f>
        <v>0</v>
      </c>
      <c r="BB17" s="1" t="s">
        <v>189</v>
      </c>
      <c r="BQ17" s="1" t="s">
        <v>135</v>
      </c>
      <c r="BR17" s="1" t="s">
        <v>103</v>
      </c>
    </row>
    <row r="18" customFormat="false" ht="63.75" hidden="false" customHeight="false" outlineLevel="0" collapsed="false">
      <c r="B18" s="1" t="n">
        <v>526080</v>
      </c>
      <c r="C18" s="28" t="n">
        <v>43111</v>
      </c>
      <c r="D18" s="1" t="n">
        <v>7</v>
      </c>
      <c r="E18" s="33" t="s">
        <v>199</v>
      </c>
      <c r="Y18" s="30" t="s">
        <v>178</v>
      </c>
      <c r="AK18" s="27" t="b">
        <f aca="false">TRUE()</f>
        <v>1</v>
      </c>
    </row>
    <row r="19" customFormat="false" ht="33.75" hidden="false" customHeight="false" outlineLevel="0" collapsed="false">
      <c r="B19" s="1" t="n">
        <v>526080</v>
      </c>
      <c r="C19" s="28" t="n">
        <v>43140</v>
      </c>
      <c r="D19" s="1" t="n">
        <v>8</v>
      </c>
      <c r="E19" s="26" t="s">
        <v>200</v>
      </c>
      <c r="Y19" s="30"/>
    </row>
    <row r="20" customFormat="false" ht="223.5" hidden="false" customHeight="false" outlineLevel="0" collapsed="false">
      <c r="B20" s="1" t="n">
        <v>526080</v>
      </c>
      <c r="C20" s="28" t="n">
        <v>43164</v>
      </c>
      <c r="D20" s="1" t="n">
        <v>9</v>
      </c>
      <c r="E20" s="33" t="s">
        <v>201</v>
      </c>
      <c r="Y20" s="30"/>
      <c r="Z20" s="1" t="s">
        <v>193</v>
      </c>
      <c r="AA20" s="1" t="s">
        <v>193</v>
      </c>
      <c r="AB20" s="1" t="s">
        <v>181</v>
      </c>
      <c r="AC20" s="1" t="s">
        <v>181</v>
      </c>
      <c r="AD20" s="1" t="s">
        <v>182</v>
      </c>
      <c r="AE20" s="1" t="s">
        <v>113</v>
      </c>
      <c r="AM20" s="27" t="b">
        <f aca="false">TRUE()</f>
        <v>1</v>
      </c>
      <c r="AN20" s="27" t="b">
        <f aca="false">FALSE()</f>
        <v>0</v>
      </c>
      <c r="AO20" s="1" t="s">
        <v>96</v>
      </c>
      <c r="AP20" s="1" t="s">
        <v>97</v>
      </c>
      <c r="AQ20" s="1" t="s">
        <v>96</v>
      </c>
      <c r="AR20" s="1" t="s">
        <v>97</v>
      </c>
      <c r="AX20" s="27" t="b">
        <f aca="false">FALSE()</f>
        <v>0</v>
      </c>
      <c r="AY20" s="27" t="b">
        <f aca="false">FALSE()</f>
        <v>0</v>
      </c>
      <c r="AZ20" s="27" t="b">
        <f aca="false">FALSE()</f>
        <v>0</v>
      </c>
      <c r="BA20" s="27" t="b">
        <f aca="false">FALSE()</f>
        <v>0</v>
      </c>
      <c r="BB20" s="1" t="s">
        <v>189</v>
      </c>
      <c r="BQ20" s="1" t="s">
        <v>135</v>
      </c>
      <c r="BR20" s="1" t="s">
        <v>103</v>
      </c>
    </row>
    <row r="21" customFormat="false" ht="48" hidden="false" customHeight="false" outlineLevel="0" collapsed="false">
      <c r="B21" s="1" t="n">
        <v>526080</v>
      </c>
      <c r="C21" s="28" t="n">
        <v>43167</v>
      </c>
      <c r="D21" s="1" t="n">
        <v>9</v>
      </c>
      <c r="E21" s="34" t="s">
        <v>202</v>
      </c>
      <c r="N21" s="27" t="b">
        <f aca="false">TRUE()</f>
        <v>1</v>
      </c>
      <c r="Y21" s="30"/>
      <c r="AM21" s="27" t="b">
        <f aca="false">FALSE()</f>
        <v>0</v>
      </c>
      <c r="AN21" s="27" t="b">
        <f aca="false">TRUE()</f>
        <v>1</v>
      </c>
      <c r="AO21" s="1" t="s">
        <v>96</v>
      </c>
      <c r="AP21" s="1" t="s">
        <v>97</v>
      </c>
      <c r="AQ21" s="1" t="s">
        <v>96</v>
      </c>
      <c r="AR21" s="1" t="s">
        <v>131</v>
      </c>
    </row>
    <row r="22" customFormat="false" ht="96" hidden="false" customHeight="false" outlineLevel="0" collapsed="false">
      <c r="B22" s="1" t="n">
        <v>526080</v>
      </c>
      <c r="C22" s="28" t="n">
        <v>43171</v>
      </c>
      <c r="D22" s="1" t="n">
        <v>9</v>
      </c>
      <c r="E22" s="33" t="s">
        <v>203</v>
      </c>
      <c r="Y22" s="30"/>
      <c r="BT22" s="27" t="b">
        <f aca="false">TRUE()</f>
        <v>1</v>
      </c>
      <c r="BU22" s="26" t="s">
        <v>153</v>
      </c>
      <c r="BV22" s="27" t="b">
        <f aca="false">TRUE()</f>
        <v>1</v>
      </c>
    </row>
    <row r="23" customFormat="false" ht="223.5" hidden="false" customHeight="false" outlineLevel="0" collapsed="false">
      <c r="B23" s="1" t="n">
        <v>526080</v>
      </c>
      <c r="C23" s="28" t="n">
        <v>43200</v>
      </c>
      <c r="D23" s="1" t="n">
        <v>10</v>
      </c>
      <c r="E23" s="33" t="s">
        <v>204</v>
      </c>
      <c r="Y23" s="30"/>
      <c r="AM23" s="27" t="b">
        <f aca="false">FALSE()</f>
        <v>0</v>
      </c>
      <c r="AN23" s="27" t="b">
        <f aca="false">TRUE()</f>
        <v>1</v>
      </c>
      <c r="AO23" s="1" t="s">
        <v>96</v>
      </c>
      <c r="AP23" s="1" t="s">
        <v>97</v>
      </c>
      <c r="AQ23" s="1" t="s">
        <v>96</v>
      </c>
      <c r="AR23" s="1" t="s">
        <v>152</v>
      </c>
      <c r="AX23" s="27" t="b">
        <f aca="false">FALSE()</f>
        <v>0</v>
      </c>
      <c r="AY23" s="27" t="b">
        <f aca="false">FALSE()</f>
        <v>0</v>
      </c>
      <c r="AZ23" s="27" t="b">
        <f aca="false">FALSE()</f>
        <v>0</v>
      </c>
      <c r="BA23" s="27" t="b">
        <f aca="false">FALSE()</f>
        <v>0</v>
      </c>
      <c r="BQ23" s="1" t="s">
        <v>135</v>
      </c>
      <c r="BT23" s="27" t="b">
        <f aca="false">TRUE()</f>
        <v>1</v>
      </c>
      <c r="BU23" s="26" t="s">
        <v>153</v>
      </c>
      <c r="BV23" s="27" t="b">
        <f aca="false">TRUE()</f>
        <v>1</v>
      </c>
    </row>
    <row r="24" customFormat="false" ht="156" hidden="false" customHeight="true" outlineLevel="0" collapsed="false">
      <c r="B24" s="1" t="n">
        <v>526080</v>
      </c>
      <c r="C24" s="28" t="n">
        <v>43234</v>
      </c>
      <c r="D24" s="1" t="n">
        <v>11</v>
      </c>
      <c r="E24" s="34" t="s">
        <v>205</v>
      </c>
      <c r="Y24" s="30"/>
      <c r="Z24" s="1" t="s">
        <v>181</v>
      </c>
      <c r="AA24" s="1" t="s">
        <v>181</v>
      </c>
      <c r="AB24" s="1" t="s">
        <v>181</v>
      </c>
      <c r="AC24" s="1" t="s">
        <v>181</v>
      </c>
      <c r="AM24" s="27" t="b">
        <f aca="false">TRUE()</f>
        <v>1</v>
      </c>
      <c r="AN24" s="27" t="b">
        <f aca="false">TRUE()</f>
        <v>1</v>
      </c>
      <c r="AO24" s="1" t="s">
        <v>107</v>
      </c>
      <c r="AP24" s="1" t="s">
        <v>97</v>
      </c>
      <c r="AQ24" s="1" t="s">
        <v>96</v>
      </c>
      <c r="AR24" s="1" t="s">
        <v>97</v>
      </c>
      <c r="AS24" s="1" t="s">
        <v>132</v>
      </c>
      <c r="AT24" s="1" t="s">
        <v>150</v>
      </c>
      <c r="AU24" s="1" t="s">
        <v>206</v>
      </c>
      <c r="AV24" s="1" t="s">
        <v>150</v>
      </c>
      <c r="AW24" s="1" t="s">
        <v>206</v>
      </c>
      <c r="AY24" s="27" t="b">
        <f aca="false">TRUE()</f>
        <v>1</v>
      </c>
      <c r="BQ24" s="1" t="s">
        <v>135</v>
      </c>
      <c r="BR24" s="1" t="s">
        <v>103</v>
      </c>
      <c r="BV24" s="27" t="b">
        <f aca="false">FALSE()</f>
        <v>0</v>
      </c>
    </row>
    <row r="25" customFormat="false" ht="211.5" hidden="false" customHeight="true" outlineLevel="0" collapsed="false">
      <c r="B25" s="1" t="n">
        <v>526080</v>
      </c>
      <c r="C25" s="28" t="n">
        <v>43269</v>
      </c>
      <c r="D25" s="1" t="n">
        <v>12</v>
      </c>
      <c r="E25" s="33" t="s">
        <v>207</v>
      </c>
      <c r="Y25" s="30"/>
      <c r="Z25" s="1" t="s">
        <v>193</v>
      </c>
      <c r="AA25" s="1" t="s">
        <v>193</v>
      </c>
      <c r="AB25" s="1" t="s">
        <v>181</v>
      </c>
      <c r="AC25" s="1" t="s">
        <v>181</v>
      </c>
      <c r="AD25" s="1" t="s">
        <v>182</v>
      </c>
      <c r="AE25" s="1" t="s">
        <v>113</v>
      </c>
      <c r="AM25" s="27" t="b">
        <f aca="false">FALSE()</f>
        <v>0</v>
      </c>
      <c r="AN25" s="27" t="b">
        <f aca="false">FALSE()</f>
        <v>0</v>
      </c>
      <c r="AO25" s="1" t="s">
        <v>107</v>
      </c>
      <c r="AP25" s="1" t="s">
        <v>97</v>
      </c>
      <c r="AQ25" s="1" t="s">
        <v>96</v>
      </c>
      <c r="AR25" s="1" t="s">
        <v>97</v>
      </c>
      <c r="AT25" s="1" t="s">
        <v>150</v>
      </c>
      <c r="AU25" s="1" t="s">
        <v>206</v>
      </c>
      <c r="AV25" s="1" t="s">
        <v>150</v>
      </c>
      <c r="AW25" s="1" t="s">
        <v>206</v>
      </c>
      <c r="AY25" s="27" t="b">
        <f aca="false">TRUE()</f>
        <v>1</v>
      </c>
      <c r="BQ25" s="1" t="s">
        <v>135</v>
      </c>
      <c r="BR25" s="1" t="s">
        <v>103</v>
      </c>
      <c r="BT25" s="27" t="b">
        <f aca="false">TRUE()</f>
        <v>1</v>
      </c>
      <c r="BU25" s="26" t="s">
        <v>153</v>
      </c>
      <c r="BV25" s="27" t="b">
        <f aca="false">TRUE()</f>
        <v>1</v>
      </c>
    </row>
    <row r="26" customFormat="false" ht="117.75" hidden="false" customHeight="true" outlineLevel="0" collapsed="false">
      <c r="B26" s="1" t="n">
        <v>526080</v>
      </c>
      <c r="C26" s="28" t="n">
        <v>43304</v>
      </c>
      <c r="D26" s="1" t="n">
        <v>14</v>
      </c>
      <c r="E26" s="33" t="s">
        <v>208</v>
      </c>
      <c r="Y26" s="30"/>
      <c r="Z26" s="1" t="s">
        <v>193</v>
      </c>
      <c r="AA26" s="1" t="s">
        <v>193</v>
      </c>
      <c r="AB26" s="1" t="s">
        <v>181</v>
      </c>
      <c r="AC26" s="1" t="s">
        <v>181</v>
      </c>
      <c r="AM26" s="27" t="b">
        <f aca="false">FALSE()</f>
        <v>0</v>
      </c>
      <c r="AN26" s="27" t="b">
        <f aca="false">TRUE()</f>
        <v>1</v>
      </c>
      <c r="AO26" s="1" t="s">
        <v>107</v>
      </c>
      <c r="AP26" s="1" t="s">
        <v>97</v>
      </c>
      <c r="AQ26" s="1" t="s">
        <v>107</v>
      </c>
      <c r="AR26" s="1" t="s">
        <v>97</v>
      </c>
      <c r="AS26" s="1" t="s">
        <v>132</v>
      </c>
      <c r="AT26" s="1" t="s">
        <v>150</v>
      </c>
      <c r="AU26" s="1" t="s">
        <v>206</v>
      </c>
      <c r="AV26" s="1" t="s">
        <v>150</v>
      </c>
      <c r="AW26" s="1" t="s">
        <v>206</v>
      </c>
      <c r="AY26" s="27" t="b">
        <f aca="false">TRUE()</f>
        <v>1</v>
      </c>
      <c r="BQ26" s="1" t="s">
        <v>135</v>
      </c>
      <c r="BR26" s="1" t="s">
        <v>103</v>
      </c>
    </row>
    <row r="27" customFormat="false" ht="108" hidden="false" customHeight="true" outlineLevel="0" collapsed="false">
      <c r="B27" s="1" t="n">
        <v>526080</v>
      </c>
      <c r="C27" s="28" t="n">
        <v>43320</v>
      </c>
      <c r="D27" s="1" t="n">
        <v>14</v>
      </c>
      <c r="E27" s="33" t="s">
        <v>209</v>
      </c>
      <c r="Y27" s="30"/>
      <c r="BT27" s="27" t="b">
        <f aca="false">TRUE()</f>
        <v>1</v>
      </c>
      <c r="BU27" s="26" t="s">
        <v>153</v>
      </c>
      <c r="BV27" s="27" t="b">
        <f aca="false">TRUE()</f>
        <v>1</v>
      </c>
    </row>
    <row r="28" customFormat="false" ht="84.75" hidden="false" customHeight="false" outlineLevel="0" collapsed="false">
      <c r="B28" s="1" t="n">
        <v>526080</v>
      </c>
      <c r="C28" s="28" t="n">
        <v>43325</v>
      </c>
      <c r="D28" s="1" t="n">
        <v>14</v>
      </c>
      <c r="E28" s="26" t="s">
        <v>210</v>
      </c>
      <c r="G28" s="27" t="b">
        <f aca="false">TRUE()</f>
        <v>1</v>
      </c>
      <c r="Y28" s="30"/>
    </row>
    <row r="29" customFormat="false" ht="67.5" hidden="false" customHeight="false" outlineLevel="0" collapsed="false">
      <c r="B29" s="1" t="n">
        <v>526080</v>
      </c>
      <c r="C29" s="28" t="n">
        <v>43333</v>
      </c>
      <c r="D29" s="1" t="n">
        <v>14</v>
      </c>
      <c r="E29" s="26" t="s">
        <v>211</v>
      </c>
      <c r="Y29" s="30"/>
    </row>
    <row r="30" customFormat="false" ht="237.75" hidden="false" customHeight="true" outlineLevel="0" collapsed="false">
      <c r="B30" s="1" t="n">
        <v>526080</v>
      </c>
      <c r="C30" s="28" t="n">
        <v>43342</v>
      </c>
      <c r="D30" s="1" t="n">
        <v>15</v>
      </c>
      <c r="E30" s="33" t="s">
        <v>212</v>
      </c>
      <c r="Y30" s="30"/>
      <c r="Z30" s="1" t="s">
        <v>128</v>
      </c>
      <c r="AA30" s="1" t="s">
        <v>128</v>
      </c>
      <c r="AB30" s="1" t="s">
        <v>128</v>
      </c>
      <c r="AC30" s="1" t="s">
        <v>128</v>
      </c>
      <c r="AM30" s="27" t="b">
        <f aca="false">FALSE()</f>
        <v>0</v>
      </c>
      <c r="AN30" s="27" t="b">
        <f aca="false">FALSE()</f>
        <v>0</v>
      </c>
      <c r="AO30" s="1" t="s">
        <v>107</v>
      </c>
      <c r="AP30" s="1" t="s">
        <v>97</v>
      </c>
      <c r="AQ30" s="1" t="s">
        <v>107</v>
      </c>
      <c r="AR30" s="1" t="s">
        <v>97</v>
      </c>
      <c r="AS30" s="26" t="s">
        <v>213</v>
      </c>
      <c r="AX30" s="27" t="b">
        <f aca="false">FALSE()</f>
        <v>0</v>
      </c>
      <c r="AY30" s="27" t="b">
        <f aca="false">FALSE()</f>
        <v>0</v>
      </c>
      <c r="AZ30" s="27" t="b">
        <f aca="false">FALSE()</f>
        <v>0</v>
      </c>
      <c r="BA30" s="27" t="b">
        <f aca="false">FALSE()</f>
        <v>0</v>
      </c>
      <c r="BB30" s="1" t="s">
        <v>214</v>
      </c>
      <c r="BJ30" s="27" t="b">
        <f aca="false">TRUE()</f>
        <v>1</v>
      </c>
      <c r="BQ30" s="1" t="s">
        <v>119</v>
      </c>
    </row>
    <row r="31" customFormat="false" ht="125.25" hidden="false" customHeight="true" outlineLevel="0" collapsed="false">
      <c r="B31" s="1" t="n">
        <v>526080</v>
      </c>
      <c r="C31" s="28" t="n">
        <v>43419</v>
      </c>
      <c r="D31" s="1" t="n">
        <v>17</v>
      </c>
      <c r="E31" s="33" t="s">
        <v>215</v>
      </c>
      <c r="Y31" s="30"/>
      <c r="Z31" s="1" t="s">
        <v>87</v>
      </c>
      <c r="AA31" s="1" t="s">
        <v>87</v>
      </c>
      <c r="AB31" s="1" t="s">
        <v>128</v>
      </c>
      <c r="AC31" s="1" t="s">
        <v>128</v>
      </c>
      <c r="AM31" s="27" t="b">
        <f aca="false">FALSE()</f>
        <v>0</v>
      </c>
      <c r="AN31" s="27" t="b">
        <f aca="false">FALSE()</f>
        <v>0</v>
      </c>
      <c r="AO31" s="1" t="s">
        <v>107</v>
      </c>
      <c r="AP31" s="1" t="s">
        <v>97</v>
      </c>
      <c r="AQ31" s="1" t="s">
        <v>107</v>
      </c>
      <c r="AR31" s="1" t="s">
        <v>97</v>
      </c>
      <c r="AS31" s="26" t="s">
        <v>213</v>
      </c>
      <c r="AX31" s="27" t="b">
        <f aca="false">FALSE()</f>
        <v>0</v>
      </c>
      <c r="AY31" s="27" t="b">
        <f aca="false">FALSE()</f>
        <v>0</v>
      </c>
      <c r="AZ31" s="27" t="b">
        <f aca="false">FALSE()</f>
        <v>0</v>
      </c>
      <c r="BA31" s="27" t="b">
        <f aca="false">FALSE()</f>
        <v>0</v>
      </c>
      <c r="BB31" s="1" t="s">
        <v>214</v>
      </c>
      <c r="BQ31" s="1" t="s">
        <v>119</v>
      </c>
    </row>
    <row r="32" customFormat="false" ht="223.5" hidden="false" customHeight="false" outlineLevel="0" collapsed="false">
      <c r="B32" s="1" t="n">
        <v>526080</v>
      </c>
      <c r="C32" s="28" t="n">
        <v>43444</v>
      </c>
      <c r="D32" s="1" t="n">
        <v>18</v>
      </c>
      <c r="E32" s="34" t="s">
        <v>216</v>
      </c>
      <c r="Y32" s="30" t="s">
        <v>178</v>
      </c>
      <c r="Z32" s="1" t="s">
        <v>87</v>
      </c>
      <c r="AA32" s="1" t="s">
        <v>87</v>
      </c>
      <c r="AB32" s="1" t="s">
        <v>128</v>
      </c>
      <c r="AC32" s="1" t="s">
        <v>128</v>
      </c>
      <c r="AM32" s="27" t="b">
        <f aca="false">FALSE()</f>
        <v>0</v>
      </c>
      <c r="AN32" s="27" t="b">
        <f aca="false">TRUE()</f>
        <v>1</v>
      </c>
      <c r="AO32" s="1" t="s">
        <v>107</v>
      </c>
      <c r="AP32" s="1" t="s">
        <v>97</v>
      </c>
      <c r="AQ32" s="1" t="s">
        <v>107</v>
      </c>
      <c r="AR32" s="1" t="s">
        <v>217</v>
      </c>
      <c r="AT32" s="1" t="s">
        <v>133</v>
      </c>
      <c r="AU32" s="1" t="s">
        <v>206</v>
      </c>
      <c r="AV32" s="1" t="s">
        <v>150</v>
      </c>
      <c r="AW32" s="1" t="s">
        <v>206</v>
      </c>
      <c r="AX32" s="27" t="b">
        <f aca="false">TRUE()</f>
        <v>1</v>
      </c>
      <c r="AY32" s="27" t="b">
        <f aca="false">TRUE()</f>
        <v>1</v>
      </c>
      <c r="BB32" s="1" t="s">
        <v>214</v>
      </c>
      <c r="BJ32" s="27" t="b">
        <f aca="false">FALSE()</f>
        <v>0</v>
      </c>
      <c r="BQ32" s="1" t="s">
        <v>119</v>
      </c>
    </row>
    <row r="33" customFormat="false" ht="136.5" hidden="false" customHeight="true" outlineLevel="0" collapsed="false">
      <c r="B33" s="1" t="n">
        <v>526080</v>
      </c>
      <c r="C33" s="28" t="n">
        <v>43487</v>
      </c>
      <c r="D33" s="1" t="n">
        <v>20</v>
      </c>
      <c r="E33" s="33" t="s">
        <v>218</v>
      </c>
      <c r="Y33" s="30"/>
      <c r="Z33" s="1" t="s">
        <v>87</v>
      </c>
      <c r="AA33" s="1" t="s">
        <v>87</v>
      </c>
      <c r="AB33" s="1" t="s">
        <v>128</v>
      </c>
      <c r="AC33" s="1" t="s">
        <v>128</v>
      </c>
      <c r="AM33" s="27" t="b">
        <f aca="false">FALSE()</f>
        <v>0</v>
      </c>
      <c r="AN33" s="27" t="b">
        <f aca="false">TRUE()</f>
        <v>1</v>
      </c>
      <c r="AO33" s="1" t="s">
        <v>107</v>
      </c>
      <c r="AP33" s="1" t="s">
        <v>97</v>
      </c>
      <c r="AQ33" s="1" t="s">
        <v>96</v>
      </c>
      <c r="AR33" s="1" t="s">
        <v>164</v>
      </c>
      <c r="AT33" s="1" t="s">
        <v>133</v>
      </c>
      <c r="AU33" s="1" t="s">
        <v>206</v>
      </c>
      <c r="AV33" s="1" t="s">
        <v>150</v>
      </c>
      <c r="AW33" s="1" t="s">
        <v>206</v>
      </c>
      <c r="AX33" s="27" t="b">
        <f aca="false">TRUE()</f>
        <v>1</v>
      </c>
      <c r="AY33" s="27" t="b">
        <f aca="false">TRUE()</f>
        <v>1</v>
      </c>
      <c r="BQ33" s="1" t="s">
        <v>119</v>
      </c>
    </row>
    <row r="34" customFormat="false" ht="116.25" hidden="false" customHeight="true" outlineLevel="0" collapsed="false">
      <c r="B34" s="1" t="n">
        <v>526080</v>
      </c>
      <c r="C34" s="28" t="n">
        <v>43522</v>
      </c>
      <c r="D34" s="1" t="n">
        <v>21</v>
      </c>
      <c r="E34" s="33" t="s">
        <v>219</v>
      </c>
      <c r="Y34" s="30"/>
      <c r="Z34" s="1" t="s">
        <v>128</v>
      </c>
      <c r="AA34" s="1" t="s">
        <v>128</v>
      </c>
      <c r="AB34" s="1" t="s">
        <v>128</v>
      </c>
      <c r="AC34" s="1" t="s">
        <v>128</v>
      </c>
      <c r="AD34" s="1" t="s">
        <v>112</v>
      </c>
      <c r="AE34" s="1" t="s">
        <v>112</v>
      </c>
      <c r="AM34" s="27" t="b">
        <f aca="false">FALSE()</f>
        <v>0</v>
      </c>
      <c r="AN34" s="27" t="b">
        <f aca="false">TRUE()</f>
        <v>1</v>
      </c>
      <c r="AO34" s="1" t="s">
        <v>107</v>
      </c>
      <c r="AP34" s="1" t="s">
        <v>97</v>
      </c>
      <c r="AQ34" s="1" t="s">
        <v>107</v>
      </c>
      <c r="AR34" s="1" t="s">
        <v>164</v>
      </c>
      <c r="AT34" s="1" t="s">
        <v>150</v>
      </c>
      <c r="AU34" s="1" t="s">
        <v>206</v>
      </c>
      <c r="AV34" s="1" t="s">
        <v>150</v>
      </c>
      <c r="AW34" s="1" t="s">
        <v>206</v>
      </c>
      <c r="AY34" s="27" t="b">
        <f aca="false">TRUE()</f>
        <v>1</v>
      </c>
      <c r="BQ34" s="1" t="s">
        <v>119</v>
      </c>
    </row>
    <row r="35" customFormat="false" ht="144.75" hidden="false" customHeight="true" outlineLevel="0" collapsed="false">
      <c r="B35" s="1" t="n">
        <v>526080</v>
      </c>
      <c r="C35" s="28" t="n">
        <v>43556</v>
      </c>
      <c r="D35" s="1" t="n">
        <v>22</v>
      </c>
      <c r="E35" s="33" t="s">
        <v>220</v>
      </c>
      <c r="Y35" s="30"/>
      <c r="Z35" s="1" t="s">
        <v>87</v>
      </c>
      <c r="AA35" s="1" t="s">
        <v>87</v>
      </c>
      <c r="AB35" s="1" t="s">
        <v>87</v>
      </c>
      <c r="AC35" s="1" t="s">
        <v>87</v>
      </c>
      <c r="AD35" s="1" t="s">
        <v>112</v>
      </c>
      <c r="AE35" s="1" t="s">
        <v>112</v>
      </c>
      <c r="AM35" s="27" t="b">
        <f aca="false">FALSE()</f>
        <v>0</v>
      </c>
      <c r="AN35" s="27" t="b">
        <f aca="false">FALSE()</f>
        <v>0</v>
      </c>
      <c r="AO35" s="1" t="s">
        <v>107</v>
      </c>
      <c r="AP35" s="1" t="s">
        <v>97</v>
      </c>
      <c r="AQ35" s="1" t="s">
        <v>107</v>
      </c>
      <c r="AR35" s="1" t="s">
        <v>164</v>
      </c>
      <c r="AT35" s="1" t="s">
        <v>150</v>
      </c>
      <c r="AU35" s="1" t="s">
        <v>206</v>
      </c>
      <c r="AV35" s="1" t="s">
        <v>150</v>
      </c>
      <c r="AW35" s="1" t="s">
        <v>206</v>
      </c>
      <c r="AY35" s="27" t="b">
        <f aca="false">TRUE()</f>
        <v>1</v>
      </c>
      <c r="BQ35" s="1" t="s">
        <v>119</v>
      </c>
    </row>
    <row r="36" customFormat="false" ht="113.25" hidden="false" customHeight="true" outlineLevel="0" collapsed="false">
      <c r="B36" s="1" t="n">
        <v>526080</v>
      </c>
      <c r="C36" s="28" t="n">
        <v>43563</v>
      </c>
      <c r="D36" s="1" t="n">
        <v>22</v>
      </c>
      <c r="E36" s="33" t="s">
        <v>221</v>
      </c>
      <c r="Y36" s="30"/>
      <c r="BW36" s="1" t="s">
        <v>222</v>
      </c>
      <c r="CF36" s="27" t="b">
        <f aca="false">TRUE()</f>
        <v>1</v>
      </c>
      <c r="CG36" s="27" t="b">
        <f aca="false">TRUE()</f>
        <v>1</v>
      </c>
    </row>
    <row r="37" customFormat="false" ht="48" hidden="false" customHeight="false" outlineLevel="0" collapsed="false">
      <c r="B37" s="1" t="n">
        <v>526080</v>
      </c>
      <c r="C37" s="28" t="n">
        <v>43566</v>
      </c>
      <c r="D37" s="1" t="n">
        <v>22</v>
      </c>
      <c r="E37" s="33" t="s">
        <v>223</v>
      </c>
      <c r="Y37" s="30"/>
      <c r="BW37" s="1" t="s">
        <v>224</v>
      </c>
      <c r="BX37" s="1" t="s">
        <v>224</v>
      </c>
    </row>
    <row r="38" customFormat="false" ht="48" hidden="false" customHeight="false" outlineLevel="0" collapsed="false">
      <c r="B38" s="33" t="n">
        <v>526080</v>
      </c>
      <c r="C38" s="35" t="n">
        <v>43593</v>
      </c>
      <c r="D38" s="33" t="n">
        <v>22</v>
      </c>
      <c r="E38" s="33" t="s">
        <v>225</v>
      </c>
      <c r="Y38" s="30"/>
      <c r="BW38" s="1" t="s">
        <v>224</v>
      </c>
      <c r="BX38" s="1" t="s">
        <v>224</v>
      </c>
      <c r="CH38" s="27" t="b">
        <f aca="false">TRUE()</f>
        <v>1</v>
      </c>
    </row>
    <row r="39" customFormat="false" ht="63.75" hidden="false" customHeight="false" outlineLevel="0" collapsed="false">
      <c r="B39" s="33" t="n">
        <v>526080</v>
      </c>
      <c r="C39" s="35" t="n">
        <v>43775</v>
      </c>
      <c r="D39" s="33" t="n">
        <v>28</v>
      </c>
      <c r="E39" s="33" t="s">
        <v>226</v>
      </c>
      <c r="CH39" s="27" t="b">
        <f aca="false">TRUE()</f>
        <v>1</v>
      </c>
    </row>
    <row r="40" customFormat="false" ht="15.75" hidden="false" customHeight="false" outlineLevel="0" collapsed="false">
      <c r="Y40" s="30"/>
    </row>
    <row r="41" customFormat="false" ht="15.75" hidden="false" customHeight="false" outlineLevel="0" collapsed="false">
      <c r="Y41" s="30"/>
    </row>
    <row r="42" customFormat="false" ht="15.75" hidden="false" customHeight="false" outlineLevel="0" collapsed="false">
      <c r="Y42" s="30"/>
    </row>
    <row r="43" customFormat="false" ht="15.75" hidden="false" customHeight="false" outlineLevel="0" collapsed="false">
      <c r="Y43" s="30"/>
    </row>
    <row r="44" customFormat="false" ht="15.75" hidden="false" customHeight="false" outlineLevel="0" collapsed="false">
      <c r="Y44" s="30"/>
    </row>
    <row r="45" customFormat="false" ht="15.75" hidden="false" customHeight="false" outlineLevel="0" collapsed="false">
      <c r="Y45" s="30"/>
    </row>
    <row r="46" customFormat="false" ht="15.75" hidden="false" customHeight="false" outlineLevel="0" collapsed="false">
      <c r="Y46" s="30"/>
    </row>
    <row r="47" customFormat="false" ht="15.75" hidden="false" customHeight="false" outlineLevel="0" collapsed="false">
      <c r="Y47" s="30"/>
    </row>
    <row r="48" customFormat="false" ht="15.75" hidden="false" customHeight="false" outlineLevel="0" collapsed="false">
      <c r="Y48" s="30"/>
    </row>
    <row r="49" customFormat="false" ht="15.75" hidden="false" customHeight="false" outlineLevel="0" collapsed="false">
      <c r="Y49" s="30"/>
    </row>
    <row r="50" customFormat="false" ht="15.75" hidden="false" customHeight="false" outlineLevel="0" collapsed="false">
      <c r="Y50" s="30"/>
    </row>
    <row r="51" customFormat="false" ht="15.75" hidden="false" customHeight="false" outlineLevel="0" collapsed="false">
      <c r="Y51" s="30"/>
    </row>
    <row r="52" customFormat="false" ht="15.75" hidden="false" customHeight="false" outlineLevel="0" collapsed="false">
      <c r="Y52" s="30"/>
    </row>
    <row r="53" customFormat="false" ht="15.75" hidden="false" customHeight="false" outlineLevel="0" collapsed="false">
      <c r="Y53" s="30"/>
    </row>
    <row r="54" customFormat="false" ht="15.75" hidden="false" customHeight="false" outlineLevel="0" collapsed="false">
      <c r="Y54" s="30"/>
    </row>
    <row r="55" customFormat="false" ht="15.75" hidden="false" customHeight="false" outlineLevel="0" collapsed="false">
      <c r="Y55" s="30"/>
    </row>
    <row r="56" customFormat="false" ht="15.75" hidden="false" customHeight="false" outlineLevel="0" collapsed="false">
      <c r="Y56" s="30"/>
    </row>
    <row r="57" customFormat="false" ht="15.75" hidden="false" customHeight="false" outlineLevel="0" collapsed="false">
      <c r="Y57" s="30"/>
    </row>
    <row r="58" customFormat="false" ht="15.75" hidden="false" customHeight="false" outlineLevel="0" collapsed="false">
      <c r="Y58" s="30"/>
    </row>
    <row r="59" customFormat="false" ht="15.75" hidden="false" customHeight="false" outlineLevel="0" collapsed="false">
      <c r="Y59" s="30"/>
    </row>
    <row r="60" customFormat="false" ht="15.75" hidden="false" customHeight="false" outlineLevel="0" collapsed="false">
      <c r="Y60" s="30"/>
    </row>
    <row r="61" customFormat="false" ht="15.75" hidden="false" customHeight="false" outlineLevel="0" collapsed="false">
      <c r="Y61" s="30"/>
    </row>
    <row r="62" customFormat="false" ht="15.75" hidden="false" customHeight="false" outlineLevel="0" collapsed="false">
      <c r="Y62" s="30"/>
    </row>
    <row r="63" customFormat="false" ht="15.75" hidden="false" customHeight="false" outlineLevel="0" collapsed="false">
      <c r="Y63" s="30"/>
    </row>
    <row r="64" customFormat="false" ht="15.75" hidden="false" customHeight="false" outlineLevel="0" collapsed="false">
      <c r="Y64" s="30"/>
    </row>
    <row r="65" customFormat="false" ht="15.75" hidden="false" customHeight="false" outlineLevel="0" collapsed="false">
      <c r="Y65" s="30"/>
    </row>
    <row r="66" customFormat="false" ht="15.75" hidden="false" customHeight="false" outlineLevel="0" collapsed="false">
      <c r="Y66" s="30"/>
    </row>
    <row r="67" customFormat="false" ht="15.75" hidden="false" customHeight="false" outlineLevel="0" collapsed="false">
      <c r="Y67" s="30"/>
    </row>
    <row r="68" customFormat="false" ht="15.75" hidden="false" customHeight="false" outlineLevel="0" collapsed="false">
      <c r="Y68" s="30"/>
    </row>
    <row r="69" customFormat="false" ht="15.75" hidden="false" customHeight="false" outlineLevel="0" collapsed="false">
      <c r="Y69" s="30"/>
    </row>
    <row r="70" customFormat="false" ht="15.75" hidden="false" customHeight="false" outlineLevel="0" collapsed="false">
      <c r="Y70" s="30"/>
    </row>
    <row r="71" customFormat="false" ht="15.75" hidden="false" customHeight="false" outlineLevel="0" collapsed="false">
      <c r="Y71" s="30"/>
    </row>
    <row r="72" customFormat="false" ht="15.75" hidden="false" customHeight="false" outlineLevel="0" collapsed="false">
      <c r="Y72" s="30"/>
    </row>
    <row r="73" customFormat="false" ht="15.75" hidden="false" customHeight="false" outlineLevel="0" collapsed="false">
      <c r="Y73" s="30"/>
    </row>
    <row r="74" customFormat="false" ht="15.75" hidden="false" customHeight="false" outlineLevel="0" collapsed="false">
      <c r="Y74" s="30"/>
    </row>
    <row r="75" customFormat="false" ht="15.75" hidden="false" customHeight="false" outlineLevel="0" collapsed="false">
      <c r="Y75" s="30"/>
    </row>
    <row r="76" customFormat="false" ht="15.75" hidden="false" customHeight="false" outlineLevel="0" collapsed="false">
      <c r="Y76" s="30"/>
    </row>
    <row r="77" customFormat="false" ht="15.75" hidden="false" customHeight="false" outlineLevel="0" collapsed="false">
      <c r="Y77" s="30"/>
    </row>
    <row r="78" customFormat="false" ht="15.75" hidden="false" customHeight="false" outlineLevel="0" collapsed="false">
      <c r="Y78" s="30"/>
    </row>
    <row r="79" customFormat="false" ht="15.75" hidden="false" customHeight="false" outlineLevel="0" collapsed="false">
      <c r="Y79" s="30"/>
    </row>
    <row r="80" customFormat="false" ht="15.75" hidden="false" customHeight="false" outlineLevel="0" collapsed="false">
      <c r="Y80" s="30"/>
    </row>
    <row r="81" customFormat="false" ht="15.75" hidden="false" customHeight="false" outlineLevel="0" collapsed="false">
      <c r="Y81" s="30"/>
    </row>
    <row r="82" customFormat="false" ht="15.75" hidden="false" customHeight="false" outlineLevel="0" collapsed="false">
      <c r="Y82" s="30"/>
    </row>
    <row r="83" customFormat="false" ht="15.75" hidden="false" customHeight="false" outlineLevel="0" collapsed="false">
      <c r="Y83" s="30"/>
    </row>
    <row r="84" customFormat="false" ht="15.75" hidden="false" customHeight="false" outlineLevel="0" collapsed="false">
      <c r="Y84" s="30"/>
    </row>
    <row r="85" customFormat="false" ht="15.75" hidden="false" customHeight="false" outlineLevel="0" collapsed="false">
      <c r="Y85" s="30"/>
    </row>
    <row r="86" customFormat="false" ht="15.75" hidden="false" customHeight="false" outlineLevel="0" collapsed="false">
      <c r="Y86" s="30"/>
    </row>
    <row r="87" customFormat="false" ht="15.75" hidden="false" customHeight="false" outlineLevel="0" collapsed="false">
      <c r="Y87" s="30"/>
    </row>
    <row r="88" customFormat="false" ht="15.75" hidden="false" customHeight="false" outlineLevel="0" collapsed="false">
      <c r="Y88" s="30"/>
    </row>
    <row r="89" customFormat="false" ht="15.75" hidden="false" customHeight="false" outlineLevel="0" collapsed="false">
      <c r="Y89" s="30"/>
    </row>
    <row r="90" customFormat="false" ht="15.75" hidden="false" customHeight="false" outlineLevel="0" collapsed="false">
      <c r="Y90" s="30"/>
    </row>
    <row r="91" customFormat="false" ht="15.75" hidden="false" customHeight="false" outlineLevel="0" collapsed="false">
      <c r="Y91" s="30"/>
    </row>
    <row r="92" customFormat="false" ht="15.75" hidden="false" customHeight="false" outlineLevel="0" collapsed="false">
      <c r="Y92" s="30"/>
    </row>
    <row r="93" customFormat="false" ht="15.75" hidden="false" customHeight="false" outlineLevel="0" collapsed="false">
      <c r="Y93" s="30"/>
    </row>
    <row r="94" customFormat="false" ht="15.75" hidden="false" customHeight="false" outlineLevel="0" collapsed="false">
      <c r="Y94" s="30"/>
    </row>
    <row r="95" customFormat="false" ht="15.75" hidden="false" customHeight="false" outlineLevel="0" collapsed="false">
      <c r="Y95" s="30"/>
    </row>
    <row r="96" customFormat="false" ht="15.75" hidden="false" customHeight="false" outlineLevel="0" collapsed="false">
      <c r="Y96" s="30"/>
    </row>
    <row r="97" customFormat="false" ht="15.75" hidden="false" customHeight="false" outlineLevel="0" collapsed="false">
      <c r="Y97" s="30"/>
    </row>
    <row r="98" customFormat="false" ht="15.75" hidden="false" customHeight="false" outlineLevel="0" collapsed="false">
      <c r="Y98" s="30"/>
    </row>
    <row r="99" customFormat="false" ht="15.75" hidden="false" customHeight="false" outlineLevel="0" collapsed="false">
      <c r="Y99" s="30"/>
    </row>
    <row r="100" customFormat="false" ht="15.75" hidden="false" customHeight="false" outlineLevel="0" collapsed="false">
      <c r="Y100" s="30"/>
    </row>
    <row r="101" customFormat="false" ht="15.75" hidden="false" customHeight="false" outlineLevel="0" collapsed="false">
      <c r="Y101" s="30"/>
    </row>
    <row r="102" customFormat="false" ht="15.75" hidden="false" customHeight="false" outlineLevel="0" collapsed="false">
      <c r="Y102" s="30"/>
    </row>
    <row r="103" customFormat="false" ht="15.75" hidden="false" customHeight="false" outlineLevel="0" collapsed="false">
      <c r="Y103" s="30"/>
    </row>
    <row r="104" customFormat="false" ht="15.75" hidden="false" customHeight="false" outlineLevel="0" collapsed="false">
      <c r="Y104" s="30"/>
    </row>
    <row r="105" customFormat="false" ht="15.75" hidden="false" customHeight="false" outlineLevel="0" collapsed="false">
      <c r="Y105" s="30"/>
    </row>
    <row r="106" customFormat="false" ht="15.75" hidden="false" customHeight="false" outlineLevel="0" collapsed="false">
      <c r="Y106" s="30"/>
    </row>
    <row r="107" customFormat="false" ht="15.75" hidden="false" customHeight="false" outlineLevel="0" collapsed="false">
      <c r="Y107" s="30"/>
    </row>
    <row r="108" customFormat="false" ht="15.75" hidden="false" customHeight="false" outlineLevel="0" collapsed="false">
      <c r="Y108" s="30"/>
    </row>
    <row r="109" customFormat="false" ht="15.75" hidden="false" customHeight="false" outlineLevel="0" collapsed="false">
      <c r="Y109" s="30"/>
    </row>
    <row r="110" customFormat="false" ht="15.75" hidden="false" customHeight="false" outlineLevel="0" collapsed="false">
      <c r="Y110" s="30"/>
    </row>
    <row r="111" customFormat="false" ht="15.75" hidden="false" customHeight="false" outlineLevel="0" collapsed="false">
      <c r="Y111" s="30"/>
    </row>
    <row r="112" customFormat="false" ht="15.75" hidden="false" customHeight="false" outlineLevel="0" collapsed="false">
      <c r="Y112" s="30"/>
    </row>
    <row r="113" customFormat="false" ht="15.75" hidden="false" customHeight="false" outlineLevel="0" collapsed="false">
      <c r="Y113" s="30"/>
    </row>
    <row r="114" customFormat="false" ht="15.75" hidden="false" customHeight="false" outlineLevel="0" collapsed="false">
      <c r="Y114" s="30"/>
    </row>
    <row r="115" customFormat="false" ht="15.75" hidden="false" customHeight="false" outlineLevel="0" collapsed="false">
      <c r="Y115" s="30"/>
    </row>
    <row r="116" customFormat="false" ht="15.75" hidden="false" customHeight="false" outlineLevel="0" collapsed="false">
      <c r="Y116" s="30"/>
    </row>
    <row r="117" customFormat="false" ht="15.75" hidden="false" customHeight="false" outlineLevel="0" collapsed="false">
      <c r="Y117" s="30"/>
    </row>
    <row r="118" customFormat="false" ht="15.75" hidden="false" customHeight="false" outlineLevel="0" collapsed="false">
      <c r="Y118" s="30"/>
    </row>
    <row r="119" customFormat="false" ht="15.75" hidden="false" customHeight="false" outlineLevel="0" collapsed="false">
      <c r="Y119" s="30"/>
    </row>
    <row r="120" customFormat="false" ht="15.75" hidden="false" customHeight="false" outlineLevel="0" collapsed="false">
      <c r="Y120" s="30"/>
    </row>
    <row r="121" customFormat="false" ht="15.75" hidden="false" customHeight="false" outlineLevel="0" collapsed="false">
      <c r="Y121" s="30"/>
    </row>
    <row r="122" customFormat="false" ht="15.75" hidden="false" customHeight="false" outlineLevel="0" collapsed="false">
      <c r="Y122" s="30"/>
    </row>
    <row r="123" customFormat="false" ht="15.75" hidden="false" customHeight="false" outlineLevel="0" collapsed="false">
      <c r="Y123" s="30"/>
    </row>
    <row r="124" customFormat="false" ht="15.75" hidden="false" customHeight="false" outlineLevel="0" collapsed="false">
      <c r="Y124" s="30"/>
    </row>
    <row r="125" customFormat="false" ht="15.75" hidden="false" customHeight="false" outlineLevel="0" collapsed="false">
      <c r="Y125" s="30"/>
    </row>
    <row r="126" customFormat="false" ht="15.75" hidden="false" customHeight="false" outlineLevel="0" collapsed="false">
      <c r="Y126" s="30"/>
    </row>
    <row r="127" customFormat="false" ht="15.75" hidden="false" customHeight="false" outlineLevel="0" collapsed="false">
      <c r="Y127" s="30"/>
    </row>
    <row r="128" customFormat="false" ht="15.75" hidden="false" customHeight="false" outlineLevel="0" collapsed="false">
      <c r="Y128" s="30"/>
    </row>
    <row r="129" customFormat="false" ht="15.75" hidden="false" customHeight="false" outlineLevel="0" collapsed="false">
      <c r="Y129" s="30"/>
    </row>
    <row r="130" customFormat="false" ht="15.75" hidden="false" customHeight="false" outlineLevel="0" collapsed="false">
      <c r="Y130" s="30"/>
    </row>
    <row r="131" customFormat="false" ht="15.75" hidden="false" customHeight="false" outlineLevel="0" collapsed="false">
      <c r="Y131" s="30"/>
    </row>
    <row r="132" customFormat="false" ht="15.75" hidden="false" customHeight="false" outlineLevel="0" collapsed="false">
      <c r="Y132" s="30"/>
    </row>
    <row r="133" customFormat="false" ht="15.75" hidden="false" customHeight="false" outlineLevel="0" collapsed="false">
      <c r="Y133" s="30"/>
    </row>
    <row r="134" customFormat="false" ht="15.75" hidden="false" customHeight="false" outlineLevel="0" collapsed="false">
      <c r="Y134" s="30"/>
    </row>
    <row r="135" customFormat="false" ht="15.75" hidden="false" customHeight="false" outlineLevel="0" collapsed="false">
      <c r="Y135" s="30"/>
    </row>
    <row r="136" customFormat="false" ht="15.75" hidden="false" customHeight="false" outlineLevel="0" collapsed="false">
      <c r="Y136" s="30"/>
    </row>
    <row r="137" customFormat="false" ht="15.75" hidden="false" customHeight="false" outlineLevel="0" collapsed="false">
      <c r="Y137" s="30"/>
    </row>
    <row r="138" customFormat="false" ht="15.75" hidden="false" customHeight="false" outlineLevel="0" collapsed="false">
      <c r="Y138" s="30"/>
    </row>
    <row r="139" customFormat="false" ht="15.75" hidden="false" customHeight="false" outlineLevel="0" collapsed="false">
      <c r="Y139" s="30"/>
    </row>
    <row r="140" customFormat="false" ht="15.75" hidden="false" customHeight="false" outlineLevel="0" collapsed="false">
      <c r="Y140" s="30"/>
    </row>
    <row r="141" customFormat="false" ht="15.75" hidden="false" customHeight="false" outlineLevel="0" collapsed="false">
      <c r="Y141" s="30"/>
    </row>
    <row r="142" customFormat="false" ht="15.75" hidden="false" customHeight="false" outlineLevel="0" collapsed="false">
      <c r="Y142" s="30"/>
    </row>
    <row r="143" customFormat="false" ht="15.75" hidden="false" customHeight="false" outlineLevel="0" collapsed="false">
      <c r="Y143" s="30"/>
    </row>
    <row r="144" customFormat="false" ht="15.75" hidden="false" customHeight="false" outlineLevel="0" collapsed="false">
      <c r="Y144" s="30"/>
    </row>
    <row r="145" customFormat="false" ht="15.75" hidden="false" customHeight="false" outlineLevel="0" collapsed="false">
      <c r="Y145" s="30"/>
    </row>
    <row r="146" customFormat="false" ht="15.75" hidden="false" customHeight="false" outlineLevel="0" collapsed="false">
      <c r="Y146" s="30"/>
    </row>
    <row r="147" customFormat="false" ht="15.75" hidden="false" customHeight="false" outlineLevel="0" collapsed="false">
      <c r="Y147" s="30"/>
    </row>
    <row r="148" customFormat="false" ht="15.75" hidden="false" customHeight="false" outlineLevel="0" collapsed="false">
      <c r="Y148" s="30"/>
    </row>
    <row r="149" customFormat="false" ht="15.75" hidden="false" customHeight="false" outlineLevel="0" collapsed="false">
      <c r="Y149" s="30"/>
    </row>
    <row r="150" customFormat="false" ht="15.75" hidden="false" customHeight="false" outlineLevel="0" collapsed="false">
      <c r="Y150" s="30"/>
    </row>
    <row r="151" customFormat="false" ht="15.75" hidden="false" customHeight="false" outlineLevel="0" collapsed="false">
      <c r="Y151" s="30"/>
    </row>
    <row r="152" customFormat="false" ht="15.75" hidden="false" customHeight="false" outlineLevel="0" collapsed="false">
      <c r="Y152" s="30"/>
    </row>
    <row r="153" customFormat="false" ht="15.75" hidden="false" customHeight="false" outlineLevel="0" collapsed="false">
      <c r="Y153" s="30"/>
    </row>
    <row r="154" customFormat="false" ht="15.75" hidden="false" customHeight="false" outlineLevel="0" collapsed="false">
      <c r="Y154" s="30"/>
    </row>
  </sheetData>
  <dataValidations count="25">
    <dataValidation allowBlank="true" errorStyle="stop" operator="between" showDropDown="false" showErrorMessage="true" showInputMessage="true" sqref="AD2:AD33 AD36:AD1039" type="list">
      <formula1>list!$B$25:$E$25</formula1>
      <formula2>0</formula2>
    </dataValidation>
    <dataValidation allowBlank="true" errorStyle="stop" operator="between" showDropDown="false" showErrorMessage="true" showInputMessage="true" sqref="BY2:CI1039" type="list">
      <formula1>list!$B$72:$C$72</formula1>
      <formula2>0</formula2>
    </dataValidation>
    <dataValidation allowBlank="true" errorStyle="stop" operator="between" showDropDown="false" showErrorMessage="true" showInputMessage="true" sqref="BW2:BX1039" type="list">
      <formula1>list!$B$70:$F$70</formula1>
      <formula2>0</formula2>
    </dataValidation>
    <dataValidation allowBlank="true" errorStyle="stop" operator="between" showDropDown="false" showErrorMessage="true" showInputMessage="true" sqref="BV2:BV1039" type="list">
      <formula1>list!$B$69:$C$69</formula1>
      <formula2>0</formula2>
    </dataValidation>
    <dataValidation allowBlank="true" errorStyle="stop" operator="between" showDropDown="false" showErrorMessage="true" showInputMessage="true" sqref="BU2:BU1039" type="list">
      <formula1>list!$B$68:$G$68</formula1>
      <formula2>0</formula2>
    </dataValidation>
    <dataValidation allowBlank="true" errorStyle="stop" operator="between" showDropDown="false" showErrorMessage="true" showInputMessage="true" sqref="BR2:BR1039" type="list">
      <formula1>list!$B$65:$F$65</formula1>
      <formula2>0</formula2>
    </dataValidation>
    <dataValidation allowBlank="true" errorStyle="stop" operator="between" showDropDown="false" showErrorMessage="true" showInputMessage="true" sqref="BQ2:BQ1039" type="list">
      <formula1>list!$B$64:$E$64</formula1>
      <formula2>0</formula2>
    </dataValidation>
    <dataValidation allowBlank="true" errorStyle="stop" operator="between" showDropDown="false" showErrorMessage="true" showInputMessage="true" sqref="BB2:BB1039" type="list">
      <formula1>list!$B$49:$P$49</formula1>
      <formula2>0</formula2>
    </dataValidation>
    <dataValidation allowBlank="true" errorStyle="stop" operator="between" showDropDown="false" showErrorMessage="true" showInputMessage="true" sqref="AX2:BA1039 BC2:BP1039 BS2:BT1039" type="list">
      <formula1>list!$B$50:$C$50</formula1>
      <formula2>0</formula2>
    </dataValidation>
    <dataValidation allowBlank="true" errorStyle="stop" operator="between" showDropDown="false" showErrorMessage="true" showInputMessage="true" sqref="AU2:AU1039 AW2:AW1039" type="list">
      <formula1>list!$B$42:$Z$42</formula1>
      <formula2>0</formula2>
    </dataValidation>
    <dataValidation allowBlank="true" errorStyle="stop" operator="between" showDropDown="false" showErrorMessage="true" showInputMessage="true" sqref="AM2:AN1039" type="list">
      <formula1>list!$B$34:$C$34</formula1>
      <formula2>0</formula2>
    </dataValidation>
    <dataValidation allowBlank="true" errorStyle="stop" operator="between" showDropDown="false" showErrorMessage="true" showInputMessage="true" sqref="AL2:AL1039" type="list">
      <formula1>list!$B$33:$H$33</formula1>
      <formula2>0</formula2>
    </dataValidation>
    <dataValidation allowBlank="true" errorStyle="stop" operator="between" showDropDown="false" showErrorMessage="true" showInputMessage="true" sqref="AF2:AK1039" type="list">
      <formula1>list!$B$27:$C$27</formula1>
      <formula2>0</formula2>
    </dataValidation>
    <dataValidation allowBlank="true" errorStyle="stop" operator="between" showDropDown="false" showErrorMessage="true" showInputMessage="true" sqref="AE2:AE36 AD34:AD35 AE37:AE1039" type="list">
      <formula1>list!$B$26:$E$26</formula1>
      <formula2>0</formula2>
    </dataValidation>
    <dataValidation allowBlank="true" errorStyle="stop" operator="between" showDropDown="false" showErrorMessage="true" showInputMessage="true" sqref="Z2:AC1039" type="list">
      <formula1>list!$B$21:$M$21</formula1>
      <formula2>0</formula2>
    </dataValidation>
    <dataValidation allowBlank="true" errorStyle="stop" operator="between" showDropDown="false" showErrorMessage="true" showInputMessage="true" sqref="V2:W1039" type="list">
      <formula1>list!$B$17:$J$17</formula1>
      <formula2>0</formula2>
    </dataValidation>
    <dataValidation allowBlank="true" errorStyle="stop" operator="between" showDropDown="false" showErrorMessage="true" showInputMessage="true" sqref="G2:U1039" type="list">
      <formula1>list!$B$2:$C$2</formula1>
      <formula2>0</formula2>
    </dataValidation>
    <dataValidation allowBlank="true" errorStyle="stop" operator="between" showDropDown="false" showErrorMessage="true" showInputMessage="true" sqref="AO2:AO1039 AQ2:AQ1039" type="list">
      <formula1>list!$B$36:$G$36</formula1>
      <formula2>0</formula2>
    </dataValidation>
    <dataValidation allowBlank="true" errorStyle="stop" operator="between" showDropDown="false" showErrorMessage="true" showInputMessage="true" sqref="AT2:AT1039 AV2:AV1039" type="list">
      <formula1>list!$B$41:$F$41</formula1>
      <formula2>0</formula2>
    </dataValidation>
    <dataValidation allowBlank="true" errorStyle="stop" operator="between" showDropDown="false" showErrorMessage="true" showInputMessage="true" sqref="AP2:AP1039 AR2:AR1039" type="list">
      <formula1>list!$B$37:$O$37</formula1>
      <formula2>0</formula2>
    </dataValidation>
    <dataValidation allowBlank="true" errorStyle="stop" operator="between" showDropDown="false" showErrorMessage="true" showInputMessage="true" sqref="Y2:Y38 Y40:Y154" type="list">
      <formula1>list!$B$20:$I$20</formula1>
      <formula2>0</formula2>
    </dataValidation>
    <dataValidation allowBlank="true" errorStyle="stop" operator="between" showDropDown="false" showErrorMessage="true" showInputMessage="true" sqref="X2:X1039" type="list">
      <formula1>list!$B$19:$C$19</formula1>
      <formula2>0</formula2>
    </dataValidation>
    <dataValidation allowBlank="true" errorStyle="stop" operator="between" showDropDown="false" showErrorMessage="true" showInputMessage="true" sqref="AS2:AS29 AS40:AS1039" type="list">
      <formula1>list!$B$40:$G$40</formula1>
      <formula2>0</formula2>
    </dataValidation>
    <dataValidation allowBlank="true" errorStyle="stop" operator="between" showDropDown="false" showErrorMessage="true" showInputMessage="true" sqref="Y39 Y155:Y1039" type="list">
      <formula1>list!$B$20:$H$20</formula1>
      <formula2>0</formula2>
    </dataValidation>
    <dataValidation allowBlank="true" errorStyle="stop" operator="between" showDropDown="false" showErrorMessage="true" showInputMessage="true" sqref="AS30:AS39" type="list">
      <formula1>list!$B$40:$I$40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89"/>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BR2" activePane="bottomRight" state="frozen"/>
      <selection pane="topLeft" activeCell="A1" activeCellId="0" sqref="A1"/>
      <selection pane="topRight" activeCell="BR1" activeCellId="0" sqref="BR1"/>
      <selection pane="bottomLeft" activeCell="A2" activeCellId="0" sqref="A2"/>
      <selection pane="bottomRight" activeCell="CA29" activeCellId="0" sqref="CA29"/>
    </sheetView>
  </sheetViews>
  <sheetFormatPr defaultColWidth="8.8710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24" min="24" style="0" width="21.5"/>
    <col collapsed="false" customWidth="true" hidden="false" outlineLevel="0" max="38" min="38" style="0" width="21.16"/>
    <col collapsed="false" customWidth="true" hidden="false" outlineLevel="0" max="42" min="42" style="0" width="12.16"/>
    <col collapsed="false" customWidth="true" hidden="false" outlineLevel="0" max="44" min="44" style="0" width="12.16"/>
    <col collapsed="false" customWidth="true" hidden="false" outlineLevel="0" max="45" min="45" style="0" width="15.67"/>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322.5" hidden="false" customHeight="false" outlineLevel="0" collapsed="false">
      <c r="A2" s="1"/>
      <c r="B2" s="1" t="n">
        <v>309758</v>
      </c>
      <c r="C2" s="25" t="n">
        <v>42788</v>
      </c>
      <c r="D2" s="1" t="n">
        <v>0</v>
      </c>
      <c r="E2" s="26" t="s">
        <v>227</v>
      </c>
      <c r="F2" s="1"/>
      <c r="G2" s="27" t="b">
        <f aca="false">TRUE()</f>
        <v>1</v>
      </c>
      <c r="H2" s="27" t="b">
        <f aca="false">TRUE()</f>
        <v>1</v>
      </c>
      <c r="I2" s="27" t="b">
        <f aca="false">TRUE()</f>
        <v>1</v>
      </c>
      <c r="J2" s="1"/>
      <c r="K2" s="1"/>
      <c r="L2" s="1"/>
      <c r="M2" s="1"/>
      <c r="N2" s="1"/>
      <c r="O2" s="1"/>
      <c r="P2" s="1"/>
      <c r="Q2" s="1"/>
      <c r="R2" s="1"/>
      <c r="S2" s="1"/>
      <c r="T2" s="1"/>
      <c r="U2" s="1"/>
      <c r="V2" s="1"/>
      <c r="W2" s="1"/>
      <c r="X2" s="27" t="b">
        <f aca="false">FALSE()</f>
        <v>0</v>
      </c>
      <c r="Y2" s="1"/>
      <c r="Z2" s="1"/>
      <c r="AA2" s="1" t="s">
        <v>87</v>
      </c>
      <c r="AB2" s="1"/>
      <c r="AC2" s="1" t="s">
        <v>87</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84.75" hidden="false" customHeight="false" outlineLevel="0" collapsed="false">
      <c r="A3" s="1"/>
      <c r="B3" s="1" t="n">
        <v>309758</v>
      </c>
      <c r="C3" s="25" t="n">
        <v>42864</v>
      </c>
      <c r="D3" s="1" t="n">
        <v>2</v>
      </c>
      <c r="E3" s="26" t="s">
        <v>228</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291.75" hidden="false" customHeight="true" outlineLevel="0" collapsed="false">
      <c r="A4" s="1"/>
      <c r="B4" s="1" t="n">
        <v>309758</v>
      </c>
      <c r="C4" s="25" t="n">
        <v>42888</v>
      </c>
      <c r="D4" s="1" t="n">
        <v>3</v>
      </c>
      <c r="E4" s="26" t="s">
        <v>229</v>
      </c>
      <c r="F4" s="1"/>
      <c r="G4" s="1"/>
      <c r="H4" s="1"/>
      <c r="I4" s="1"/>
      <c r="J4" s="1"/>
      <c r="K4" s="31" t="b">
        <f aca="false">TRUE()</f>
        <v>1</v>
      </c>
      <c r="L4" s="1"/>
      <c r="M4" s="27" t="b">
        <f aca="false">TRUE()</f>
        <v>1</v>
      </c>
      <c r="N4" s="1"/>
      <c r="O4" s="1"/>
      <c r="P4" s="1"/>
      <c r="Q4" s="1"/>
      <c r="R4" s="1"/>
      <c r="S4" s="1"/>
      <c r="T4" s="1"/>
      <c r="U4" s="1"/>
      <c r="V4" s="1"/>
      <c r="W4" s="1"/>
      <c r="X4" s="1"/>
      <c r="Y4" s="1"/>
      <c r="Z4" s="1"/>
      <c r="AA4" s="1"/>
      <c r="AB4" s="1"/>
      <c r="AC4" s="1"/>
      <c r="AD4" s="1"/>
      <c r="AE4" s="1"/>
      <c r="AF4" s="1"/>
      <c r="AG4" s="1"/>
      <c r="AH4" s="1"/>
      <c r="AI4" s="1"/>
      <c r="AJ4" s="1"/>
      <c r="AK4" s="1"/>
      <c r="AL4" s="1" t="s">
        <v>230</v>
      </c>
      <c r="AM4" s="1"/>
      <c r="AN4" s="1"/>
      <c r="AO4" s="1" t="s">
        <v>101</v>
      </c>
      <c r="AP4" s="1" t="s">
        <v>91</v>
      </c>
      <c r="AQ4" s="1" t="s">
        <v>101</v>
      </c>
      <c r="AR4" s="1" t="s">
        <v>91</v>
      </c>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00.5" hidden="false" customHeight="true" outlineLevel="0" collapsed="false">
      <c r="A5" s="1"/>
      <c r="B5" s="1" t="n">
        <v>309758</v>
      </c>
      <c r="C5" s="25" t="n">
        <v>42900</v>
      </c>
      <c r="D5" s="1" t="n">
        <v>3</v>
      </c>
      <c r="E5" s="26" t="s">
        <v>231</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31" t="b">
        <f aca="false">TRUE()</f>
        <v>1</v>
      </c>
      <c r="BT5" s="1"/>
      <c r="BU5" s="1"/>
      <c r="BV5" s="1"/>
      <c r="BW5" s="1"/>
      <c r="BX5" s="1"/>
      <c r="BY5" s="1"/>
      <c r="BZ5" s="1"/>
      <c r="CA5" s="1"/>
      <c r="CB5" s="1"/>
      <c r="CC5" s="1"/>
      <c r="CD5" s="1"/>
      <c r="CE5" s="1"/>
      <c r="CF5" s="1"/>
      <c r="CG5" s="1"/>
      <c r="CH5" s="1"/>
      <c r="CI5" s="1"/>
    </row>
    <row r="6" customFormat="false" ht="84.75" hidden="false" customHeight="false" outlineLevel="0" collapsed="false">
      <c r="A6" s="1"/>
      <c r="B6" s="1" t="n">
        <v>309758</v>
      </c>
      <c r="C6" s="25" t="n">
        <v>42949</v>
      </c>
      <c r="D6" s="1" t="n">
        <v>5</v>
      </c>
      <c r="E6" s="26" t="s">
        <v>232</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31" t="b">
        <f aca="false">TRUE()</f>
        <v>1</v>
      </c>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customFormat="false" ht="282.75" hidden="false" customHeight="true" outlineLevel="0" collapsed="false">
      <c r="A7" s="1"/>
      <c r="B7" s="1" t="n">
        <v>309758</v>
      </c>
      <c r="C7" s="25" t="n">
        <v>42965</v>
      </c>
      <c r="D7" s="1" t="n">
        <v>5</v>
      </c>
      <c r="E7" s="26" t="s">
        <v>233</v>
      </c>
      <c r="F7" s="1"/>
      <c r="G7" s="1"/>
      <c r="H7" s="1"/>
      <c r="I7" s="1"/>
      <c r="J7" s="1"/>
      <c r="K7" s="1"/>
      <c r="L7" s="1"/>
      <c r="M7" s="1"/>
      <c r="N7" s="1"/>
      <c r="O7" s="1"/>
      <c r="P7" s="1"/>
      <c r="Q7" s="1"/>
      <c r="R7" s="1"/>
      <c r="S7" s="1"/>
      <c r="T7" s="1"/>
      <c r="U7" s="1"/>
      <c r="V7" s="1"/>
      <c r="W7" s="1"/>
      <c r="X7" s="1"/>
      <c r="Y7" s="1"/>
      <c r="Z7" s="1" t="s">
        <v>87</v>
      </c>
      <c r="AA7" s="1" t="s">
        <v>87</v>
      </c>
      <c r="AB7" s="1" t="s">
        <v>87</v>
      </c>
      <c r="AC7" s="1" t="s">
        <v>87</v>
      </c>
      <c r="AD7" s="1"/>
      <c r="AE7" s="1"/>
      <c r="AF7" s="1"/>
      <c r="AG7" s="1"/>
      <c r="AH7" s="1"/>
      <c r="AI7" s="1"/>
      <c r="AJ7" s="1"/>
      <c r="AK7" s="1"/>
      <c r="AL7" s="1"/>
      <c r="AM7" s="27" t="b">
        <f aca="false">TRUE()</f>
        <v>1</v>
      </c>
      <c r="AN7" s="36" t="b">
        <f aca="false">TRUE()</f>
        <v>1</v>
      </c>
      <c r="AO7" s="1" t="s">
        <v>101</v>
      </c>
      <c r="AP7" s="1" t="s">
        <v>152</v>
      </c>
      <c r="AQ7" s="1" t="s">
        <v>101</v>
      </c>
      <c r="AR7" s="1" t="s">
        <v>152</v>
      </c>
      <c r="AS7" s="1"/>
      <c r="AT7" s="1"/>
      <c r="AU7" s="1"/>
      <c r="AV7" s="1"/>
      <c r="AW7" s="1"/>
      <c r="AX7" s="27" t="b">
        <f aca="false">FALSE()</f>
        <v>0</v>
      </c>
      <c r="AY7" s="27" t="b">
        <f aca="false">FALSE()</f>
        <v>0</v>
      </c>
      <c r="AZ7" s="27" t="b">
        <f aca="false">FALSE()</f>
        <v>0</v>
      </c>
      <c r="BA7" s="27" t="b">
        <f aca="false">FALSE()</f>
        <v>0</v>
      </c>
      <c r="BB7" s="1"/>
      <c r="BC7" s="1"/>
      <c r="BD7" s="1"/>
      <c r="BE7" s="1"/>
      <c r="BF7" s="1"/>
      <c r="BG7" s="1"/>
      <c r="BH7" s="1"/>
      <c r="BI7" s="1"/>
      <c r="BJ7" s="1"/>
      <c r="BK7" s="1"/>
      <c r="BL7" s="1"/>
      <c r="BM7" s="1"/>
      <c r="BN7" s="1"/>
      <c r="BO7" s="1"/>
      <c r="BP7" s="1"/>
      <c r="BQ7" s="1" t="s">
        <v>103</v>
      </c>
      <c r="BR7" s="1" t="s">
        <v>103</v>
      </c>
      <c r="BS7" s="1"/>
      <c r="BT7" s="1"/>
      <c r="BU7" s="1"/>
      <c r="BV7" s="1"/>
      <c r="BW7" s="1"/>
      <c r="BX7" s="1"/>
      <c r="BY7" s="1"/>
      <c r="BZ7" s="1"/>
      <c r="CA7" s="1"/>
      <c r="CB7" s="1"/>
      <c r="CC7" s="1"/>
      <c r="CD7" s="1"/>
      <c r="CE7" s="1"/>
      <c r="CF7" s="1"/>
      <c r="CG7" s="1"/>
      <c r="CH7" s="1"/>
      <c r="CI7" s="1"/>
    </row>
    <row r="8" customFormat="false" ht="288.75" hidden="false" customHeight="false" outlineLevel="0" collapsed="false">
      <c r="A8" s="1"/>
      <c r="B8" s="1" t="n">
        <v>309758</v>
      </c>
      <c r="C8" s="25" t="n">
        <v>43005</v>
      </c>
      <c r="D8" s="1" t="n">
        <v>7</v>
      </c>
      <c r="E8" s="37" t="s">
        <v>234</v>
      </c>
      <c r="F8" s="1"/>
      <c r="G8" s="1"/>
      <c r="H8" s="1"/>
      <c r="I8" s="1"/>
      <c r="J8" s="1"/>
      <c r="K8" s="1"/>
      <c r="L8" s="1"/>
      <c r="M8" s="1"/>
      <c r="N8" s="1"/>
      <c r="O8" s="1"/>
      <c r="P8" s="1"/>
      <c r="Q8" s="1"/>
      <c r="R8" s="1"/>
      <c r="S8" s="1"/>
      <c r="T8" s="1"/>
      <c r="U8" s="1"/>
      <c r="V8" s="1"/>
      <c r="W8" s="1"/>
      <c r="X8" s="1"/>
      <c r="Y8" s="1"/>
      <c r="Z8" s="1" t="s">
        <v>87</v>
      </c>
      <c r="AA8" s="1" t="s">
        <v>87</v>
      </c>
      <c r="AB8" s="1" t="s">
        <v>87</v>
      </c>
      <c r="AC8" s="1" t="s">
        <v>87</v>
      </c>
      <c r="AD8" s="1" t="s">
        <v>182</v>
      </c>
      <c r="AE8" s="1"/>
      <c r="AF8" s="1"/>
      <c r="AG8" s="1"/>
      <c r="AH8" s="1"/>
      <c r="AI8" s="1"/>
      <c r="AJ8" s="1"/>
      <c r="AK8" s="1"/>
      <c r="AL8" s="1"/>
      <c r="AM8" s="27" t="b">
        <f aca="false">TRUE()</f>
        <v>1</v>
      </c>
      <c r="AN8" s="27" t="b">
        <f aca="false">TRUE()</f>
        <v>1</v>
      </c>
      <c r="AO8" s="1" t="s">
        <v>101</v>
      </c>
      <c r="AP8" s="1" t="s">
        <v>155</v>
      </c>
      <c r="AQ8" s="1" t="s">
        <v>101</v>
      </c>
      <c r="AR8" s="1" t="s">
        <v>155</v>
      </c>
      <c r="AS8" s="1"/>
      <c r="AT8" s="1"/>
      <c r="AU8" s="1"/>
      <c r="AV8" s="1"/>
      <c r="AW8" s="1"/>
      <c r="AX8" s="27" t="b">
        <f aca="false">FALSE()</f>
        <v>0</v>
      </c>
      <c r="AY8" s="27" t="b">
        <f aca="false">FALSE()</f>
        <v>0</v>
      </c>
      <c r="AZ8" s="27" t="b">
        <f aca="false">FALSE()</f>
        <v>0</v>
      </c>
      <c r="BA8" s="27" t="b">
        <f aca="false">FALSE()</f>
        <v>0</v>
      </c>
      <c r="BB8" s="1"/>
      <c r="BC8" s="1"/>
      <c r="BD8" s="1"/>
      <c r="BE8" s="1"/>
      <c r="BF8" s="1"/>
      <c r="BG8" s="1"/>
      <c r="BH8" s="1"/>
      <c r="BI8" s="1"/>
      <c r="BJ8" s="1"/>
      <c r="BK8" s="1"/>
      <c r="BL8" s="1"/>
      <c r="BM8" s="1"/>
      <c r="BN8" s="1"/>
      <c r="BO8" s="1"/>
      <c r="BP8" s="1"/>
      <c r="BQ8" s="1" t="s">
        <v>103</v>
      </c>
      <c r="BR8" s="1" t="s">
        <v>103</v>
      </c>
      <c r="BS8" s="1"/>
      <c r="BT8" s="1"/>
      <c r="BU8" s="1"/>
      <c r="BV8" s="1"/>
      <c r="BW8" s="1"/>
      <c r="BX8" s="1"/>
      <c r="BY8" s="1"/>
      <c r="BZ8" s="1"/>
      <c r="CA8" s="1"/>
      <c r="CB8" s="1"/>
      <c r="CC8" s="1"/>
      <c r="CD8" s="1"/>
      <c r="CE8" s="1"/>
      <c r="CF8" s="1"/>
      <c r="CG8" s="1"/>
      <c r="CH8" s="1"/>
      <c r="CI8" s="1"/>
    </row>
    <row r="9" customFormat="false" ht="269.25" hidden="false" customHeight="true" outlineLevel="0" collapsed="false">
      <c r="A9" s="1"/>
      <c r="B9" s="1" t="n">
        <v>309758</v>
      </c>
      <c r="C9" s="25" t="n">
        <v>43048</v>
      </c>
      <c r="D9" s="1" t="n">
        <v>8</v>
      </c>
      <c r="E9" s="38" t="s">
        <v>235</v>
      </c>
      <c r="F9" s="1"/>
      <c r="G9" s="1"/>
      <c r="H9" s="1"/>
      <c r="I9" s="1"/>
      <c r="J9" s="1"/>
      <c r="K9" s="1"/>
      <c r="L9" s="1"/>
      <c r="M9" s="31" t="b">
        <f aca="false">TRUE()</f>
        <v>1</v>
      </c>
      <c r="N9" s="1"/>
      <c r="O9" s="1"/>
      <c r="P9" s="1"/>
      <c r="Q9" s="1"/>
      <c r="R9" s="1"/>
      <c r="S9" s="1"/>
      <c r="T9" s="1"/>
      <c r="U9" s="1"/>
      <c r="V9" s="1"/>
      <c r="W9" s="1"/>
      <c r="X9" s="1"/>
      <c r="Y9" s="1"/>
      <c r="Z9" s="1"/>
      <c r="AA9" s="1" t="s">
        <v>87</v>
      </c>
      <c r="AB9" s="1"/>
      <c r="AC9" s="1" t="s">
        <v>87</v>
      </c>
      <c r="AD9" s="1" t="s">
        <v>182</v>
      </c>
      <c r="AE9" s="1"/>
      <c r="AF9" s="1"/>
      <c r="AG9" s="1"/>
      <c r="AH9" s="1"/>
      <c r="AI9" s="1"/>
      <c r="AJ9" s="1"/>
      <c r="AK9" s="1"/>
      <c r="AL9" s="1"/>
      <c r="AM9" s="27" t="b">
        <f aca="false">TRUE()</f>
        <v>1</v>
      </c>
      <c r="AN9" s="27" t="b">
        <f aca="false">TRUE()</f>
        <v>1</v>
      </c>
      <c r="AO9" s="1" t="s">
        <v>101</v>
      </c>
      <c r="AP9" s="30" t="s">
        <v>160</v>
      </c>
      <c r="AQ9" s="1" t="s">
        <v>101</v>
      </c>
      <c r="AR9" s="30" t="s">
        <v>167</v>
      </c>
      <c r="AS9" s="1"/>
      <c r="AT9" s="1"/>
      <c r="AU9" s="1"/>
      <c r="AV9" s="1"/>
      <c r="AW9" s="1"/>
      <c r="AX9" s="27" t="b">
        <f aca="false">FALSE()</f>
        <v>0</v>
      </c>
      <c r="AY9" s="27" t="b">
        <f aca="false">FALSE()</f>
        <v>0</v>
      </c>
      <c r="AZ9" s="27" t="b">
        <f aca="false">FALSE()</f>
        <v>0</v>
      </c>
      <c r="BA9" s="27" t="b">
        <f aca="false">FALSE()</f>
        <v>0</v>
      </c>
      <c r="BB9" s="1"/>
      <c r="BC9" s="1"/>
      <c r="BD9" s="1"/>
      <c r="BE9" s="1"/>
      <c r="BF9" s="1"/>
      <c r="BG9" s="1"/>
      <c r="BH9" s="1"/>
      <c r="BI9" s="1"/>
      <c r="BJ9" s="1"/>
      <c r="BK9" s="1"/>
      <c r="BL9" s="1"/>
      <c r="BM9" s="1"/>
      <c r="BN9" s="1"/>
      <c r="BO9" s="1"/>
      <c r="BP9" s="1"/>
      <c r="BQ9" s="1" t="s">
        <v>103</v>
      </c>
      <c r="BR9" s="1" t="s">
        <v>103</v>
      </c>
      <c r="BS9" s="1"/>
      <c r="BT9" s="1"/>
      <c r="BU9" s="1"/>
      <c r="BV9" s="1"/>
      <c r="BW9" s="1"/>
      <c r="BX9" s="1"/>
      <c r="BY9" s="1"/>
      <c r="BZ9" s="1"/>
      <c r="CA9" s="1"/>
      <c r="CB9" s="1"/>
      <c r="CC9" s="1"/>
      <c r="CD9" s="1"/>
      <c r="CE9" s="1"/>
      <c r="CF9" s="1"/>
      <c r="CG9" s="1"/>
      <c r="CH9" s="1"/>
      <c r="CI9" s="1"/>
    </row>
    <row r="10" customFormat="false" ht="339.75" hidden="false" customHeight="false" outlineLevel="0" collapsed="false">
      <c r="A10" s="1"/>
      <c r="B10" s="1" t="n">
        <v>309758</v>
      </c>
      <c r="C10" s="25" t="n">
        <v>43082</v>
      </c>
      <c r="D10" s="1" t="n">
        <v>9</v>
      </c>
      <c r="E10" s="26" t="s">
        <v>236</v>
      </c>
      <c r="F10" s="1"/>
      <c r="G10" s="1"/>
      <c r="H10" s="1"/>
      <c r="I10" s="1"/>
      <c r="J10" s="1"/>
      <c r="K10" s="1"/>
      <c r="L10" s="1"/>
      <c r="M10" s="1"/>
      <c r="N10" s="1"/>
      <c r="O10" s="1"/>
      <c r="P10" s="1"/>
      <c r="Q10" s="1"/>
      <c r="R10" s="1"/>
      <c r="S10" s="1"/>
      <c r="T10" s="1"/>
      <c r="U10" s="1"/>
      <c r="V10" s="1"/>
      <c r="W10" s="1"/>
      <c r="X10" s="1"/>
      <c r="Y10" s="1"/>
      <c r="Z10" s="1"/>
      <c r="AA10" s="1" t="s">
        <v>87</v>
      </c>
      <c r="AB10" s="1"/>
      <c r="AC10" s="1" t="s">
        <v>87</v>
      </c>
      <c r="AD10" s="1" t="s">
        <v>182</v>
      </c>
      <c r="AE10" s="1"/>
      <c r="AF10" s="1"/>
      <c r="AG10" s="1"/>
      <c r="AH10" s="1"/>
      <c r="AI10" s="1"/>
      <c r="AJ10" s="1"/>
      <c r="AK10" s="1"/>
      <c r="AL10" s="1"/>
      <c r="AM10" s="27" t="b">
        <f aca="false">FALSE()</f>
        <v>0</v>
      </c>
      <c r="AN10" s="27" t="b">
        <f aca="false">FALSE()</f>
        <v>0</v>
      </c>
      <c r="AO10" s="1" t="s">
        <v>101</v>
      </c>
      <c r="AP10" s="30" t="s">
        <v>160</v>
      </c>
      <c r="AQ10" s="1" t="s">
        <v>101</v>
      </c>
      <c r="AR10" s="30" t="s">
        <v>167</v>
      </c>
      <c r="AS10" s="1"/>
      <c r="AT10" s="1"/>
      <c r="AU10" s="1"/>
      <c r="AV10" s="1"/>
      <c r="AW10" s="1"/>
      <c r="AX10" s="27" t="b">
        <f aca="false">FALSE()</f>
        <v>0</v>
      </c>
      <c r="AY10" s="27" t="b">
        <f aca="false">FALSE()</f>
        <v>0</v>
      </c>
      <c r="AZ10" s="27" t="b">
        <f aca="false">FALSE()</f>
        <v>0</v>
      </c>
      <c r="BA10" s="27" t="b">
        <f aca="false">FALSE()</f>
        <v>0</v>
      </c>
      <c r="BB10" s="1"/>
      <c r="BC10" s="1"/>
      <c r="BD10" s="1"/>
      <c r="BE10" s="1"/>
      <c r="BF10" s="1"/>
      <c r="BG10" s="1"/>
      <c r="BH10" s="1"/>
      <c r="BI10" s="1"/>
      <c r="BJ10" s="1"/>
      <c r="BK10" s="1"/>
      <c r="BL10" s="1"/>
      <c r="BM10" s="1"/>
      <c r="BN10" s="1"/>
      <c r="BO10" s="1"/>
      <c r="BP10" s="1"/>
      <c r="BQ10" s="1" t="s">
        <v>103</v>
      </c>
      <c r="BR10" s="1" t="s">
        <v>103</v>
      </c>
      <c r="BS10" s="1"/>
      <c r="BT10" s="31" t="b">
        <f aca="false">TRUE()</f>
        <v>1</v>
      </c>
      <c r="BU10" s="1" t="s">
        <v>153</v>
      </c>
      <c r="BV10" s="31" t="b">
        <f aca="false">TRUE()</f>
        <v>1</v>
      </c>
      <c r="BW10" s="1"/>
      <c r="BX10" s="1"/>
      <c r="BY10" s="1"/>
      <c r="BZ10" s="1"/>
      <c r="CA10" s="1"/>
      <c r="CB10" s="1"/>
      <c r="CC10" s="1"/>
      <c r="CD10" s="1"/>
      <c r="CE10" s="1"/>
      <c r="CF10" s="1"/>
      <c r="CG10" s="1"/>
      <c r="CH10" s="1"/>
      <c r="CI10" s="1"/>
    </row>
    <row r="11" customFormat="false" ht="288.75" hidden="false" customHeight="false" outlineLevel="0" collapsed="false">
      <c r="A11" s="1"/>
      <c r="B11" s="1" t="n">
        <v>309758</v>
      </c>
      <c r="C11" s="25" t="n">
        <v>43168</v>
      </c>
      <c r="D11" s="1" t="n">
        <v>12</v>
      </c>
      <c r="E11" s="26" t="s">
        <v>237</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31" t="b">
        <f aca="false">TRUE()</f>
        <v>1</v>
      </c>
      <c r="AN11" s="27" t="b">
        <f aca="false">TRUE()</f>
        <v>1</v>
      </c>
      <c r="AO11" s="1" t="s">
        <v>101</v>
      </c>
      <c r="AP11" s="1" t="s">
        <v>152</v>
      </c>
      <c r="AQ11" s="1" t="s">
        <v>101</v>
      </c>
      <c r="AR11" s="1" t="s">
        <v>152</v>
      </c>
      <c r="AS11" s="1"/>
      <c r="AT11" s="1"/>
      <c r="AU11" s="1"/>
      <c r="AV11" s="1"/>
      <c r="AW11" s="1"/>
      <c r="AX11" s="27" t="b">
        <f aca="false">FALSE()</f>
        <v>0</v>
      </c>
      <c r="AY11" s="27" t="b">
        <f aca="false">FALSE()</f>
        <v>0</v>
      </c>
      <c r="AZ11" s="27" t="b">
        <f aca="false">FALSE()</f>
        <v>0</v>
      </c>
      <c r="BA11" s="27" t="b">
        <f aca="false">FALSE()</f>
        <v>0</v>
      </c>
      <c r="BB11" s="1"/>
      <c r="BC11" s="1"/>
      <c r="BD11" s="1"/>
      <c r="BE11" s="1"/>
      <c r="BF11" s="1"/>
      <c r="BG11" s="1"/>
      <c r="BH11" s="1"/>
      <c r="BI11" s="1"/>
      <c r="BJ11" s="1"/>
      <c r="BK11" s="1"/>
      <c r="BL11" s="1"/>
      <c r="BM11" s="1"/>
      <c r="BN11" s="1"/>
      <c r="BO11" s="1"/>
      <c r="BP11" s="1"/>
      <c r="BQ11" s="1" t="s">
        <v>135</v>
      </c>
      <c r="BR11" s="1" t="s">
        <v>103</v>
      </c>
      <c r="BS11" s="31" t="b">
        <f aca="false">TRUE()</f>
        <v>1</v>
      </c>
      <c r="BT11" s="1"/>
      <c r="BU11" s="1"/>
      <c r="BV11" s="1"/>
      <c r="BW11" s="1"/>
      <c r="BX11" s="1"/>
      <c r="BY11" s="1"/>
      <c r="BZ11" s="1"/>
      <c r="CA11" s="1"/>
      <c r="CB11" s="1"/>
      <c r="CC11" s="1"/>
      <c r="CD11" s="1"/>
      <c r="CE11" s="1"/>
      <c r="CF11" s="1"/>
      <c r="CG11" s="1"/>
      <c r="CH11" s="1"/>
      <c r="CI11" s="1"/>
    </row>
    <row r="12" customFormat="false" ht="271.5" hidden="false" customHeight="false" outlineLevel="0" collapsed="false">
      <c r="A12" s="1"/>
      <c r="B12" s="1" t="n">
        <v>309758</v>
      </c>
      <c r="C12" s="25" t="n">
        <v>43196</v>
      </c>
      <c r="D12" s="1" t="n">
        <v>13</v>
      </c>
      <c r="E12" s="26" t="s">
        <v>238</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31" t="b">
        <f aca="false">TRUE()</f>
        <v>1</v>
      </c>
      <c r="AN12" s="27" t="b">
        <f aca="false">TRUE()</f>
        <v>1</v>
      </c>
      <c r="AO12" s="1" t="s">
        <v>101</v>
      </c>
      <c r="AP12" s="1" t="s">
        <v>155</v>
      </c>
      <c r="AQ12" s="1" t="s">
        <v>101</v>
      </c>
      <c r="AR12" s="1" t="s">
        <v>155</v>
      </c>
      <c r="AS12" s="1"/>
      <c r="AT12" s="1"/>
      <c r="AU12" s="1" t="s">
        <v>239</v>
      </c>
      <c r="AV12" s="1"/>
      <c r="AW12" s="1" t="s">
        <v>239</v>
      </c>
      <c r="AX12" s="27" t="b">
        <f aca="false">FALSE()</f>
        <v>0</v>
      </c>
      <c r="AY12" s="27" t="b">
        <f aca="false">FALSE()</f>
        <v>0</v>
      </c>
      <c r="AZ12" s="27" t="b">
        <f aca="false">FALSE()</f>
        <v>0</v>
      </c>
      <c r="BA12" s="27" t="b">
        <f aca="false">FALSE()</f>
        <v>0</v>
      </c>
      <c r="BB12" s="1"/>
      <c r="BC12" s="1"/>
      <c r="BD12" s="1"/>
      <c r="BE12" s="1"/>
      <c r="BF12" s="1"/>
      <c r="BG12" s="1"/>
      <c r="BH12" s="1"/>
      <c r="BI12" s="1"/>
      <c r="BJ12" s="1"/>
      <c r="BK12" s="1"/>
      <c r="BL12" s="1"/>
      <c r="BM12" s="1"/>
      <c r="BN12" s="1"/>
      <c r="BO12" s="1"/>
      <c r="BP12" s="1"/>
      <c r="BQ12" s="1" t="s">
        <v>103</v>
      </c>
      <c r="BR12" s="1" t="s">
        <v>103</v>
      </c>
      <c r="BS12" s="1"/>
      <c r="BT12" s="1"/>
      <c r="BU12" s="1"/>
      <c r="BV12" s="1"/>
      <c r="BW12" s="1"/>
      <c r="BX12" s="1"/>
      <c r="BY12" s="1"/>
      <c r="BZ12" s="1"/>
      <c r="CA12" s="1"/>
      <c r="CB12" s="1"/>
      <c r="CC12" s="1"/>
      <c r="CD12" s="1"/>
      <c r="CE12" s="1"/>
      <c r="CF12" s="1"/>
      <c r="CG12" s="1"/>
      <c r="CH12" s="1"/>
      <c r="CI12" s="1"/>
    </row>
    <row r="13" customFormat="false" ht="102" hidden="false" customHeight="false" outlineLevel="0" collapsed="false">
      <c r="A13" s="1"/>
      <c r="B13" s="1" t="n">
        <v>309758</v>
      </c>
      <c r="C13" s="25" t="n">
        <v>43209</v>
      </c>
      <c r="D13" s="1" t="n">
        <v>13</v>
      </c>
      <c r="E13" s="26" t="s">
        <v>240</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31" t="b">
        <f aca="false">TRUE()</f>
        <v>1</v>
      </c>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118.5" hidden="false" customHeight="false" outlineLevel="0" collapsed="false">
      <c r="A14" s="1"/>
      <c r="B14" s="1" t="n">
        <v>309758</v>
      </c>
      <c r="C14" s="25" t="n">
        <v>43216</v>
      </c>
      <c r="D14" s="1" t="n">
        <v>14</v>
      </c>
      <c r="E14" s="26" t="s">
        <v>241</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27" t="b">
        <f aca="false">TRUE()</f>
        <v>1</v>
      </c>
      <c r="BU14" s="1" t="s">
        <v>174</v>
      </c>
      <c r="BV14" s="1"/>
      <c r="BW14" s="1"/>
      <c r="BX14" s="1"/>
      <c r="BY14" s="1"/>
      <c r="BZ14" s="1"/>
      <c r="CA14" s="1"/>
      <c r="CB14" s="1"/>
      <c r="CC14" s="1"/>
      <c r="CD14" s="1"/>
      <c r="CE14" s="1"/>
      <c r="CF14" s="1"/>
      <c r="CG14" s="1"/>
      <c r="CH14" s="1"/>
      <c r="CI14" s="1"/>
    </row>
    <row r="15" customFormat="false" ht="288.75" hidden="false" customHeight="false" outlineLevel="0" collapsed="false">
      <c r="A15" s="1"/>
      <c r="B15" s="1" t="n">
        <v>309758</v>
      </c>
      <c r="C15" s="25" t="n">
        <v>43231</v>
      </c>
      <c r="D15" s="1" t="n">
        <v>14</v>
      </c>
      <c r="E15" s="26" t="s">
        <v>242</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27" t="b">
        <f aca="false">TRUE()</f>
        <v>1</v>
      </c>
      <c r="AN15" s="27" t="b">
        <f aca="false">TRUE()</f>
        <v>1</v>
      </c>
      <c r="AO15" s="1" t="s">
        <v>101</v>
      </c>
      <c r="AP15" s="1" t="s">
        <v>160</v>
      </c>
      <c r="AQ15" s="1" t="s">
        <v>96</v>
      </c>
      <c r="AR15" s="1" t="s">
        <v>94</v>
      </c>
      <c r="AS15" s="1"/>
      <c r="AT15" s="1"/>
      <c r="AU15" s="1" t="s">
        <v>239</v>
      </c>
      <c r="AV15" s="1"/>
      <c r="AW15" s="1" t="s">
        <v>239</v>
      </c>
      <c r="AX15" s="1"/>
      <c r="AY15" s="1"/>
      <c r="AZ15" s="1"/>
      <c r="BA15" s="1"/>
      <c r="BB15" s="1"/>
      <c r="BC15" s="1"/>
      <c r="BD15" s="1"/>
      <c r="BE15" s="1"/>
      <c r="BF15" s="1"/>
      <c r="BG15" s="1"/>
      <c r="BH15" s="1"/>
      <c r="BI15" s="1"/>
      <c r="BJ15" s="1"/>
      <c r="BK15" s="1"/>
      <c r="BL15" s="1"/>
      <c r="BM15" s="1"/>
      <c r="BN15" s="1"/>
      <c r="BO15" s="1"/>
      <c r="BP15" s="1"/>
      <c r="BQ15" s="1" t="s">
        <v>103</v>
      </c>
      <c r="BR15" s="1" t="s">
        <v>103</v>
      </c>
      <c r="BS15" s="27" t="b">
        <f aca="false">TRUE()</f>
        <v>1</v>
      </c>
      <c r="BT15" s="1"/>
      <c r="BU15" s="1"/>
      <c r="BV15" s="1"/>
      <c r="BW15" s="1"/>
      <c r="BX15" s="1"/>
      <c r="BY15" s="1"/>
      <c r="BZ15" s="1"/>
      <c r="CA15" s="1"/>
      <c r="CB15" s="1"/>
      <c r="CC15" s="1"/>
      <c r="CD15" s="27" t="b">
        <f aca="false">TRUE()</f>
        <v>1</v>
      </c>
      <c r="CE15" s="1"/>
      <c r="CF15" s="1"/>
      <c r="CG15" s="1"/>
      <c r="CH15" s="1"/>
      <c r="CI15" s="1"/>
    </row>
    <row r="16" customFormat="false" ht="102" hidden="false" customHeight="false" outlineLevel="0" collapsed="false">
      <c r="A16" s="1"/>
      <c r="B16" s="1" t="n">
        <v>309758</v>
      </c>
      <c r="C16" s="25" t="n">
        <v>43273</v>
      </c>
      <c r="D16" s="1" t="n">
        <v>16</v>
      </c>
      <c r="E16" s="26" t="s">
        <v>243</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row>
    <row r="17" customFormat="false" ht="355.5" hidden="false" customHeight="false" outlineLevel="0" collapsed="false">
      <c r="A17" s="1"/>
      <c r="B17" s="1" t="n">
        <v>309758</v>
      </c>
      <c r="C17" s="25" t="n">
        <v>43312</v>
      </c>
      <c r="D17" s="1" t="n">
        <v>17</v>
      </c>
      <c r="E17" s="26" t="s">
        <v>244</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27" t="b">
        <f aca="false">FALSE()</f>
        <v>0</v>
      </c>
      <c r="AN17" s="27" t="b">
        <f aca="false">TRUE()</f>
        <v>1</v>
      </c>
      <c r="AO17" s="1" t="s">
        <v>101</v>
      </c>
      <c r="AP17" s="1" t="s">
        <v>155</v>
      </c>
      <c r="AQ17" s="1" t="s">
        <v>101</v>
      </c>
      <c r="AR17" s="1" t="s">
        <v>155</v>
      </c>
      <c r="AS17" s="1"/>
      <c r="AT17" s="1"/>
      <c r="AU17" s="1"/>
      <c r="AV17" s="1"/>
      <c r="AW17" s="1"/>
      <c r="AX17" s="27" t="b">
        <f aca="false">FALSE()</f>
        <v>0</v>
      </c>
      <c r="AY17" s="27" t="b">
        <f aca="false">FALSE()</f>
        <v>0</v>
      </c>
      <c r="AZ17" s="27" t="b">
        <f aca="false">FALSE()</f>
        <v>0</v>
      </c>
      <c r="BA17" s="27" t="b">
        <f aca="false">FALSE()</f>
        <v>0</v>
      </c>
      <c r="BB17" s="1"/>
      <c r="BC17" s="1"/>
      <c r="BD17" s="1"/>
      <c r="BE17" s="1"/>
      <c r="BF17" s="1"/>
      <c r="BG17" s="1"/>
      <c r="BH17" s="1"/>
      <c r="BI17" s="1"/>
      <c r="BJ17" s="1"/>
      <c r="BK17" s="1"/>
      <c r="BL17" s="1"/>
      <c r="BM17" s="1"/>
      <c r="BN17" s="1"/>
      <c r="BO17" s="1"/>
      <c r="BP17" s="1"/>
      <c r="BQ17" s="1" t="s">
        <v>103</v>
      </c>
      <c r="BR17" s="1" t="s">
        <v>103</v>
      </c>
      <c r="BS17" s="1"/>
      <c r="BT17" s="27" t="b">
        <f aca="false">TRUE()</f>
        <v>1</v>
      </c>
      <c r="BU17" s="1" t="s">
        <v>153</v>
      </c>
      <c r="BV17" s="27" t="b">
        <f aca="false">TRUE()</f>
        <v>1</v>
      </c>
      <c r="BW17" s="1"/>
      <c r="BX17" s="1"/>
      <c r="BY17" s="1"/>
      <c r="BZ17" s="1"/>
      <c r="CA17" s="1"/>
      <c r="CB17" s="1"/>
      <c r="CC17" s="1"/>
      <c r="CD17" s="1"/>
      <c r="CE17" s="1"/>
      <c r="CF17" s="1"/>
      <c r="CG17" s="1"/>
      <c r="CH17" s="1"/>
      <c r="CI17" s="1"/>
    </row>
    <row r="18" customFormat="false" ht="220.5" hidden="false" customHeight="false" outlineLevel="0" collapsed="false">
      <c r="A18" s="1"/>
      <c r="B18" s="1" t="n">
        <v>309758</v>
      </c>
      <c r="C18" s="25" t="n">
        <v>43349</v>
      </c>
      <c r="D18" s="1" t="n">
        <v>18</v>
      </c>
      <c r="E18" s="26" t="s">
        <v>245</v>
      </c>
      <c r="F18" s="1"/>
      <c r="G18" s="1"/>
      <c r="H18" s="1"/>
      <c r="I18" s="1"/>
      <c r="J18" s="1"/>
      <c r="K18" s="1"/>
      <c r="L18" s="1"/>
      <c r="M18" s="1"/>
      <c r="N18" s="1"/>
      <c r="O18" s="1"/>
      <c r="P18" s="1"/>
      <c r="Q18" s="1"/>
      <c r="R18" s="1"/>
      <c r="S18" s="1"/>
      <c r="T18" s="1"/>
      <c r="U18" s="1"/>
      <c r="V18" s="1"/>
      <c r="W18" s="1"/>
      <c r="X18" s="1"/>
      <c r="Y18" s="1"/>
      <c r="Z18" s="1" t="s">
        <v>87</v>
      </c>
      <c r="AA18" s="1" t="s">
        <v>87</v>
      </c>
      <c r="AB18" s="1" t="s">
        <v>87</v>
      </c>
      <c r="AC18" s="1" t="s">
        <v>87</v>
      </c>
      <c r="AD18" s="1"/>
      <c r="AE18" s="1"/>
      <c r="AF18" s="1"/>
      <c r="AG18" s="1"/>
      <c r="AH18" s="1"/>
      <c r="AI18" s="1"/>
      <c r="AJ18" s="1"/>
      <c r="AK18" s="1"/>
      <c r="AL18" s="1"/>
      <c r="AM18" s="27" t="b">
        <f aca="false">TRUE()</f>
        <v>1</v>
      </c>
      <c r="AN18" s="27" t="b">
        <f aca="false">TRUE()</f>
        <v>1</v>
      </c>
      <c r="AO18" s="1" t="s">
        <v>96</v>
      </c>
      <c r="AP18" s="1" t="s">
        <v>155</v>
      </c>
      <c r="AQ18" s="1" t="s">
        <v>96</v>
      </c>
      <c r="AR18" s="1" t="s">
        <v>155</v>
      </c>
      <c r="AS18" s="1"/>
      <c r="AT18" s="1"/>
      <c r="AU18" s="1"/>
      <c r="AV18" s="1"/>
      <c r="AW18" s="1"/>
      <c r="AX18" s="27" t="b">
        <f aca="false">FALSE()</f>
        <v>0</v>
      </c>
      <c r="AY18" s="27" t="b">
        <f aca="false">FALSE()</f>
        <v>0</v>
      </c>
      <c r="AZ18" s="27" t="b">
        <f aca="false">FALSE()</f>
        <v>0</v>
      </c>
      <c r="BA18" s="27" t="b">
        <f aca="false">FALSE()</f>
        <v>0</v>
      </c>
      <c r="BB18" s="1"/>
      <c r="BC18" s="1"/>
      <c r="BD18" s="1"/>
      <c r="BE18" s="1"/>
      <c r="BF18" s="1"/>
      <c r="BG18" s="1"/>
      <c r="BH18" s="1"/>
      <c r="BI18" s="1"/>
      <c r="BJ18" s="1"/>
      <c r="BK18" s="1"/>
      <c r="BL18" s="1"/>
      <c r="BM18" s="1"/>
      <c r="BN18" s="1"/>
      <c r="BO18" s="1"/>
      <c r="BP18" s="1"/>
      <c r="BQ18" s="1" t="s">
        <v>103</v>
      </c>
      <c r="BR18" s="1" t="s">
        <v>103</v>
      </c>
      <c r="BS18" s="31" t="b">
        <f aca="false">TRUE()</f>
        <v>1</v>
      </c>
      <c r="BT18" s="1"/>
      <c r="BU18" s="1"/>
      <c r="BV18" s="1"/>
      <c r="BW18" s="1"/>
      <c r="BX18" s="1"/>
      <c r="BY18" s="1"/>
      <c r="BZ18" s="1"/>
      <c r="CA18" s="1"/>
      <c r="CB18" s="1"/>
      <c r="CC18" s="1"/>
      <c r="CD18" s="1"/>
      <c r="CE18" s="1"/>
      <c r="CF18" s="1"/>
      <c r="CG18" s="1"/>
      <c r="CH18" s="1"/>
      <c r="CI18" s="1"/>
    </row>
    <row r="19" customFormat="false" ht="271.5" hidden="false" customHeight="false" outlineLevel="0" collapsed="false">
      <c r="A19" s="1"/>
      <c r="B19" s="1" t="n">
        <v>309758</v>
      </c>
      <c r="C19" s="25" t="n">
        <v>43398</v>
      </c>
      <c r="D19" s="1" t="n">
        <v>20</v>
      </c>
      <c r="E19" s="26" t="s">
        <v>246</v>
      </c>
      <c r="F19" s="1"/>
      <c r="G19" s="1"/>
      <c r="H19" s="1"/>
      <c r="I19" s="1"/>
      <c r="J19" s="1"/>
      <c r="K19" s="31" t="b">
        <f aca="false">TRUE()</f>
        <v>1</v>
      </c>
      <c r="L19" s="1"/>
      <c r="M19" s="1"/>
      <c r="N19" s="1"/>
      <c r="O19" s="1"/>
      <c r="P19" s="1"/>
      <c r="Q19" s="1"/>
      <c r="R19" s="1"/>
      <c r="S19" s="1"/>
      <c r="T19" s="1"/>
      <c r="U19" s="1"/>
      <c r="V19" s="1"/>
      <c r="W19" s="1"/>
      <c r="X19" s="1"/>
      <c r="Y19" s="1"/>
      <c r="Z19" s="1" t="s">
        <v>87</v>
      </c>
      <c r="AA19" s="1" t="s">
        <v>87</v>
      </c>
      <c r="AB19" s="1" t="s">
        <v>87</v>
      </c>
      <c r="AC19" s="1" t="s">
        <v>87</v>
      </c>
      <c r="AD19" s="1"/>
      <c r="AE19" s="1"/>
      <c r="AF19" s="1"/>
      <c r="AG19" s="1"/>
      <c r="AH19" s="1"/>
      <c r="AI19" s="1"/>
      <c r="AJ19" s="1"/>
      <c r="AK19" s="1"/>
      <c r="AL19" s="1"/>
      <c r="AM19" s="27" t="b">
        <f aca="false">FALSE()</f>
        <v>0</v>
      </c>
      <c r="AN19" s="27" t="b">
        <f aca="false">TRUE()</f>
        <v>1</v>
      </c>
      <c r="AO19" s="1" t="s">
        <v>96</v>
      </c>
      <c r="AP19" s="1" t="s">
        <v>155</v>
      </c>
      <c r="AQ19" s="1" t="s">
        <v>96</v>
      </c>
      <c r="AR19" s="1" t="s">
        <v>160</v>
      </c>
      <c r="AS19" s="1"/>
      <c r="AT19" s="1"/>
      <c r="AU19" s="1"/>
      <c r="AV19" s="1"/>
      <c r="AW19" s="1"/>
      <c r="AX19" s="27" t="b">
        <f aca="false">FALSE()</f>
        <v>0</v>
      </c>
      <c r="AY19" s="27" t="b">
        <f aca="false">FALSE()</f>
        <v>0</v>
      </c>
      <c r="AZ19" s="27" t="b">
        <f aca="false">FALSE()</f>
        <v>0</v>
      </c>
      <c r="BA19" s="27" t="b">
        <f aca="false">FALSE()</f>
        <v>0</v>
      </c>
      <c r="BB19" s="1"/>
      <c r="BC19" s="1"/>
      <c r="BD19" s="1"/>
      <c r="BE19" s="1"/>
      <c r="BF19" s="1"/>
      <c r="BG19" s="1"/>
      <c r="BH19" s="1"/>
      <c r="BI19" s="1"/>
      <c r="BJ19" s="1"/>
      <c r="BK19" s="1"/>
      <c r="BL19" s="1"/>
      <c r="BM19" s="1"/>
      <c r="BN19" s="1"/>
      <c r="BO19" s="1"/>
      <c r="BP19" s="1"/>
      <c r="BQ19" s="1" t="s">
        <v>103</v>
      </c>
      <c r="BR19" s="1" t="s">
        <v>103</v>
      </c>
      <c r="BS19" s="1"/>
      <c r="BT19" s="1"/>
      <c r="BU19" s="1"/>
      <c r="BV19" s="1"/>
      <c r="BW19" s="1"/>
      <c r="BX19" s="1"/>
      <c r="BY19" s="1"/>
      <c r="BZ19" s="1"/>
      <c r="CA19" s="1"/>
      <c r="CB19" s="1"/>
      <c r="CC19" s="1"/>
      <c r="CD19" s="1"/>
      <c r="CE19" s="1"/>
      <c r="CF19" s="1"/>
      <c r="CG19" s="1"/>
      <c r="CH19" s="1"/>
      <c r="CI19" s="1"/>
    </row>
    <row r="20" customFormat="false" ht="271.5" hidden="false" customHeight="false" outlineLevel="0" collapsed="false">
      <c r="A20" s="1"/>
      <c r="B20" s="1" t="n">
        <v>309758</v>
      </c>
      <c r="C20" s="25" t="n">
        <v>43434</v>
      </c>
      <c r="D20" s="1" t="n">
        <v>21</v>
      </c>
      <c r="E20" s="26" t="s">
        <v>247</v>
      </c>
      <c r="F20" s="1"/>
      <c r="G20" s="1"/>
      <c r="H20" s="1"/>
      <c r="I20" s="1"/>
      <c r="J20" s="1"/>
      <c r="K20" s="1"/>
      <c r="L20" s="1"/>
      <c r="M20" s="1"/>
      <c r="N20" s="1"/>
      <c r="O20" s="31" t="b">
        <f aca="false">TRUE()</f>
        <v>1</v>
      </c>
      <c r="P20" s="1"/>
      <c r="Q20" s="1"/>
      <c r="R20" s="1"/>
      <c r="S20" s="1"/>
      <c r="T20" s="1"/>
      <c r="U20" s="1"/>
      <c r="V20" s="1"/>
      <c r="W20" s="1"/>
      <c r="X20" s="1"/>
      <c r="Y20" s="1"/>
      <c r="Z20" s="1"/>
      <c r="AA20" s="1"/>
      <c r="AB20" s="1"/>
      <c r="AC20" s="1"/>
      <c r="AD20" s="1"/>
      <c r="AE20" s="1"/>
      <c r="AF20" s="1"/>
      <c r="AG20" s="1"/>
      <c r="AH20" s="1"/>
      <c r="AI20" s="1"/>
      <c r="AJ20" s="1"/>
      <c r="AK20" s="1"/>
      <c r="AL20" s="1"/>
      <c r="AM20" s="27" t="b">
        <f aca="false">TRUE()</f>
        <v>1</v>
      </c>
      <c r="AN20" s="27" t="b">
        <f aca="false">TRUE()</f>
        <v>1</v>
      </c>
      <c r="AO20" s="1" t="s">
        <v>96</v>
      </c>
      <c r="AP20" s="1" t="s">
        <v>160</v>
      </c>
      <c r="AQ20" s="1" t="s">
        <v>107</v>
      </c>
      <c r="AR20" s="30" t="s">
        <v>167</v>
      </c>
      <c r="AS20" s="1" t="s">
        <v>168</v>
      </c>
      <c r="AT20" s="1"/>
      <c r="AU20" s="1"/>
      <c r="AV20" s="1"/>
      <c r="AW20" s="1"/>
      <c r="AX20" s="1"/>
      <c r="AY20" s="1"/>
      <c r="AZ20" s="1"/>
      <c r="BA20" s="1"/>
      <c r="BB20" s="1"/>
      <c r="BC20" s="1"/>
      <c r="BD20" s="1"/>
      <c r="BE20" s="1"/>
      <c r="BF20" s="1"/>
      <c r="BG20" s="1"/>
      <c r="BH20" s="1"/>
      <c r="BI20" s="1"/>
      <c r="BJ20" s="1"/>
      <c r="BK20" s="1"/>
      <c r="BL20" s="1"/>
      <c r="BM20" s="1"/>
      <c r="BN20" s="1"/>
      <c r="BO20" s="1"/>
      <c r="BP20" s="1"/>
      <c r="BQ20" s="1" t="s">
        <v>103</v>
      </c>
      <c r="BR20" s="1" t="s">
        <v>103</v>
      </c>
      <c r="BS20" s="1"/>
      <c r="BT20" s="1"/>
      <c r="BU20" s="1"/>
      <c r="BV20" s="1"/>
      <c r="BW20" s="1"/>
      <c r="BX20" s="1"/>
      <c r="BY20" s="1"/>
      <c r="BZ20" s="1"/>
      <c r="CA20" s="1"/>
      <c r="CB20" s="1"/>
      <c r="CC20" s="1"/>
      <c r="CD20" s="31" t="b">
        <f aca="false">TRUE()</f>
        <v>1</v>
      </c>
      <c r="CE20" s="1"/>
      <c r="CF20" s="1"/>
      <c r="CG20" s="1"/>
      <c r="CH20" s="1"/>
      <c r="CI20" s="1"/>
    </row>
    <row r="21" customFormat="false" ht="102" hidden="false" customHeight="false" outlineLevel="0" collapsed="false">
      <c r="A21" s="1"/>
      <c r="B21" s="1" t="n">
        <v>309758</v>
      </c>
      <c r="C21" s="25" t="n">
        <v>43447</v>
      </c>
      <c r="D21" s="1" t="n">
        <v>21</v>
      </c>
      <c r="E21" s="26" t="s">
        <v>248</v>
      </c>
      <c r="F21" s="1"/>
      <c r="G21" s="1"/>
      <c r="H21" s="31" t="b">
        <f aca="false">TRUE()</f>
        <v>1</v>
      </c>
      <c r="I21" s="1"/>
      <c r="J21" s="1"/>
      <c r="K21" s="1"/>
      <c r="L21" s="1"/>
      <c r="M21" s="1"/>
      <c r="N21" s="1"/>
      <c r="O21" s="1"/>
      <c r="P21" s="1"/>
      <c r="Q21" s="1"/>
      <c r="R21" s="27" t="b">
        <f aca="false">TRUE()</f>
        <v>1</v>
      </c>
      <c r="S21" s="1"/>
      <c r="T21" s="1"/>
      <c r="U21" s="1"/>
      <c r="V21" s="1"/>
      <c r="W21" s="1"/>
      <c r="X21" s="1"/>
      <c r="Y21" s="1"/>
      <c r="Z21" s="1"/>
      <c r="AA21" s="1"/>
      <c r="AB21" s="1"/>
      <c r="AC21" s="1"/>
      <c r="AD21" s="1"/>
      <c r="AE21" s="1"/>
      <c r="AF21" s="1"/>
      <c r="AG21" s="1"/>
      <c r="AH21" s="1"/>
      <c r="AI21" s="1"/>
      <c r="AJ21" s="1"/>
      <c r="AK21" s="1"/>
      <c r="AL21" s="1"/>
      <c r="AM21" s="1"/>
      <c r="AN21" s="1"/>
      <c r="AO21" s="1"/>
      <c r="AP21" s="1"/>
      <c r="AQ21" s="1"/>
      <c r="AR21" s="30"/>
      <c r="AS21" s="1"/>
      <c r="AT21" s="1"/>
      <c r="AU21" s="1"/>
      <c r="AV21" s="1"/>
      <c r="AW21" s="1"/>
      <c r="AX21" s="1"/>
      <c r="AY21" s="1"/>
      <c r="AZ21" s="1"/>
      <c r="BA21" s="1"/>
      <c r="BB21" s="1"/>
      <c r="BC21" s="1"/>
      <c r="BD21" s="1"/>
      <c r="BE21" s="31" t="b">
        <f aca="false">TRUE()</f>
        <v>1</v>
      </c>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ustomFormat="false" ht="255" hidden="false" customHeight="false" outlineLevel="0" collapsed="false">
      <c r="A22" s="1"/>
      <c r="B22" s="1" t="n">
        <v>309758</v>
      </c>
      <c r="C22" s="25" t="n">
        <v>43476</v>
      </c>
      <c r="D22" s="1" t="n">
        <v>22</v>
      </c>
      <c r="E22" s="26" t="s">
        <v>249</v>
      </c>
      <c r="F22" s="1"/>
      <c r="G22" s="1"/>
      <c r="H22" s="1"/>
      <c r="I22" s="1"/>
      <c r="J22" s="1"/>
      <c r="K22" s="1"/>
      <c r="L22" s="1"/>
      <c r="M22" s="1"/>
      <c r="N22" s="1"/>
      <c r="O22" s="1"/>
      <c r="P22" s="1"/>
      <c r="Q22" s="1"/>
      <c r="R22" s="1"/>
      <c r="S22" s="1"/>
      <c r="T22" s="1"/>
      <c r="U22" s="1"/>
      <c r="V22" s="1" t="s">
        <v>163</v>
      </c>
      <c r="W22" s="1"/>
      <c r="X22" s="1"/>
      <c r="Y22" s="1"/>
      <c r="Z22" s="1"/>
      <c r="AA22" s="1"/>
      <c r="AB22" s="1"/>
      <c r="AC22" s="1"/>
      <c r="AD22" s="1"/>
      <c r="AE22" s="1"/>
      <c r="AF22" s="1"/>
      <c r="AG22" s="1"/>
      <c r="AH22" s="1"/>
      <c r="AI22" s="1"/>
      <c r="AJ22" s="1"/>
      <c r="AK22" s="1"/>
      <c r="AL22" s="1"/>
      <c r="AM22" s="27" t="b">
        <f aca="false">TRUE()</f>
        <v>1</v>
      </c>
      <c r="AN22" s="27" t="b">
        <f aca="false">FALSE()</f>
        <v>0</v>
      </c>
      <c r="AO22" s="1" t="s">
        <v>96</v>
      </c>
      <c r="AP22" s="1" t="s">
        <v>97</v>
      </c>
      <c r="AQ22" s="1" t="s">
        <v>107</v>
      </c>
      <c r="AR22" s="30" t="s">
        <v>167</v>
      </c>
      <c r="AS22" s="1" t="s">
        <v>132</v>
      </c>
      <c r="AT22" s="1"/>
      <c r="AU22" s="1"/>
      <c r="AV22" s="1"/>
      <c r="AW22" s="1"/>
      <c r="AX22" s="1"/>
      <c r="AY22" s="1"/>
      <c r="AZ22" s="1"/>
      <c r="BA22" s="1"/>
      <c r="BB22" s="1"/>
      <c r="BC22" s="1"/>
      <c r="BD22" s="1"/>
      <c r="BE22" s="1"/>
      <c r="BF22" s="1"/>
      <c r="BG22" s="1"/>
      <c r="BH22" s="1"/>
      <c r="BI22" s="1"/>
      <c r="BJ22" s="1"/>
      <c r="BK22" s="1"/>
      <c r="BL22" s="1"/>
      <c r="BM22" s="1"/>
      <c r="BN22" s="1"/>
      <c r="BO22" s="1"/>
      <c r="BP22" s="1"/>
      <c r="BQ22" s="1" t="s">
        <v>103</v>
      </c>
      <c r="BR22" s="1" t="s">
        <v>103</v>
      </c>
      <c r="BS22" s="1"/>
      <c r="BT22" s="1"/>
      <c r="BU22" s="1"/>
      <c r="BV22" s="1"/>
      <c r="BW22" s="1"/>
      <c r="BX22" s="1"/>
      <c r="BY22" s="1"/>
      <c r="BZ22" s="1"/>
      <c r="CA22" s="1"/>
      <c r="CB22" s="1"/>
      <c r="CC22" s="1"/>
      <c r="CD22" s="31" t="b">
        <f aca="false">TRUE()</f>
        <v>1</v>
      </c>
      <c r="CE22" s="1"/>
      <c r="CF22" s="1"/>
      <c r="CG22" s="1"/>
      <c r="CH22" s="1"/>
      <c r="CI22" s="1"/>
    </row>
    <row r="23" customFormat="false" ht="409.5" hidden="false" customHeight="false" outlineLevel="0" collapsed="false">
      <c r="A23" s="1"/>
      <c r="B23" s="1" t="n">
        <v>309758</v>
      </c>
      <c r="C23" s="25" t="n">
        <v>43504</v>
      </c>
      <c r="D23" s="1" t="n">
        <v>23</v>
      </c>
      <c r="E23" s="26" t="s">
        <v>250</v>
      </c>
      <c r="F23" s="1"/>
      <c r="G23" s="1"/>
      <c r="H23" s="1"/>
      <c r="I23" s="1"/>
      <c r="J23" s="1"/>
      <c r="K23" s="1"/>
      <c r="L23" s="1"/>
      <c r="M23" s="1"/>
      <c r="N23" s="1"/>
      <c r="O23" s="1"/>
      <c r="P23" s="1"/>
      <c r="Q23" s="1"/>
      <c r="R23" s="1"/>
      <c r="S23" s="1"/>
      <c r="T23" s="1"/>
      <c r="U23" s="1"/>
      <c r="V23" s="1" t="s">
        <v>163</v>
      </c>
      <c r="W23" s="1"/>
      <c r="X23" s="1" t="s">
        <v>251</v>
      </c>
      <c r="Y23" s="1"/>
      <c r="Z23" s="1"/>
      <c r="AA23" s="1"/>
      <c r="AB23" s="1"/>
      <c r="AC23" s="1"/>
      <c r="AD23" s="1"/>
      <c r="AE23" s="1"/>
      <c r="AF23" s="1"/>
      <c r="AG23" s="1"/>
      <c r="AH23" s="1"/>
      <c r="AI23" s="1"/>
      <c r="AJ23" s="1"/>
      <c r="AK23" s="1"/>
      <c r="AL23" s="1"/>
      <c r="AM23" s="27" t="b">
        <f aca="false">FALSE()</f>
        <v>0</v>
      </c>
      <c r="AN23" s="27" t="b">
        <f aca="false">FALSE()</f>
        <v>0</v>
      </c>
      <c r="AO23" s="1" t="s">
        <v>96</v>
      </c>
      <c r="AP23" s="1" t="s">
        <v>97</v>
      </c>
      <c r="AQ23" s="1" t="s">
        <v>107</v>
      </c>
      <c r="AR23" s="30" t="s">
        <v>167</v>
      </c>
      <c r="AS23" s="1" t="s">
        <v>132</v>
      </c>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33.75" hidden="false" customHeight="false" outlineLevel="0" collapsed="false">
      <c r="A24" s="1"/>
      <c r="B24" s="1" t="n">
        <v>309758</v>
      </c>
      <c r="C24" s="25" t="n">
        <v>43509</v>
      </c>
      <c r="D24" s="1" t="n">
        <v>23</v>
      </c>
      <c r="E24" s="26" t="s">
        <v>252</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30"/>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customFormat="false" ht="220.5" hidden="false" customHeight="false" outlineLevel="0" collapsed="false">
      <c r="A25" s="1"/>
      <c r="B25" s="1" t="n">
        <v>309758</v>
      </c>
      <c r="C25" s="25" t="n">
        <v>43539</v>
      </c>
      <c r="D25" s="1" t="n">
        <v>24</v>
      </c>
      <c r="E25" s="26" t="s">
        <v>253</v>
      </c>
      <c r="F25" s="1"/>
      <c r="G25" s="1"/>
      <c r="H25" s="1"/>
      <c r="I25" s="1"/>
      <c r="J25" s="1"/>
      <c r="K25" s="1"/>
      <c r="L25" s="1"/>
      <c r="M25" s="1"/>
      <c r="N25" s="1"/>
      <c r="O25" s="31" t="b">
        <f aca="false">TRUE()</f>
        <v>1</v>
      </c>
      <c r="P25" s="1"/>
      <c r="Q25" s="1"/>
      <c r="R25" s="1"/>
      <c r="S25" s="1"/>
      <c r="T25" s="1"/>
      <c r="U25" s="1"/>
      <c r="V25" s="1"/>
      <c r="W25" s="1"/>
      <c r="X25" s="1"/>
      <c r="Y25" s="1"/>
      <c r="Z25" s="1"/>
      <c r="AA25" s="1"/>
      <c r="AB25" s="1"/>
      <c r="AC25" s="1"/>
      <c r="AD25" s="1"/>
      <c r="AE25" s="1"/>
      <c r="AF25" s="1"/>
      <c r="AG25" s="1"/>
      <c r="AH25" s="1"/>
      <c r="AI25" s="1"/>
      <c r="AJ25" s="1"/>
      <c r="AK25" s="1"/>
      <c r="AL25" s="1"/>
      <c r="AM25" s="27" t="b">
        <f aca="false">TRUE()</f>
        <v>1</v>
      </c>
      <c r="AN25" s="27" t="b">
        <f aca="false">FALSE()</f>
        <v>0</v>
      </c>
      <c r="AO25" s="1" t="s">
        <v>107</v>
      </c>
      <c r="AP25" s="1" t="s">
        <v>97</v>
      </c>
      <c r="AQ25" s="1" t="s">
        <v>107</v>
      </c>
      <c r="AR25" s="30" t="s">
        <v>167</v>
      </c>
      <c r="AS25" s="1" t="s">
        <v>168</v>
      </c>
      <c r="AT25" s="1"/>
      <c r="AU25" s="1"/>
      <c r="AV25" s="1"/>
      <c r="AW25" s="1"/>
      <c r="AX25" s="27" t="b">
        <f aca="false">FALSE()</f>
        <v>0</v>
      </c>
      <c r="AY25" s="27" t="b">
        <f aca="false">FALSE()</f>
        <v>0</v>
      </c>
      <c r="AZ25" s="27" t="b">
        <f aca="false">FALSE()</f>
        <v>0</v>
      </c>
      <c r="BA25" s="31" t="b">
        <f aca="false">FALSE()</f>
        <v>0</v>
      </c>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16.5" hidden="false" customHeight="false" outlineLevel="0" collapsed="false">
      <c r="A26" s="1"/>
      <c r="B26" s="1" t="n">
        <v>309758</v>
      </c>
      <c r="C26" s="25" t="n">
        <v>43587</v>
      </c>
      <c r="D26" s="1" t="n">
        <v>26</v>
      </c>
      <c r="E26" s="26" t="s">
        <v>254</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31" t="b">
        <f aca="false">TRUE()</f>
        <v>1</v>
      </c>
      <c r="AL26" s="1"/>
      <c r="AM26" s="1"/>
      <c r="AN26" s="1"/>
      <c r="AO26" s="1"/>
      <c r="AP26" s="1"/>
      <c r="AQ26" s="1"/>
      <c r="AR26" s="30"/>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204" hidden="false" customHeight="false" outlineLevel="0" collapsed="false">
      <c r="A27" s="1"/>
      <c r="B27" s="1" t="n">
        <v>309758</v>
      </c>
      <c r="C27" s="25" t="n">
        <v>43613</v>
      </c>
      <c r="D27" s="1" t="n">
        <v>27</v>
      </c>
      <c r="E27" s="26" t="s">
        <v>255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30"/>
      <c r="AS27" s="1" t="s">
        <v>168</v>
      </c>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33.75" hidden="false" customHeight="false" outlineLevel="0" collapsed="false">
      <c r="A28" s="1"/>
      <c r="B28" s="1" t="n">
        <v>309758</v>
      </c>
      <c r="C28" s="25" t="n">
        <v>43662</v>
      </c>
      <c r="D28" s="1" t="n">
        <v>28</v>
      </c>
      <c r="E28" s="26" t="s">
        <v>256</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30"/>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27" t="b">
        <f aca="false">TRUE()</f>
        <v>1</v>
      </c>
      <c r="CG28" s="27" t="b">
        <f aca="false">TRUE()</f>
        <v>1</v>
      </c>
      <c r="CH28" s="1"/>
      <c r="CI28" s="1"/>
    </row>
    <row r="29" customFormat="false" ht="186.75" hidden="false" customHeight="false" outlineLevel="0" collapsed="false">
      <c r="A29" s="1"/>
      <c r="B29" s="1" t="n">
        <v>309758</v>
      </c>
      <c r="C29" s="25" t="n">
        <v>43668</v>
      </c>
      <c r="D29" s="1" t="n">
        <v>29</v>
      </c>
      <c r="E29" s="26" t="s">
        <v>257</v>
      </c>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30"/>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t="s">
        <v>103</v>
      </c>
      <c r="BS29" s="1"/>
      <c r="BT29" s="1"/>
      <c r="BU29" s="1"/>
      <c r="BV29" s="1"/>
      <c r="BW29" s="1" t="s">
        <v>224</v>
      </c>
      <c r="BX29" s="1" t="s">
        <v>224</v>
      </c>
      <c r="BY29" s="1"/>
      <c r="BZ29" s="1"/>
      <c r="CA29" s="1"/>
      <c r="CB29" s="1"/>
      <c r="CC29" s="1"/>
      <c r="CD29" s="1"/>
      <c r="CE29" s="1"/>
      <c r="CF29" s="1"/>
      <c r="CG29" s="1"/>
      <c r="CH29" s="27" t="b">
        <f aca="false">TRUE()</f>
        <v>1</v>
      </c>
      <c r="CI29" s="1"/>
    </row>
    <row r="30" customFormat="false" ht="102" hidden="false" customHeight="false" outlineLevel="0" collapsed="false">
      <c r="A30" s="1"/>
      <c r="B30" s="1" t="n">
        <v>309758</v>
      </c>
      <c r="C30" s="25" t="n">
        <v>43705</v>
      </c>
      <c r="D30" s="1" t="n">
        <v>30</v>
      </c>
      <c r="E30" s="26" t="s">
        <v>258</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30"/>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27" t="b">
        <f aca="false">TRUE()</f>
        <v>1</v>
      </c>
      <c r="CI30" s="1"/>
    </row>
    <row r="31" customFormat="false" ht="135.75" hidden="false" customHeight="false" outlineLevel="0" collapsed="false">
      <c r="A31" s="1"/>
      <c r="B31" s="1" t="n">
        <v>309758</v>
      </c>
      <c r="C31" s="25" t="n">
        <v>43747</v>
      </c>
      <c r="D31" s="1" t="n">
        <v>31</v>
      </c>
      <c r="E31" s="26" t="s">
        <v>259</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30"/>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27" t="b">
        <f aca="false">TRUE()</f>
        <v>1</v>
      </c>
      <c r="CI31" s="1"/>
    </row>
    <row r="32" customFormat="false" ht="15.75" hidden="false" customHeight="false" outlineLevel="0" collapsed="false">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30"/>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15.75" hidden="false" customHeight="false" outlineLevel="0" collapsed="false">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30"/>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15.75" hidden="false" customHeight="false" outlineLevel="0" collapsed="false">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15.75" hidden="false" customHeight="false" outlineLevel="0" collapsed="false">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15.75" hidden="false" customHeight="false" outlineLevel="0" collapsed="false">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75" hidden="false" customHeight="false" outlineLevel="0" collapsed="false">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75" hidden="false" customHeight="false" outlineLevel="0" collapsed="false">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75" hidden="false" customHeight="false" outlineLevel="0" collapsed="false">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75" hidden="false" customHeight="false" outlineLevel="0" collapsed="false">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75" hidden="false" customHeight="false" outlineLevel="0" collapsed="false">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sheetData>
  <dataValidations count="24">
    <dataValidation allowBlank="true" errorStyle="stop" operator="between" showDropDown="false" showErrorMessage="true" showInputMessage="true" sqref="AD2:AD89" type="list">
      <formula1>list!$B$25:$E$25</formula1>
      <formula2>0</formula2>
    </dataValidation>
    <dataValidation allowBlank="true" errorStyle="stop" operator="between" showDropDown="false" showErrorMessage="true" showInputMessage="true" sqref="BY2:CI89" type="list">
      <formula1>list!$B$72:$C$72</formula1>
      <formula2>0</formula2>
    </dataValidation>
    <dataValidation allowBlank="true" errorStyle="stop" operator="between" showDropDown="false" showErrorMessage="true" showInputMessage="true" sqref="BW2:BX89" type="list">
      <formula1>list!$B$70:$F$70</formula1>
      <formula2>0</formula2>
    </dataValidation>
    <dataValidation allowBlank="true" errorStyle="stop" operator="between" showDropDown="false" showErrorMessage="true" showInputMessage="true" sqref="BV2:BV89" type="list">
      <formula1>list!$B$69:$C$69</formula1>
      <formula2>0</formula2>
    </dataValidation>
    <dataValidation allowBlank="true" errorStyle="stop" operator="between" showDropDown="false" showErrorMessage="true" showInputMessage="true" sqref="BU2:BU89" type="list">
      <formula1>list!$B$68:$G$68</formula1>
      <formula2>0</formula2>
    </dataValidation>
    <dataValidation allowBlank="true" errorStyle="stop" operator="between" showDropDown="false" showErrorMessage="true" showInputMessage="true" sqref="BR2:BR89" type="list">
      <formula1>list!$B$65:$F$65</formula1>
      <formula2>0</formula2>
    </dataValidation>
    <dataValidation allowBlank="true" errorStyle="stop" operator="between" showDropDown="false" showErrorMessage="true" showInputMessage="true" sqref="BQ2:BQ89" type="list">
      <formula1>list!$B$64:$E$64</formula1>
      <formula2>0</formula2>
    </dataValidation>
    <dataValidation allowBlank="true" errorStyle="stop" operator="between" showDropDown="false" showErrorMessage="true" showInputMessage="true" sqref="BB2:BB89" type="list">
      <formula1>list!$B$49:$P$49</formula1>
      <formula2>0</formula2>
    </dataValidation>
    <dataValidation allowBlank="true" errorStyle="stop" operator="between" showDropDown="false" showErrorMessage="true" showInputMessage="true" sqref="AX2:BA89 BC2:BP89 BS2:BT89" type="list">
      <formula1>list!$B$50:$C$50</formula1>
      <formula2>0</formula2>
    </dataValidation>
    <dataValidation allowBlank="true" errorStyle="stop" operator="between" showDropDown="false" showErrorMessage="true" showInputMessage="true" sqref="AU2:AU89 AW2:AW89" type="list">
      <formula1>list!$B$42:$Z$42</formula1>
      <formula2>0</formula2>
    </dataValidation>
    <dataValidation allowBlank="true" errorStyle="stop" operator="between" showDropDown="false" showErrorMessage="true" showInputMessage="true" sqref="AM2:AN89" type="list">
      <formula1>list!$B$34:$C$34</formula1>
      <formula2>0</formula2>
    </dataValidation>
    <dataValidation allowBlank="true" errorStyle="stop" operator="between" showDropDown="false" showErrorMessage="true" showInputMessage="true" sqref="AL2:AL89" type="list">
      <formula1>list!$B$33:$H$33</formula1>
      <formula2>0</formula2>
    </dataValidation>
    <dataValidation allowBlank="true" errorStyle="stop" operator="between" showDropDown="false" showErrorMessage="true" showInputMessage="true" sqref="AF2:AK89" type="list">
      <formula1>list!$B$27:$C$27</formula1>
      <formula2>0</formula2>
    </dataValidation>
    <dataValidation allowBlank="true" errorStyle="stop" operator="between" showDropDown="false" showErrorMessage="true" showInputMessage="true" sqref="AE2:AE89" type="list">
      <formula1>list!$B$26:$E$26</formula1>
      <formula2>0</formula2>
    </dataValidation>
    <dataValidation allowBlank="true" errorStyle="stop" operator="between" showDropDown="false" showErrorMessage="true" showInputMessage="true" sqref="Z2:AC89" type="list">
      <formula1>list!$B$21:$M$21</formula1>
      <formula2>0</formula2>
    </dataValidation>
    <dataValidation allowBlank="true" errorStyle="stop" operator="between" showDropDown="false" showErrorMessage="true" showInputMessage="true" sqref="V2:W89" type="list">
      <formula1>list!$B$17:$J$17</formula1>
      <formula2>0</formula2>
    </dataValidation>
    <dataValidation allowBlank="true" errorStyle="stop" operator="between" showDropDown="false" showErrorMessage="true" showInputMessage="true" sqref="G2:U89" type="list">
      <formula1>list!$B$2:$C$2</formula1>
      <formula2>0</formula2>
    </dataValidation>
    <dataValidation allowBlank="true" errorStyle="stop" operator="between" showDropDown="false" showErrorMessage="true" showInputMessage="true" sqref="AO2:AO89 AQ2:AQ89" type="list">
      <formula1>list!$B$36:$G$36</formula1>
      <formula2>0</formula2>
    </dataValidation>
    <dataValidation allowBlank="true" errorStyle="stop" operator="between" showDropDown="false" showErrorMessage="true" showInputMessage="true" sqref="AT2:AT89 AV2:AV89" type="list">
      <formula1>list!$B$41:$F$41</formula1>
      <formula2>0</formula2>
    </dataValidation>
    <dataValidation allowBlank="true" errorStyle="stop" operator="between" showDropDown="false" showErrorMessage="true" showInputMessage="true" sqref="AS2:AS89" type="list">
      <formula1>list!$B$40:$I$40</formula1>
      <formula2>0</formula2>
    </dataValidation>
    <dataValidation allowBlank="true" errorStyle="stop" operator="between" showDropDown="false" showErrorMessage="true" showInputMessage="true" sqref="X2:Y2 X3:X89" type="list">
      <formula1>list!$B$19:$D$19</formula1>
      <formula2>0</formula2>
    </dataValidation>
    <dataValidation allowBlank="true" errorStyle="stop" operator="between" showDropDown="false" showErrorMessage="true" showInputMessage="true" sqref="Y3:Y89" type="list">
      <formula1>list!$B$20:$I$20</formula1>
      <formula2>0</formula2>
    </dataValidation>
    <dataValidation allowBlank="true" errorStyle="stop" operator="between" showDropDown="false" showErrorMessage="true" showInputMessage="true" sqref="AP2:AP8 AR2:AR8 AP11:AP89 AR11:AR19 AR34:AR89" type="list">
      <formula1>list!$B$37:$P$37</formula1>
      <formula2>0</formula2>
    </dataValidation>
    <dataValidation allowBlank="true" errorStyle="stop" operator="between" showDropDown="false" showErrorMessage="true" showInputMessage="true" sqref="AP9:AP10 AR9:AR10 AR20:AR33" type="list">
      <formula1>list!$B$37:$Q$37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30"/>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BU28" activePane="bottomRight" state="frozen"/>
      <selection pane="topLeft" activeCell="A1" activeCellId="0" sqref="A1"/>
      <selection pane="topRight" activeCell="BU1" activeCellId="0" sqref="BU1"/>
      <selection pane="bottomLeft" activeCell="A28" activeCellId="0" sqref="A28"/>
      <selection pane="bottomRight" activeCell="BH9" activeCellId="0" sqref="BH9"/>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6" min="5"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64.5" hidden="false" customHeight="true" outlineLevel="0" collapsed="false">
      <c r="B2" s="1" t="n">
        <v>525699</v>
      </c>
      <c r="C2" s="28" t="n">
        <v>42230</v>
      </c>
      <c r="D2" s="1" t="n">
        <v>0</v>
      </c>
      <c r="E2" s="26" t="s">
        <v>260</v>
      </c>
      <c r="G2" s="27" t="b">
        <f aca="false">TRUE()</f>
        <v>1</v>
      </c>
      <c r="H2" s="27" t="b">
        <f aca="false">TRUE()</f>
        <v>1</v>
      </c>
      <c r="I2" s="27" t="b">
        <f aca="false">TRUE()</f>
        <v>1</v>
      </c>
    </row>
    <row r="3" customFormat="false" ht="71.25" hidden="false" customHeight="true" outlineLevel="0" collapsed="false">
      <c r="B3" s="1" t="n">
        <v>525699</v>
      </c>
      <c r="C3" s="28" t="n">
        <v>42333</v>
      </c>
      <c r="D3" s="1" t="n">
        <v>3</v>
      </c>
      <c r="E3" s="26" t="s">
        <v>261</v>
      </c>
      <c r="K3" s="27" t="b">
        <f aca="false">TRUE()</f>
        <v>1</v>
      </c>
      <c r="M3" s="27" t="b">
        <f aca="false">TRUE()</f>
        <v>1</v>
      </c>
    </row>
    <row r="4" customFormat="false" ht="75" hidden="false" customHeight="true" outlineLevel="0" collapsed="false">
      <c r="B4" s="1" t="n">
        <v>525699</v>
      </c>
      <c r="C4" s="28" t="n">
        <v>42340</v>
      </c>
      <c r="D4" s="1" t="n">
        <v>3</v>
      </c>
      <c r="E4" s="26" t="s">
        <v>261</v>
      </c>
      <c r="K4" s="27" t="b">
        <f aca="false">TRUE()</f>
        <v>1</v>
      </c>
      <c r="M4" s="27" t="b">
        <f aca="false">TRUE()</f>
        <v>1</v>
      </c>
    </row>
    <row r="5" customFormat="false" ht="82.5" hidden="false" customHeight="true" outlineLevel="0" collapsed="false">
      <c r="B5" s="1" t="n">
        <v>525699</v>
      </c>
      <c r="C5" s="28" t="n">
        <v>42349</v>
      </c>
      <c r="D5" s="1" t="n">
        <v>3</v>
      </c>
      <c r="E5" s="26" t="s">
        <v>262</v>
      </c>
      <c r="L5" s="27" t="b">
        <f aca="false">TRUE()</f>
        <v>1</v>
      </c>
      <c r="N5" s="27" t="b">
        <f aca="false">TRUE()</f>
        <v>1</v>
      </c>
    </row>
    <row r="6" customFormat="false" ht="88.5" hidden="false" customHeight="true" outlineLevel="0" collapsed="false">
      <c r="B6" s="1" t="n">
        <v>525699</v>
      </c>
      <c r="C6" s="28" t="n">
        <v>42384</v>
      </c>
      <c r="D6" s="1" t="n">
        <v>5</v>
      </c>
      <c r="E6" s="26" t="s">
        <v>263</v>
      </c>
      <c r="AM6" s="27" t="b">
        <f aca="false">FALSE()</f>
        <v>0</v>
      </c>
      <c r="AN6" s="27" t="b">
        <f aca="false">TRUE()</f>
        <v>1</v>
      </c>
      <c r="AO6" s="1" t="s">
        <v>101</v>
      </c>
      <c r="AP6" s="1" t="s">
        <v>131</v>
      </c>
      <c r="AQ6" s="1" t="s">
        <v>96</v>
      </c>
      <c r="AR6" s="1" t="s">
        <v>152</v>
      </c>
      <c r="AX6" s="27" t="b">
        <f aca="false">FALSE()</f>
        <v>0</v>
      </c>
      <c r="AY6" s="27" t="b">
        <f aca="false">FALSE()</f>
        <v>0</v>
      </c>
      <c r="AZ6" s="27" t="b">
        <f aca="false">FALSE()</f>
        <v>0</v>
      </c>
      <c r="BA6" s="27" t="b">
        <f aca="false">FALSE()</f>
        <v>0</v>
      </c>
      <c r="BL6" s="27" t="b">
        <f aca="false">TRUE()</f>
        <v>1</v>
      </c>
    </row>
    <row r="7" customFormat="false" ht="138" hidden="false" customHeight="true" outlineLevel="0" collapsed="false">
      <c r="B7" s="1" t="n">
        <v>525699</v>
      </c>
      <c r="C7" s="28" t="n">
        <v>42396</v>
      </c>
      <c r="D7" s="1" t="n">
        <v>5</v>
      </c>
      <c r="E7" s="26" t="s">
        <v>264</v>
      </c>
      <c r="AM7" s="27" t="b">
        <f aca="false">FALSE()</f>
        <v>0</v>
      </c>
      <c r="AN7" s="36" t="b">
        <f aca="false">TRUE()</f>
        <v>1</v>
      </c>
      <c r="AO7" s="1" t="s">
        <v>101</v>
      </c>
      <c r="AP7" s="1" t="s">
        <v>131</v>
      </c>
      <c r="AQ7" s="1" t="s">
        <v>101</v>
      </c>
      <c r="AR7" s="1" t="s">
        <v>131</v>
      </c>
      <c r="AX7" s="27" t="b">
        <f aca="false">FALSE()</f>
        <v>0</v>
      </c>
      <c r="AY7" s="27" t="b">
        <f aca="false">FALSE()</f>
        <v>0</v>
      </c>
      <c r="AZ7" s="27" t="b">
        <f aca="false">FALSE()</f>
        <v>0</v>
      </c>
      <c r="BA7" s="27" t="b">
        <f aca="false">FALSE()</f>
        <v>0</v>
      </c>
      <c r="BB7" s="1" t="s">
        <v>265</v>
      </c>
      <c r="BS7" s="27" t="b">
        <f aca="false">TRUE()</f>
        <v>1</v>
      </c>
    </row>
    <row r="8" customFormat="false" ht="73.5" hidden="false" customHeight="true" outlineLevel="0" collapsed="false">
      <c r="B8" s="1" t="n">
        <v>525699</v>
      </c>
      <c r="C8" s="28" t="n">
        <v>42459</v>
      </c>
      <c r="D8" s="1" t="n">
        <v>7</v>
      </c>
      <c r="E8" s="26" t="s">
        <v>266</v>
      </c>
      <c r="AM8" s="27" t="b">
        <f aca="false">TRUE()</f>
        <v>1</v>
      </c>
      <c r="AN8" s="27" t="b">
        <f aca="false">TRUE()</f>
        <v>1</v>
      </c>
      <c r="AP8" s="1" t="s">
        <v>267</v>
      </c>
      <c r="AQ8" s="1" t="s">
        <v>107</v>
      </c>
      <c r="AR8" s="1" t="s">
        <v>94</v>
      </c>
      <c r="AT8" s="1" t="s">
        <v>150</v>
      </c>
      <c r="AU8" s="1" t="s">
        <v>268</v>
      </c>
      <c r="AV8" s="1" t="s">
        <v>150</v>
      </c>
      <c r="AW8" s="1" t="s">
        <v>268</v>
      </c>
      <c r="AY8" s="27" t="b">
        <f aca="false">TRUE()</f>
        <v>1</v>
      </c>
      <c r="BB8" s="1" t="s">
        <v>265</v>
      </c>
      <c r="BL8" s="27" t="b">
        <f aca="false">TRUE()</f>
        <v>1</v>
      </c>
      <c r="BR8" s="1" t="s">
        <v>119</v>
      </c>
      <c r="BT8" s="27" t="b">
        <f aca="false">TRUE()</f>
        <v>1</v>
      </c>
      <c r="BU8" s="26" t="s">
        <v>153</v>
      </c>
      <c r="BV8" s="27" t="b">
        <f aca="false">TRUE()</f>
        <v>1</v>
      </c>
    </row>
    <row r="9" customFormat="false" ht="81" hidden="false" customHeight="true" outlineLevel="0" collapsed="false">
      <c r="B9" s="1" t="n">
        <v>525699</v>
      </c>
      <c r="C9" s="28" t="n">
        <v>42508</v>
      </c>
      <c r="D9" s="1" t="n">
        <v>9</v>
      </c>
      <c r="E9" s="26" t="s">
        <v>269</v>
      </c>
      <c r="Z9" s="1" t="s">
        <v>87</v>
      </c>
      <c r="AA9" s="1" t="s">
        <v>87</v>
      </c>
      <c r="AB9" s="1" t="s">
        <v>87</v>
      </c>
      <c r="AC9" s="1" t="s">
        <v>87</v>
      </c>
      <c r="BB9" s="1" t="s">
        <v>265</v>
      </c>
      <c r="BQ9" s="1" t="s">
        <v>119</v>
      </c>
      <c r="BR9" s="1" t="s">
        <v>103</v>
      </c>
    </row>
    <row r="10" customFormat="false" ht="77.25" hidden="false" customHeight="true" outlineLevel="0" collapsed="false">
      <c r="B10" s="1" t="n">
        <v>525699</v>
      </c>
      <c r="C10" s="28" t="n">
        <v>42515</v>
      </c>
      <c r="D10" s="1" t="n">
        <v>9</v>
      </c>
      <c r="E10" s="26" t="s">
        <v>270</v>
      </c>
      <c r="AK10" s="27" t="b">
        <f aca="false">TRUE()</f>
        <v>1</v>
      </c>
      <c r="AM10" s="27" t="b">
        <f aca="false">FALSE()</f>
        <v>0</v>
      </c>
      <c r="AN10" s="27" t="b">
        <f aca="false">FALSE()</f>
        <v>0</v>
      </c>
      <c r="AO10" s="1" t="s">
        <v>107</v>
      </c>
      <c r="AP10" s="1" t="s">
        <v>267</v>
      </c>
      <c r="AQ10" s="1" t="s">
        <v>107</v>
      </c>
      <c r="AR10" s="1" t="s">
        <v>94</v>
      </c>
      <c r="AT10" s="1" t="s">
        <v>129</v>
      </c>
      <c r="AV10" s="1" t="s">
        <v>129</v>
      </c>
      <c r="AY10" s="27" t="b">
        <f aca="false">FALSE()</f>
        <v>0</v>
      </c>
      <c r="CB10" s="27" t="b">
        <f aca="false">TRUE()</f>
        <v>1</v>
      </c>
      <c r="CD10" s="27" t="b">
        <f aca="false">TRUE()</f>
        <v>1</v>
      </c>
    </row>
    <row r="11" customFormat="false" ht="56.25" hidden="false" customHeight="true" outlineLevel="0" collapsed="false">
      <c r="B11" s="1" t="n">
        <v>525699</v>
      </c>
      <c r="C11" s="28" t="n">
        <v>42543</v>
      </c>
      <c r="D11" s="1" t="n">
        <v>10</v>
      </c>
      <c r="E11" s="26" t="s">
        <v>271</v>
      </c>
      <c r="AM11" s="27" t="b">
        <f aca="false">TRUE()</f>
        <v>1</v>
      </c>
      <c r="AO11" s="1" t="s">
        <v>96</v>
      </c>
      <c r="AP11" s="1" t="s">
        <v>152</v>
      </c>
      <c r="BQ11" s="1" t="s">
        <v>119</v>
      </c>
      <c r="BR11" s="1" t="s">
        <v>119</v>
      </c>
      <c r="BT11" s="27" t="b">
        <f aca="false">TRUE()</f>
        <v>1</v>
      </c>
      <c r="BU11" s="26" t="s">
        <v>153</v>
      </c>
      <c r="BV11" s="27" t="b">
        <f aca="false">TRUE()</f>
        <v>1</v>
      </c>
    </row>
    <row r="12" customFormat="false" ht="58.5" hidden="false" customHeight="true" outlineLevel="0" collapsed="false">
      <c r="B12" s="1" t="n">
        <v>525699</v>
      </c>
      <c r="C12" s="28" t="n">
        <v>42580</v>
      </c>
      <c r="D12" s="1" t="n">
        <v>11</v>
      </c>
      <c r="E12" s="26" t="s">
        <v>272</v>
      </c>
      <c r="Z12" s="1" t="s">
        <v>87</v>
      </c>
      <c r="AA12" s="1" t="s">
        <v>87</v>
      </c>
      <c r="AB12" s="1" t="s">
        <v>87</v>
      </c>
      <c r="AC12" s="1" t="s">
        <v>87</v>
      </c>
      <c r="AM12" s="27" t="b">
        <f aca="false">TRUE()</f>
        <v>1</v>
      </c>
      <c r="AN12" s="27" t="b">
        <f aca="false">TRUE()</f>
        <v>1</v>
      </c>
      <c r="AO12" s="1" t="s">
        <v>96</v>
      </c>
      <c r="AP12" s="1" t="s">
        <v>94</v>
      </c>
      <c r="AQ12" s="1" t="s">
        <v>96</v>
      </c>
      <c r="AR12" s="1" t="s">
        <v>94</v>
      </c>
      <c r="AT12" s="1" t="s">
        <v>129</v>
      </c>
      <c r="AV12" s="1" t="s">
        <v>129</v>
      </c>
      <c r="AY12" s="27" t="b">
        <f aca="false">FALSE()</f>
        <v>0</v>
      </c>
      <c r="BL12" s="27" t="b">
        <f aca="false">FALSE()</f>
        <v>0</v>
      </c>
    </row>
    <row r="13" customFormat="false" ht="45.75" hidden="false" customHeight="true" outlineLevel="0" collapsed="false">
      <c r="B13" s="1" t="n">
        <v>525699</v>
      </c>
      <c r="C13" s="28" t="n">
        <v>42620</v>
      </c>
      <c r="D13" s="1" t="n">
        <v>12</v>
      </c>
      <c r="E13" s="26" t="s">
        <v>273</v>
      </c>
      <c r="AM13" s="27" t="b">
        <f aca="false">TRUE()</f>
        <v>1</v>
      </c>
      <c r="AN13" s="27" t="b">
        <f aca="false">FALSE()</f>
        <v>0</v>
      </c>
      <c r="AO13" s="1" t="s">
        <v>96</v>
      </c>
      <c r="AP13" s="1" t="s">
        <v>152</v>
      </c>
      <c r="AQ13" s="1" t="s">
        <v>96</v>
      </c>
      <c r="AR13" s="1" t="s">
        <v>94</v>
      </c>
      <c r="BS13" s="27" t="b">
        <f aca="false">TRUE()</f>
        <v>1</v>
      </c>
      <c r="BT13" s="27" t="b">
        <f aca="false">TRUE()</f>
        <v>1</v>
      </c>
      <c r="BU13" s="26" t="s">
        <v>153</v>
      </c>
      <c r="BV13" s="27" t="b">
        <f aca="false">TRUE()</f>
        <v>1</v>
      </c>
    </row>
    <row r="14" customFormat="false" ht="49.5" hidden="false" customHeight="true" outlineLevel="0" collapsed="false">
      <c r="B14" s="1" t="n">
        <v>525699</v>
      </c>
      <c r="C14" s="28" t="n">
        <v>42683</v>
      </c>
      <c r="D14" s="1" t="n">
        <v>14</v>
      </c>
      <c r="E14" s="26" t="s">
        <v>274</v>
      </c>
      <c r="Z14" s="1" t="s">
        <v>128</v>
      </c>
      <c r="AA14" s="1" t="s">
        <v>128</v>
      </c>
      <c r="AB14" s="1" t="s">
        <v>128</v>
      </c>
      <c r="AC14" s="1" t="s">
        <v>128</v>
      </c>
      <c r="AM14" s="27" t="b">
        <f aca="false">TRUE()</f>
        <v>1</v>
      </c>
      <c r="AN14" s="27" t="b">
        <f aca="false">FALSE()</f>
        <v>0</v>
      </c>
      <c r="AO14" s="1" t="s">
        <v>96</v>
      </c>
      <c r="AP14" s="1" t="s">
        <v>217</v>
      </c>
      <c r="AQ14" s="1" t="s">
        <v>96</v>
      </c>
      <c r="AR14" s="1" t="s">
        <v>94</v>
      </c>
      <c r="AY14" s="27" t="b">
        <f aca="false">TRUE()</f>
        <v>1</v>
      </c>
      <c r="BF14" s="27" t="b">
        <f aca="false">TRUE()</f>
        <v>1</v>
      </c>
    </row>
    <row r="15" customFormat="false" ht="50.25" hidden="false" customHeight="true" outlineLevel="0" collapsed="false">
      <c r="B15" s="1" t="n">
        <v>525699</v>
      </c>
      <c r="C15" s="28" t="n">
        <v>42718</v>
      </c>
      <c r="D15" s="1" t="n">
        <v>16</v>
      </c>
      <c r="E15" s="26" t="s">
        <v>275</v>
      </c>
      <c r="G15" s="27" t="b">
        <f aca="false">TRUE()</f>
        <v>1</v>
      </c>
      <c r="AA15" s="1" t="s">
        <v>87</v>
      </c>
      <c r="AC15" s="1" t="s">
        <v>87</v>
      </c>
      <c r="AM15" s="27" t="b">
        <f aca="false">TRUE()</f>
        <v>1</v>
      </c>
      <c r="AN15" s="27" t="b">
        <f aca="false">TRUE()</f>
        <v>1</v>
      </c>
      <c r="AO15" s="1" t="s">
        <v>96</v>
      </c>
      <c r="AP15" s="1" t="s">
        <v>152</v>
      </c>
      <c r="AQ15" s="1" t="s">
        <v>96</v>
      </c>
      <c r="AR15" s="1" t="s">
        <v>152</v>
      </c>
      <c r="BS15" s="27" t="b">
        <f aca="false">TRUE()</f>
        <v>1</v>
      </c>
    </row>
    <row r="16" customFormat="false" ht="57.75" hidden="false" customHeight="true" outlineLevel="0" collapsed="false">
      <c r="B16" s="1" t="n">
        <v>525699</v>
      </c>
      <c r="C16" s="28" t="n">
        <v>42719</v>
      </c>
      <c r="D16" s="1" t="n">
        <v>16</v>
      </c>
      <c r="E16" s="26" t="s">
        <v>275</v>
      </c>
      <c r="G16" s="27" t="b">
        <f aca="false">TRUE()</f>
        <v>1</v>
      </c>
      <c r="AA16" s="1" t="s">
        <v>87</v>
      </c>
      <c r="AC16" s="1" t="s">
        <v>87</v>
      </c>
      <c r="AM16" s="27" t="b">
        <f aca="false">FALSE()</f>
        <v>0</v>
      </c>
      <c r="AN16" s="27" t="b">
        <f aca="false">FALSE()</f>
        <v>0</v>
      </c>
      <c r="AO16" s="1" t="s">
        <v>96</v>
      </c>
      <c r="AP16" s="1" t="s">
        <v>152</v>
      </c>
      <c r="AQ16" s="1" t="s">
        <v>96</v>
      </c>
      <c r="AR16" s="1" t="s">
        <v>152</v>
      </c>
      <c r="BS16" s="27" t="b">
        <f aca="false">TRUE()</f>
        <v>1</v>
      </c>
    </row>
    <row r="17" customFormat="false" ht="69.75" hidden="false" customHeight="true" outlineLevel="0" collapsed="false">
      <c r="B17" s="1" t="n">
        <v>525699</v>
      </c>
      <c r="C17" s="28" t="n">
        <v>42767</v>
      </c>
      <c r="D17" s="1" t="n">
        <v>17</v>
      </c>
      <c r="E17" s="26" t="s">
        <v>276</v>
      </c>
      <c r="K17" s="27" t="b">
        <f aca="false">TRUE()</f>
        <v>1</v>
      </c>
      <c r="AA17" s="1" t="s">
        <v>87</v>
      </c>
      <c r="AC17" s="1" t="s">
        <v>87</v>
      </c>
      <c r="AD17" s="1" t="s">
        <v>182</v>
      </c>
      <c r="AM17" s="27" t="b">
        <f aca="false">FALSE()</f>
        <v>0</v>
      </c>
      <c r="AN17" s="27" t="b">
        <f aca="false">FALSE()</f>
        <v>0</v>
      </c>
      <c r="AO17" s="1" t="s">
        <v>96</v>
      </c>
      <c r="AP17" s="1" t="s">
        <v>152</v>
      </c>
      <c r="AQ17" s="1" t="s">
        <v>96</v>
      </c>
      <c r="AR17" s="1" t="s">
        <v>152</v>
      </c>
      <c r="AY17" s="27" t="b">
        <f aca="false">TRUE()</f>
        <v>1</v>
      </c>
      <c r="BT17" s="27" t="b">
        <f aca="false">TRUE()</f>
        <v>1</v>
      </c>
      <c r="BU17" s="26" t="s">
        <v>153</v>
      </c>
      <c r="BV17" s="27" t="b">
        <f aca="false">TRUE()</f>
        <v>1</v>
      </c>
    </row>
    <row r="18" customFormat="false" ht="48.75" hidden="false" customHeight="true" outlineLevel="0" collapsed="false">
      <c r="B18" s="1" t="n">
        <v>525699</v>
      </c>
      <c r="C18" s="28" t="n">
        <v>42781</v>
      </c>
      <c r="D18" s="1" t="n">
        <v>18</v>
      </c>
      <c r="E18" s="26" t="s">
        <v>277</v>
      </c>
      <c r="M18" s="27" t="b">
        <f aca="false">TRUE()</f>
        <v>1</v>
      </c>
      <c r="AM18" s="27" t="b">
        <f aca="false">FALSE()</f>
        <v>0</v>
      </c>
      <c r="AN18" s="27" t="b">
        <f aca="false">FALSE()</f>
        <v>0</v>
      </c>
      <c r="AO18" s="1" t="s">
        <v>96</v>
      </c>
      <c r="AP18" s="1" t="s">
        <v>152</v>
      </c>
      <c r="AQ18" s="1" t="s">
        <v>96</v>
      </c>
      <c r="AR18" s="1" t="s">
        <v>152</v>
      </c>
      <c r="AT18" s="1" t="s">
        <v>129</v>
      </c>
      <c r="AV18" s="1" t="s">
        <v>129</v>
      </c>
      <c r="AY18" s="27" t="b">
        <f aca="false">FALSE()</f>
        <v>0</v>
      </c>
      <c r="BF18" s="27" t="b">
        <f aca="false">TRUE()</f>
        <v>1</v>
      </c>
    </row>
    <row r="19" customFormat="false" ht="45.75" hidden="false" customHeight="true" outlineLevel="0" collapsed="false">
      <c r="B19" s="1" t="n">
        <v>525699</v>
      </c>
      <c r="C19" s="28" t="n">
        <v>42809</v>
      </c>
      <c r="D19" s="1" t="n">
        <v>19</v>
      </c>
      <c r="E19" s="26" t="s">
        <v>278</v>
      </c>
      <c r="Z19" s="1" t="s">
        <v>128</v>
      </c>
      <c r="AA19" s="1" t="s">
        <v>128</v>
      </c>
      <c r="AB19" s="1" t="s">
        <v>128</v>
      </c>
      <c r="AC19" s="1" t="s">
        <v>128</v>
      </c>
      <c r="AM19" s="27" t="b">
        <f aca="false">TRUE()</f>
        <v>1</v>
      </c>
      <c r="AN19" s="27" t="b">
        <f aca="false">TRUE()</f>
        <v>1</v>
      </c>
      <c r="AO19" s="1" t="s">
        <v>96</v>
      </c>
      <c r="AP19" s="1" t="s">
        <v>94</v>
      </c>
      <c r="AQ19" s="1" t="s">
        <v>96</v>
      </c>
      <c r="AR19" s="1" t="s">
        <v>94</v>
      </c>
      <c r="AT19" s="1" t="s">
        <v>150</v>
      </c>
      <c r="AU19" s="1" t="s">
        <v>206</v>
      </c>
      <c r="AV19" s="1" t="s">
        <v>150</v>
      </c>
      <c r="AW19" s="1" t="s">
        <v>206</v>
      </c>
      <c r="AY19" s="27" t="b">
        <f aca="false">TRUE()</f>
        <v>1</v>
      </c>
      <c r="BF19" s="27" t="b">
        <f aca="false">TRUE()</f>
        <v>1</v>
      </c>
      <c r="BT19" s="27" t="b">
        <f aca="false">TRUE()</f>
        <v>1</v>
      </c>
      <c r="BU19" s="26" t="s">
        <v>153</v>
      </c>
      <c r="BV19" s="27" t="b">
        <f aca="false">TRUE()</f>
        <v>1</v>
      </c>
    </row>
    <row r="20" customFormat="false" ht="45.75" hidden="false" customHeight="true" outlineLevel="0" collapsed="false">
      <c r="B20" s="1" t="n">
        <v>525699</v>
      </c>
      <c r="C20" s="28" t="n">
        <v>42858</v>
      </c>
      <c r="D20" s="1" t="n">
        <v>20</v>
      </c>
      <c r="E20" s="26" t="s">
        <v>279</v>
      </c>
      <c r="Z20" s="1" t="s">
        <v>128</v>
      </c>
      <c r="AA20" s="1" t="s">
        <v>128</v>
      </c>
      <c r="AB20" s="1" t="s">
        <v>128</v>
      </c>
      <c r="AC20" s="1" t="s">
        <v>128</v>
      </c>
      <c r="AM20" s="27" t="b">
        <f aca="false">FALSE()</f>
        <v>0</v>
      </c>
      <c r="AN20" s="27" t="b">
        <f aca="false">FALSE()</f>
        <v>0</v>
      </c>
      <c r="AO20" s="1" t="s">
        <v>96</v>
      </c>
      <c r="AP20" s="1" t="s">
        <v>94</v>
      </c>
      <c r="AQ20" s="1" t="s">
        <v>96</v>
      </c>
      <c r="AR20" s="1" t="s">
        <v>94</v>
      </c>
      <c r="AT20" s="1" t="s">
        <v>150</v>
      </c>
      <c r="AU20" s="1" t="s">
        <v>206</v>
      </c>
      <c r="AV20" s="1" t="s">
        <v>150</v>
      </c>
      <c r="AW20" s="1" t="s">
        <v>206</v>
      </c>
      <c r="AY20" s="27" t="b">
        <f aca="false">TRUE()</f>
        <v>1</v>
      </c>
      <c r="BT20" s="27" t="b">
        <f aca="false">TRUE()</f>
        <v>1</v>
      </c>
      <c r="BU20" s="26" t="s">
        <v>153</v>
      </c>
      <c r="BV20" s="27" t="b">
        <f aca="false">TRUE()</f>
        <v>1</v>
      </c>
      <c r="BY20" s="27" t="b">
        <f aca="false">TRUE()</f>
        <v>1</v>
      </c>
    </row>
    <row r="21" customFormat="false" ht="48" hidden="false" customHeight="true" outlineLevel="0" collapsed="false">
      <c r="B21" s="1" t="n">
        <v>525699</v>
      </c>
      <c r="C21" s="28" t="n">
        <v>42900</v>
      </c>
      <c r="D21" s="1" t="n">
        <v>22</v>
      </c>
      <c r="E21" s="26" t="s">
        <v>280</v>
      </c>
      <c r="Z21" s="1" t="s">
        <v>281</v>
      </c>
      <c r="AA21" s="1" t="s">
        <v>281</v>
      </c>
      <c r="AB21" s="1" t="s">
        <v>281</v>
      </c>
      <c r="AC21" s="1" t="s">
        <v>281</v>
      </c>
      <c r="AM21" s="27" t="b">
        <f aca="false">TRUE()</f>
        <v>1</v>
      </c>
      <c r="AN21" s="27" t="b">
        <f aca="false">TRUE()</f>
        <v>1</v>
      </c>
      <c r="AO21" s="1" t="s">
        <v>122</v>
      </c>
      <c r="AP21" s="1" t="s">
        <v>164</v>
      </c>
      <c r="AQ21" s="1" t="s">
        <v>122</v>
      </c>
      <c r="AR21" s="1" t="s">
        <v>164</v>
      </c>
      <c r="AT21" s="1" t="s">
        <v>150</v>
      </c>
      <c r="AU21" s="1" t="s">
        <v>206</v>
      </c>
      <c r="AV21" s="1" t="s">
        <v>150</v>
      </c>
      <c r="AW21" s="1" t="s">
        <v>206</v>
      </c>
      <c r="AY21" s="27" t="b">
        <f aca="false">TRUE()</f>
        <v>1</v>
      </c>
    </row>
    <row r="22" customFormat="false" ht="82.5" hidden="false" customHeight="true" outlineLevel="0" collapsed="false">
      <c r="B22" s="1" t="n">
        <v>525699</v>
      </c>
      <c r="C22" s="28" t="n">
        <v>42942</v>
      </c>
      <c r="D22" s="1" t="n">
        <v>23</v>
      </c>
      <c r="E22" s="26" t="s">
        <v>282</v>
      </c>
      <c r="Z22" s="1" t="s">
        <v>87</v>
      </c>
      <c r="AA22" s="1" t="s">
        <v>87</v>
      </c>
      <c r="AB22" s="1" t="s">
        <v>87</v>
      </c>
      <c r="AC22" s="1" t="s">
        <v>87</v>
      </c>
      <c r="AM22" s="27" t="b">
        <f aca="false">FALSE()</f>
        <v>0</v>
      </c>
      <c r="AN22" s="27" t="b">
        <f aca="false">FALSE()</f>
        <v>0</v>
      </c>
      <c r="AO22" s="1" t="s">
        <v>122</v>
      </c>
      <c r="AP22" s="1" t="s">
        <v>164</v>
      </c>
      <c r="AQ22" s="1" t="s">
        <v>122</v>
      </c>
      <c r="AR22" s="1" t="s">
        <v>164</v>
      </c>
      <c r="AT22" s="1" t="s">
        <v>150</v>
      </c>
      <c r="AU22" s="1" t="s">
        <v>206</v>
      </c>
      <c r="AV22" s="1" t="s">
        <v>150</v>
      </c>
      <c r="AW22" s="1" t="s">
        <v>206</v>
      </c>
      <c r="AY22" s="27" t="b">
        <f aca="false">TRUE()</f>
        <v>1</v>
      </c>
      <c r="BT22" s="27" t="b">
        <f aca="false">TRUE()</f>
        <v>1</v>
      </c>
      <c r="BU22" s="26" t="s">
        <v>153</v>
      </c>
      <c r="BV22" s="27" t="b">
        <f aca="false">TRUE()</f>
        <v>1</v>
      </c>
      <c r="BY22" s="27" t="b">
        <f aca="false">TRUE()</f>
        <v>1</v>
      </c>
    </row>
    <row r="23" customFormat="false" ht="86.25" hidden="false" customHeight="true" outlineLevel="0" collapsed="false">
      <c r="B23" s="1" t="n">
        <v>525699</v>
      </c>
      <c r="C23" s="28" t="n">
        <v>42971</v>
      </c>
      <c r="D23" s="1" t="n">
        <v>24</v>
      </c>
      <c r="E23" s="26" t="s">
        <v>283</v>
      </c>
      <c r="Z23" s="1" t="s">
        <v>87</v>
      </c>
      <c r="AA23" s="1" t="s">
        <v>87</v>
      </c>
      <c r="AB23" s="1" t="s">
        <v>87</v>
      </c>
      <c r="AC23" s="1" t="s">
        <v>87</v>
      </c>
      <c r="AM23" s="27" t="b">
        <f aca="false">FALSE()</f>
        <v>0</v>
      </c>
      <c r="AN23" s="27" t="b">
        <f aca="false">FALSE()</f>
        <v>0</v>
      </c>
      <c r="AO23" s="1" t="s">
        <v>122</v>
      </c>
      <c r="AP23" s="1" t="s">
        <v>164</v>
      </c>
      <c r="AQ23" s="1" t="s">
        <v>122</v>
      </c>
      <c r="AR23" s="1" t="s">
        <v>164</v>
      </c>
      <c r="AT23" s="1" t="s">
        <v>150</v>
      </c>
      <c r="AU23" s="1" t="s">
        <v>268</v>
      </c>
      <c r="AV23" s="1" t="s">
        <v>150</v>
      </c>
      <c r="AW23" s="1" t="s">
        <v>268</v>
      </c>
      <c r="AY23" s="27" t="b">
        <f aca="false">TRUE()</f>
        <v>1</v>
      </c>
      <c r="BS23" s="27" t="b">
        <f aca="false">TRUE()</f>
        <v>1</v>
      </c>
      <c r="BT23" s="27" t="b">
        <f aca="false">TRUE()</f>
        <v>1</v>
      </c>
      <c r="BU23" s="26" t="s">
        <v>153</v>
      </c>
      <c r="BV23" s="27" t="b">
        <f aca="false">TRUE()</f>
        <v>1</v>
      </c>
      <c r="BY23" s="27" t="b">
        <f aca="false">TRUE()</f>
        <v>1</v>
      </c>
      <c r="BZ23" s="27" t="b">
        <f aca="false">TRUE()</f>
        <v>1</v>
      </c>
    </row>
    <row r="24" customFormat="false" ht="63.75" hidden="false" customHeight="true" outlineLevel="0" collapsed="false">
      <c r="B24" s="1" t="n">
        <v>525699</v>
      </c>
      <c r="C24" s="28" t="n">
        <v>42989</v>
      </c>
      <c r="D24" s="1" t="n">
        <v>24</v>
      </c>
      <c r="E24" s="26" t="s">
        <v>284</v>
      </c>
      <c r="V24" s="1" t="s">
        <v>163</v>
      </c>
      <c r="W24" s="1" t="s">
        <v>163</v>
      </c>
      <c r="Y24" s="1" t="s">
        <v>178</v>
      </c>
      <c r="Z24" s="1" t="s">
        <v>87</v>
      </c>
      <c r="AA24" s="1" t="s">
        <v>87</v>
      </c>
      <c r="AB24" s="1" t="s">
        <v>87</v>
      </c>
      <c r="AC24" s="1" t="s">
        <v>87</v>
      </c>
      <c r="AM24" s="27" t="b">
        <f aca="false">TRUE()</f>
        <v>1</v>
      </c>
      <c r="AN24" s="27" t="b">
        <f aca="false">TRUE()</f>
        <v>1</v>
      </c>
      <c r="AO24" s="1" t="s">
        <v>122</v>
      </c>
      <c r="AP24" s="1" t="s">
        <v>97</v>
      </c>
      <c r="AQ24" s="1" t="s">
        <v>122</v>
      </c>
      <c r="AR24" s="1" t="s">
        <v>97</v>
      </c>
      <c r="AT24" s="1" t="s">
        <v>150</v>
      </c>
      <c r="AU24" s="1" t="s">
        <v>268</v>
      </c>
      <c r="AV24" s="1" t="s">
        <v>150</v>
      </c>
      <c r="AW24" s="1" t="s">
        <v>268</v>
      </c>
      <c r="AY24" s="27" t="b">
        <f aca="false">TRUE()</f>
        <v>1</v>
      </c>
    </row>
    <row r="25" customFormat="false" ht="135.75" hidden="false" customHeight="false" outlineLevel="0" collapsed="false">
      <c r="B25" s="1" t="n">
        <v>525699</v>
      </c>
      <c r="C25" s="28" t="n">
        <v>43073</v>
      </c>
      <c r="D25" s="1" t="n">
        <v>27</v>
      </c>
      <c r="E25" s="26" t="s">
        <v>285</v>
      </c>
      <c r="AM25" s="27" t="b">
        <f aca="false">TRUE()</f>
        <v>1</v>
      </c>
      <c r="AN25" s="27" t="b">
        <f aca="false">TRUE()</f>
        <v>1</v>
      </c>
      <c r="AO25" s="1" t="s">
        <v>122</v>
      </c>
      <c r="AP25" s="1" t="s">
        <v>164</v>
      </c>
      <c r="AQ25" s="1" t="s">
        <v>122</v>
      </c>
      <c r="AR25" s="1" t="s">
        <v>164</v>
      </c>
      <c r="AT25" s="1" t="s">
        <v>150</v>
      </c>
      <c r="AU25" s="1" t="s">
        <v>268</v>
      </c>
      <c r="AV25" s="1" t="s">
        <v>150</v>
      </c>
      <c r="AW25" s="1" t="s">
        <v>268</v>
      </c>
      <c r="AY25" s="27" t="b">
        <f aca="false">TRUE()</f>
        <v>1</v>
      </c>
    </row>
    <row r="26" customFormat="false" ht="137.25" hidden="false" customHeight="true" outlineLevel="0" collapsed="false">
      <c r="B26" s="1" t="n">
        <v>525699</v>
      </c>
      <c r="C26" s="28" t="n">
        <v>43179</v>
      </c>
      <c r="D26" s="1" t="n">
        <v>31</v>
      </c>
      <c r="E26" s="26" t="s">
        <v>286</v>
      </c>
      <c r="Z26" s="1" t="s">
        <v>87</v>
      </c>
      <c r="AA26" s="1" t="s">
        <v>87</v>
      </c>
      <c r="AB26" s="1" t="s">
        <v>87</v>
      </c>
      <c r="AC26" s="1" t="s">
        <v>87</v>
      </c>
      <c r="AD26" s="1" t="s">
        <v>182</v>
      </c>
      <c r="AM26" s="27" t="b">
        <f aca="false">FALSE()</f>
        <v>0</v>
      </c>
      <c r="AN26" s="27" t="b">
        <f aca="false">FALSE()</f>
        <v>0</v>
      </c>
      <c r="AO26" s="1" t="s">
        <v>122</v>
      </c>
      <c r="AP26" s="1" t="s">
        <v>164</v>
      </c>
      <c r="AQ26" s="1" t="s">
        <v>122</v>
      </c>
      <c r="AR26" s="1" t="s">
        <v>164</v>
      </c>
      <c r="AT26" s="1" t="s">
        <v>150</v>
      </c>
      <c r="AU26" s="1" t="s">
        <v>268</v>
      </c>
      <c r="AV26" s="1" t="s">
        <v>150</v>
      </c>
      <c r="AW26" s="1" t="s">
        <v>268</v>
      </c>
      <c r="AY26" s="27" t="b">
        <f aca="false">TRUE()</f>
        <v>1</v>
      </c>
    </row>
    <row r="27" customFormat="false" ht="121.5" hidden="false" customHeight="true" outlineLevel="0" collapsed="false">
      <c r="B27" s="1" t="n">
        <v>525699</v>
      </c>
      <c r="C27" s="28" t="n">
        <v>43201</v>
      </c>
      <c r="D27" s="1" t="n">
        <v>31</v>
      </c>
      <c r="E27" s="26" t="s">
        <v>287</v>
      </c>
      <c r="BQ27" s="1" t="s">
        <v>119</v>
      </c>
      <c r="BR27" s="1" t="s">
        <v>119</v>
      </c>
      <c r="CF27" s="27" t="b">
        <f aca="false">TRUE()</f>
        <v>1</v>
      </c>
      <c r="CG27" s="27" t="b">
        <f aca="false">TRUE()</f>
        <v>1</v>
      </c>
    </row>
    <row r="28" customFormat="false" ht="409.5" hidden="false" customHeight="false" outlineLevel="0" collapsed="false">
      <c r="B28" s="1" t="n">
        <v>525699</v>
      </c>
      <c r="C28" s="28" t="n">
        <v>43207</v>
      </c>
      <c r="D28" s="1" t="n">
        <v>32</v>
      </c>
      <c r="E28" s="26" t="s">
        <v>288</v>
      </c>
      <c r="BQ28" s="1" t="s">
        <v>103</v>
      </c>
      <c r="BR28" s="1" t="s">
        <v>103</v>
      </c>
      <c r="BW28" s="1" t="s">
        <v>224</v>
      </c>
      <c r="BX28" s="1" t="s">
        <v>224</v>
      </c>
    </row>
    <row r="29" customFormat="false" ht="153" hidden="false" customHeight="false" outlineLevel="0" collapsed="false">
      <c r="B29" s="1" t="n">
        <v>525699</v>
      </c>
      <c r="C29" s="28" t="n">
        <v>43258</v>
      </c>
      <c r="D29" s="1" t="n">
        <v>33</v>
      </c>
      <c r="E29" s="26" t="s">
        <v>289</v>
      </c>
      <c r="BW29" s="1" t="s">
        <v>224</v>
      </c>
      <c r="BX29" s="1" t="s">
        <v>224</v>
      </c>
      <c r="CH29" s="27" t="b">
        <f aca="false">TRUE()</f>
        <v>1</v>
      </c>
    </row>
    <row r="30" customFormat="false" ht="15.75" hidden="false" customHeight="false" outlineLevel="0" collapsed="false">
      <c r="E30" s="26"/>
    </row>
  </sheetData>
  <dataValidations count="24">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BY2:CI1029" type="list">
      <formula1>list!$B$72:$C$72</formula1>
      <formula2>0</formula2>
    </dataValidation>
    <dataValidation allowBlank="true" errorStyle="stop" operator="between" showDropDown="false" showErrorMessage="true" showInputMessage="true" sqref="BW2:BX1029" type="list">
      <formula1>list!$B$70:$F$70</formula1>
      <formula2>0</formula2>
    </dataValidation>
    <dataValidation allowBlank="true" errorStyle="stop" operator="between" showDropDown="false" showErrorMessage="true" showInputMessage="true" sqref="BV2:BV1029" type="list">
      <formula1>list!$B$69:$C$69</formula1>
      <formula2>0</formula2>
    </dataValidation>
    <dataValidation allowBlank="true" errorStyle="stop" operator="between" showDropDown="false" showErrorMessage="true" showInputMessage="true" sqref="BU2:BU1029" type="list">
      <formula1>list!$B$68:$G$68</formula1>
      <formula2>0</formula2>
    </dataValidation>
    <dataValidation allowBlank="true" errorStyle="stop" operator="between" showDropDown="false" showErrorMessage="true" showInputMessage="true" sqref="BR2:BR1029" type="list">
      <formula1>list!$B$65:$F$65</formula1>
      <formula2>0</formula2>
    </dataValidation>
    <dataValidation allowBlank="true" errorStyle="stop" operator="between" showDropDown="false" showErrorMessage="true" showInputMessage="true" sqref="BQ2:BQ1029" type="list">
      <formula1>list!$B$64:$E$64</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C2:BP1029 BS2:BT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P2:AP1029 AR2:AR1029" type="list">
      <formula1>list!$B$37:$O$37</formula1>
      <formula2>0</formula2>
    </dataValidation>
    <dataValidation allowBlank="true" errorStyle="stop" operator="between" showDropDown="false" showErrorMessage="true" showInputMessage="true" sqref="Y2:Y154" type="list">
      <formula1>list!$B$20:$I$20</formula1>
      <formula2>0</formula2>
    </dataValidation>
    <dataValidation allowBlank="true" errorStyle="stop" operator="between" showDropDown="false" showErrorMessage="true" showInputMessage="true" sqref="X2:X1029" type="list">
      <formula1>list!$B$19:$C$19</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Y155:Y1029" type="list">
      <formula1>list!$B$20:$H$20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99"/>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G22" activePane="bottomRight" state="frozen"/>
      <selection pane="topLeft" activeCell="A1" activeCellId="0" sqref="A1"/>
      <selection pane="topRight" activeCell="G1" activeCellId="0" sqref="G1"/>
      <selection pane="bottomLeft" activeCell="A22" activeCellId="0" sqref="A22"/>
      <selection pane="bottomRight" activeCell="D28" activeCellId="0" sqref="D28"/>
    </sheetView>
  </sheetViews>
  <sheetFormatPr defaultColWidth="8.8710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29" min="28" style="0" width="12.33"/>
    <col collapsed="false" customWidth="true" hidden="false" outlineLevel="0" max="42" min="42" style="0" width="12.16"/>
    <col collapsed="false" customWidth="true" hidden="false" outlineLevel="0" max="44" min="44" style="0" width="12.16"/>
    <col collapsed="false" customWidth="true" hidden="false" outlineLevel="0" max="45" min="45" style="0" width="15.67"/>
    <col collapsed="false" customWidth="true" hidden="false" outlineLevel="0" max="48" min="48" style="0" width="11.16"/>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88.75" hidden="false" customHeight="false" outlineLevel="0" collapsed="false">
      <c r="A2" s="1"/>
      <c r="B2" s="1" t="n">
        <v>1123260</v>
      </c>
      <c r="C2" s="25" t="n">
        <v>41717</v>
      </c>
      <c r="D2" s="1" t="n">
        <v>0</v>
      </c>
      <c r="E2" s="26" t="s">
        <v>290</v>
      </c>
      <c r="F2" s="1"/>
      <c r="G2" s="1"/>
      <c r="H2" s="1"/>
      <c r="I2" s="1"/>
      <c r="J2" s="1"/>
      <c r="K2" s="1"/>
      <c r="L2" s="1"/>
      <c r="M2" s="1"/>
      <c r="N2" s="1"/>
      <c r="O2" s="1"/>
      <c r="P2" s="1"/>
      <c r="Q2" s="1"/>
      <c r="R2" s="1"/>
      <c r="S2" s="1"/>
      <c r="T2" s="1"/>
      <c r="U2" s="1"/>
      <c r="V2" s="1"/>
      <c r="W2" s="1"/>
      <c r="X2" s="27" t="b">
        <f aca="false">FALSE()</f>
        <v>0</v>
      </c>
      <c r="Y2" s="1"/>
      <c r="Z2" s="1" t="s">
        <v>87</v>
      </c>
      <c r="AA2" s="1" t="s">
        <v>87</v>
      </c>
      <c r="AB2" s="1" t="s">
        <v>193</v>
      </c>
      <c r="AC2" s="1" t="s">
        <v>87</v>
      </c>
      <c r="AD2" s="1" t="s">
        <v>182</v>
      </c>
      <c r="AE2" s="1" t="s">
        <v>112</v>
      </c>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6.5" hidden="false" customHeight="false" outlineLevel="0" collapsed="false">
      <c r="A3" s="1"/>
      <c r="B3" s="1" t="n">
        <v>1123260</v>
      </c>
      <c r="C3" s="25" t="n">
        <v>41731</v>
      </c>
      <c r="D3" s="1" t="n">
        <v>0</v>
      </c>
      <c r="E3" s="26" t="s">
        <v>291</v>
      </c>
      <c r="F3" s="1"/>
      <c r="G3" s="1"/>
      <c r="H3" s="27" t="b">
        <f aca="false">TRUE()</f>
        <v>1</v>
      </c>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16.5" hidden="false" customHeight="false" outlineLevel="0" collapsed="false">
      <c r="A4" s="1"/>
      <c r="B4" s="1" t="n">
        <v>1123260</v>
      </c>
      <c r="C4" s="25" t="n">
        <v>41733</v>
      </c>
      <c r="D4" s="1" t="n">
        <v>0</v>
      </c>
      <c r="E4" s="26" t="s">
        <v>292</v>
      </c>
      <c r="F4" s="1"/>
      <c r="G4" s="1"/>
      <c r="H4" s="1"/>
      <c r="I4" s="27" t="b">
        <f aca="false">TRUE()</f>
        <v>1</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33.75" hidden="false" customHeight="false" outlineLevel="0" collapsed="false">
      <c r="A5" s="1"/>
      <c r="B5" s="1" t="n">
        <v>1123260</v>
      </c>
      <c r="C5" s="25" t="n">
        <v>41737</v>
      </c>
      <c r="D5" s="1" t="n">
        <v>0</v>
      </c>
      <c r="E5" s="26" t="s">
        <v>293</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255" hidden="false" customHeight="false" outlineLevel="0" collapsed="false">
      <c r="A6" s="1"/>
      <c r="B6" s="1" t="n">
        <v>1123260</v>
      </c>
      <c r="C6" s="25" t="n">
        <v>41752</v>
      </c>
      <c r="D6" s="1" t="n">
        <v>1</v>
      </c>
      <c r="E6" s="26" t="s">
        <v>294</v>
      </c>
      <c r="F6" s="1"/>
      <c r="G6" s="1"/>
      <c r="H6" s="1"/>
      <c r="I6" s="1"/>
      <c r="J6" s="1"/>
      <c r="K6" s="27" t="b">
        <f aca="false">TRUE()</f>
        <v>1</v>
      </c>
      <c r="L6" s="1"/>
      <c r="M6" s="27" t="b">
        <f aca="false">TRUE()</f>
        <v>1</v>
      </c>
      <c r="N6" s="1"/>
      <c r="O6" s="1"/>
      <c r="P6" s="1"/>
      <c r="Q6" s="1"/>
      <c r="R6" s="1"/>
      <c r="S6" s="1"/>
      <c r="T6" s="1"/>
      <c r="U6" s="1"/>
      <c r="V6" s="1"/>
      <c r="W6" s="1"/>
      <c r="X6" s="1"/>
      <c r="Y6" s="1"/>
      <c r="Z6" s="1"/>
      <c r="AA6" s="1"/>
      <c r="AB6" s="1"/>
      <c r="AC6" s="1"/>
      <c r="AD6" s="1"/>
      <c r="AE6" s="1"/>
      <c r="AF6" s="1"/>
      <c r="AG6" s="1"/>
      <c r="AH6" s="1"/>
      <c r="AI6" s="1"/>
      <c r="AJ6" s="1"/>
      <c r="AK6" s="1"/>
      <c r="AL6" s="1"/>
      <c r="AM6" s="1"/>
      <c r="AN6" s="1"/>
      <c r="AO6" s="1" t="s">
        <v>96</v>
      </c>
      <c r="AP6" s="1" t="s">
        <v>91</v>
      </c>
      <c r="AQ6" s="1" t="s">
        <v>96</v>
      </c>
      <c r="AR6" s="1" t="s">
        <v>91</v>
      </c>
      <c r="AS6" s="1"/>
      <c r="AT6" s="1"/>
      <c r="AU6" s="1"/>
      <c r="AV6" s="1"/>
      <c r="AW6" s="1"/>
      <c r="AX6" s="1"/>
      <c r="AY6" s="1"/>
      <c r="AZ6" s="1"/>
      <c r="BA6" s="1"/>
      <c r="BB6" s="1"/>
      <c r="BC6" s="27" t="b">
        <f aca="false">TRUE()</f>
        <v>1</v>
      </c>
      <c r="BD6" s="1"/>
      <c r="BE6" s="1"/>
      <c r="BF6" s="27" t="b">
        <f aca="false">TRUE()</f>
        <v>1</v>
      </c>
      <c r="BG6" s="1"/>
      <c r="BH6" s="1"/>
      <c r="BI6" s="1"/>
      <c r="BJ6" s="1"/>
      <c r="BK6" s="1"/>
      <c r="BL6" s="1"/>
      <c r="BM6" s="1"/>
      <c r="BN6" s="1"/>
      <c r="BO6" s="1"/>
      <c r="BP6" s="1"/>
      <c r="BQ6" s="1" t="s">
        <v>119</v>
      </c>
      <c r="BR6" s="1"/>
      <c r="BS6" s="1"/>
      <c r="BT6" s="1"/>
      <c r="BU6" s="1"/>
      <c r="BV6" s="1"/>
      <c r="BW6" s="1"/>
      <c r="BX6" s="1"/>
      <c r="BY6" s="1"/>
      <c r="BZ6" s="1"/>
      <c r="CA6" s="1"/>
      <c r="CB6" s="1"/>
      <c r="CC6" s="1"/>
      <c r="CD6" s="1"/>
      <c r="CE6" s="1"/>
      <c r="CF6" s="1"/>
      <c r="CG6" s="1"/>
      <c r="CH6" s="1"/>
      <c r="CI6" s="1"/>
    </row>
    <row r="7" customFormat="false" ht="118.5" hidden="false" customHeight="false" outlineLevel="0" collapsed="false">
      <c r="A7" s="1"/>
      <c r="B7" s="1" t="n">
        <v>1123260</v>
      </c>
      <c r="C7" s="25" t="n">
        <v>41771</v>
      </c>
      <c r="D7" s="1" t="n">
        <v>1</v>
      </c>
      <c r="E7" s="26" t="s">
        <v>295</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7" t="b">
        <f aca="false">FALSE()</f>
        <v>0</v>
      </c>
      <c r="AN7" s="8"/>
      <c r="AO7" s="1" t="s">
        <v>96</v>
      </c>
      <c r="AP7" s="1" t="s">
        <v>91</v>
      </c>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27" t="b">
        <f aca="false">TRUE()</f>
        <v>1</v>
      </c>
      <c r="BU7" s="1" t="s">
        <v>153</v>
      </c>
      <c r="BV7" s="27" t="b">
        <f aca="false">TRUE()</f>
        <v>1</v>
      </c>
      <c r="BW7" s="1"/>
      <c r="BX7" s="1"/>
      <c r="BY7" s="1"/>
      <c r="BZ7" s="1"/>
      <c r="CA7" s="1"/>
      <c r="CB7" s="1"/>
      <c r="CC7" s="1"/>
      <c r="CD7" s="1"/>
      <c r="CE7" s="1"/>
      <c r="CF7" s="1"/>
      <c r="CG7" s="1"/>
      <c r="CH7" s="1"/>
      <c r="CI7" s="1"/>
    </row>
    <row r="8" customFormat="false" ht="237.75" hidden="false" customHeight="false" outlineLevel="0" collapsed="false">
      <c r="A8" s="1"/>
      <c r="B8" s="1" t="n">
        <v>1123260</v>
      </c>
      <c r="C8" s="25" t="n">
        <v>41794</v>
      </c>
      <c r="D8" s="1" t="n">
        <v>2</v>
      </c>
      <c r="E8" s="26" t="s">
        <v>296</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7" t="b">
        <f aca="false">TRUE()</f>
        <v>1</v>
      </c>
      <c r="AN8" s="27" t="b">
        <f aca="false">FALSE()</f>
        <v>0</v>
      </c>
      <c r="AO8" s="1" t="s">
        <v>96</v>
      </c>
      <c r="AP8" s="1" t="s">
        <v>131</v>
      </c>
      <c r="AQ8" s="1" t="s">
        <v>96</v>
      </c>
      <c r="AR8" s="1" t="s">
        <v>91</v>
      </c>
      <c r="AS8" s="1"/>
      <c r="AT8" s="1"/>
      <c r="AU8" s="1"/>
      <c r="AV8" s="1"/>
      <c r="AW8" s="1"/>
      <c r="AX8" s="1"/>
      <c r="AY8" s="1"/>
      <c r="AZ8" s="1"/>
      <c r="BA8" s="1"/>
      <c r="BB8" s="1"/>
      <c r="BC8" s="1"/>
      <c r="BD8" s="1"/>
      <c r="BE8" s="1"/>
      <c r="BF8" s="1"/>
      <c r="BG8" s="1"/>
      <c r="BH8" s="1"/>
      <c r="BI8" s="1"/>
      <c r="BJ8" s="1"/>
      <c r="BK8" s="1"/>
      <c r="BL8" s="1"/>
      <c r="BM8" s="1"/>
      <c r="BN8" s="1"/>
      <c r="BO8" s="1"/>
      <c r="BP8" s="1"/>
      <c r="BQ8" s="1" t="s">
        <v>119</v>
      </c>
      <c r="BR8" s="1"/>
      <c r="BS8" s="1"/>
      <c r="BT8" s="27" t="b">
        <f aca="false">TRUE()</f>
        <v>1</v>
      </c>
      <c r="BU8" s="1" t="s">
        <v>153</v>
      </c>
      <c r="BV8" s="27" t="b">
        <f aca="false">TRUE()</f>
        <v>1</v>
      </c>
      <c r="BW8" s="1"/>
      <c r="BX8" s="1"/>
      <c r="BY8" s="1"/>
      <c r="BZ8" s="1"/>
      <c r="CA8" s="1"/>
      <c r="CB8" s="1"/>
      <c r="CC8" s="1"/>
      <c r="CD8" s="1"/>
      <c r="CE8" s="1"/>
      <c r="CF8" s="1"/>
      <c r="CG8" s="1"/>
      <c r="CH8" s="1"/>
      <c r="CI8" s="1"/>
    </row>
    <row r="9" customFormat="false" ht="118.5" hidden="false" customHeight="false" outlineLevel="0" collapsed="false">
      <c r="A9" s="1"/>
      <c r="B9" s="1" t="n">
        <v>1123260</v>
      </c>
      <c r="C9" s="25" t="n">
        <v>41871</v>
      </c>
      <c r="D9" s="1" t="n">
        <v>5</v>
      </c>
      <c r="E9" s="26" t="s">
        <v>297</v>
      </c>
      <c r="F9" s="1"/>
      <c r="G9" s="1"/>
      <c r="H9" s="27" t="b">
        <f aca="false">TRUE()</f>
        <v>1</v>
      </c>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7" t="b">
        <f aca="false">TRUE()</f>
        <v>1</v>
      </c>
      <c r="AN9" s="27" t="b">
        <f aca="false">TRUE()</f>
        <v>1</v>
      </c>
      <c r="AO9" s="1" t="s">
        <v>96</v>
      </c>
      <c r="AP9" s="1" t="s">
        <v>152</v>
      </c>
      <c r="AQ9" s="1" t="s">
        <v>96</v>
      </c>
      <c r="AR9" s="1" t="s">
        <v>152</v>
      </c>
      <c r="AS9" s="1"/>
      <c r="AT9" s="1"/>
      <c r="AU9" s="1"/>
      <c r="AV9" s="1"/>
      <c r="AW9" s="1"/>
      <c r="AX9" s="1"/>
      <c r="AY9" s="1"/>
      <c r="AZ9" s="1"/>
      <c r="BA9" s="1"/>
      <c r="BB9" s="1"/>
      <c r="BC9" s="1"/>
      <c r="BD9" s="1"/>
      <c r="BE9" s="1"/>
      <c r="BF9" s="1"/>
      <c r="BG9" s="1"/>
      <c r="BH9" s="1"/>
      <c r="BI9" s="1"/>
      <c r="BJ9" s="1"/>
      <c r="BK9" s="1"/>
      <c r="BL9" s="1"/>
      <c r="BM9" s="1"/>
      <c r="BN9" s="1"/>
      <c r="BO9" s="1"/>
      <c r="BP9" s="1"/>
      <c r="BQ9" s="1"/>
      <c r="BR9" s="1"/>
      <c r="BS9" s="1"/>
      <c r="BT9" s="27" t="b">
        <f aca="false">TRUE()</f>
        <v>1</v>
      </c>
      <c r="BU9" s="1" t="s">
        <v>153</v>
      </c>
      <c r="BV9" s="27" t="b">
        <f aca="false">TRUE()</f>
        <v>1</v>
      </c>
      <c r="BW9" s="1"/>
      <c r="BX9" s="1"/>
      <c r="BY9" s="1"/>
      <c r="BZ9" s="1"/>
      <c r="CA9" s="1"/>
      <c r="CB9" s="1"/>
      <c r="CC9" s="1"/>
      <c r="CD9" s="1"/>
      <c r="CE9" s="1"/>
      <c r="CF9" s="1"/>
      <c r="CG9" s="1"/>
      <c r="CH9" s="1"/>
      <c r="CI9" s="1"/>
    </row>
    <row r="10" customFormat="false" ht="153" hidden="false" customHeight="false" outlineLevel="0" collapsed="false">
      <c r="A10" s="1"/>
      <c r="B10" s="1" t="n">
        <v>1123260</v>
      </c>
      <c r="C10" s="25" t="n">
        <v>41899</v>
      </c>
      <c r="D10" s="1" t="n">
        <v>5</v>
      </c>
      <c r="E10" s="26" t="s">
        <v>298</v>
      </c>
      <c r="F10" s="1"/>
      <c r="G10" s="1"/>
      <c r="H10" s="1"/>
      <c r="I10" s="1"/>
      <c r="J10" s="1"/>
      <c r="K10" s="1"/>
      <c r="L10" s="1"/>
      <c r="M10" s="1"/>
      <c r="N10" s="1"/>
      <c r="O10" s="1"/>
      <c r="P10" s="1"/>
      <c r="Q10" s="1"/>
      <c r="R10" s="1"/>
      <c r="S10" s="1"/>
      <c r="T10" s="1"/>
      <c r="U10" s="1"/>
      <c r="V10" s="1"/>
      <c r="W10" s="1"/>
      <c r="X10" s="1"/>
      <c r="Y10" s="1"/>
      <c r="Z10" s="1"/>
      <c r="AA10" s="1" t="s">
        <v>87</v>
      </c>
      <c r="AB10" s="1"/>
      <c r="AC10" s="1" t="s">
        <v>193</v>
      </c>
      <c r="AD10" s="1"/>
      <c r="AE10" s="1"/>
      <c r="AF10" s="1"/>
      <c r="AG10" s="1"/>
      <c r="AH10" s="1"/>
      <c r="AI10" s="1"/>
      <c r="AJ10" s="1"/>
      <c r="AK10" s="1"/>
      <c r="AL10" s="1"/>
      <c r="AM10" s="27" t="b">
        <f aca="false">TRUE()</f>
        <v>1</v>
      </c>
      <c r="AN10" s="27" t="b">
        <f aca="false">TRUE()</f>
        <v>1</v>
      </c>
      <c r="AO10" s="1" t="s">
        <v>96</v>
      </c>
      <c r="AP10" s="1" t="s">
        <v>164</v>
      </c>
      <c r="AQ10" s="1" t="s">
        <v>96</v>
      </c>
      <c r="AR10" s="1" t="s">
        <v>160</v>
      </c>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27" t="b">
        <f aca="false">TRUE()</f>
        <v>1</v>
      </c>
      <c r="BT10" s="1"/>
      <c r="BU10" s="1"/>
      <c r="BV10" s="1"/>
      <c r="BW10" s="1"/>
      <c r="BX10" s="1"/>
      <c r="BY10" s="1"/>
      <c r="BZ10" s="1"/>
      <c r="CA10" s="1"/>
      <c r="CB10" s="1"/>
      <c r="CC10" s="1"/>
      <c r="CD10" s="1"/>
      <c r="CE10" s="1"/>
      <c r="CF10" s="1"/>
      <c r="CG10" s="1"/>
      <c r="CH10" s="1"/>
      <c r="CI10" s="1"/>
    </row>
    <row r="11" customFormat="false" ht="220.5" hidden="false" customHeight="false" outlineLevel="0" collapsed="false">
      <c r="A11" s="1"/>
      <c r="B11" s="1" t="n">
        <v>1123260</v>
      </c>
      <c r="C11" s="25" t="n">
        <v>41948</v>
      </c>
      <c r="D11" s="1" t="n">
        <v>7</v>
      </c>
      <c r="E11" s="26" t="s">
        <v>299</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27" t="b">
        <f aca="false">FALSE()</f>
        <v>0</v>
      </c>
      <c r="AN11" s="27" t="b">
        <f aca="false">FALSE()</f>
        <v>0</v>
      </c>
      <c r="AO11" s="1" t="s">
        <v>96</v>
      </c>
      <c r="AP11" s="1" t="s">
        <v>164</v>
      </c>
      <c r="AQ11" s="1" t="s">
        <v>96</v>
      </c>
      <c r="AR11" s="1" t="s">
        <v>160</v>
      </c>
      <c r="AS11" s="1"/>
      <c r="AT11" s="1"/>
      <c r="AU11" s="1"/>
      <c r="AV11" s="1"/>
      <c r="AW11" s="1"/>
      <c r="AX11" s="1"/>
      <c r="AY11" s="1"/>
      <c r="AZ11" s="1"/>
      <c r="BA11" s="1"/>
      <c r="BB11" s="1"/>
      <c r="BC11" s="1"/>
      <c r="BD11" s="1"/>
      <c r="BE11" s="1"/>
      <c r="BF11" s="1"/>
      <c r="BG11" s="1"/>
      <c r="BH11" s="1"/>
      <c r="BI11" s="1"/>
      <c r="BJ11" s="1"/>
      <c r="BK11" s="1"/>
      <c r="BL11" s="1"/>
      <c r="BM11" s="1"/>
      <c r="BN11" s="1"/>
      <c r="BO11" s="1"/>
      <c r="BP11" s="1"/>
      <c r="BQ11" s="1" t="s">
        <v>119</v>
      </c>
      <c r="BR11" s="1"/>
      <c r="BS11" s="27" t="b">
        <f aca="false">TRUE()</f>
        <v>1</v>
      </c>
      <c r="BT11" s="27" t="b">
        <f aca="false">TRUE()</f>
        <v>1</v>
      </c>
      <c r="BU11" s="1" t="s">
        <v>153</v>
      </c>
      <c r="BV11" s="27" t="b">
        <f aca="false">TRUE()</f>
        <v>1</v>
      </c>
      <c r="BW11" s="1"/>
      <c r="BX11" s="1"/>
      <c r="BY11" s="1"/>
      <c r="BZ11" s="1"/>
      <c r="CA11" s="1"/>
      <c r="CB11" s="1"/>
      <c r="CC11" s="1"/>
      <c r="CD11" s="1"/>
      <c r="CE11" s="1"/>
      <c r="CF11" s="1"/>
      <c r="CG11" s="1"/>
      <c r="CH11" s="1"/>
      <c r="CI11" s="1"/>
    </row>
    <row r="12" customFormat="false" ht="135.75" hidden="false" customHeight="false" outlineLevel="0" collapsed="false">
      <c r="A12" s="1"/>
      <c r="B12" s="1" t="n">
        <v>1123260</v>
      </c>
      <c r="C12" s="25" t="n">
        <v>41956</v>
      </c>
      <c r="D12" s="1" t="n">
        <v>7</v>
      </c>
      <c r="E12" s="26" t="s">
        <v>300</v>
      </c>
      <c r="F12" s="1"/>
      <c r="G12" s="1"/>
      <c r="H12" s="1"/>
      <c r="I12" s="1"/>
      <c r="J12" s="1"/>
      <c r="K12" s="1"/>
      <c r="L12" s="27" t="b">
        <f aca="false">TRUE()</f>
        <v>1</v>
      </c>
      <c r="M12" s="1"/>
      <c r="N12" s="27" t="b">
        <f aca="false">TRUE()</f>
        <v>1</v>
      </c>
      <c r="O12" s="1"/>
      <c r="P12" s="1"/>
      <c r="Q12" s="1"/>
      <c r="R12" s="1"/>
      <c r="S12" s="1"/>
      <c r="T12" s="1"/>
      <c r="U12" s="1"/>
      <c r="V12" s="1"/>
      <c r="W12" s="1"/>
      <c r="X12" s="1"/>
      <c r="Y12" s="1"/>
      <c r="Z12" s="1"/>
      <c r="AA12" s="1"/>
      <c r="AB12" s="1"/>
      <c r="AC12" s="1"/>
      <c r="AD12" s="1"/>
      <c r="AE12" s="1"/>
      <c r="AF12" s="1"/>
      <c r="AG12" s="1"/>
      <c r="AH12" s="1"/>
      <c r="AI12" s="1"/>
      <c r="AJ12" s="1"/>
      <c r="AK12" s="1"/>
      <c r="AL12" s="1"/>
      <c r="AM12" s="27" t="b">
        <f aca="false">TRUE()</f>
        <v>1</v>
      </c>
      <c r="AN12" s="27" t="b">
        <f aca="false">TRUE()</f>
        <v>1</v>
      </c>
      <c r="AO12" s="1" t="s">
        <v>96</v>
      </c>
      <c r="AP12" s="1" t="s">
        <v>94</v>
      </c>
      <c r="AQ12" s="1" t="s">
        <v>96</v>
      </c>
      <c r="AR12" s="1" t="s">
        <v>94</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27" t="b">
        <f aca="false">TRUE()</f>
        <v>1</v>
      </c>
      <c r="BU12" s="1" t="s">
        <v>153</v>
      </c>
      <c r="BV12" s="27" t="b">
        <f aca="false">TRUE()</f>
        <v>1</v>
      </c>
      <c r="BW12" s="1"/>
      <c r="BX12" s="1"/>
      <c r="BY12" s="1"/>
      <c r="BZ12" s="1"/>
      <c r="CA12" s="1"/>
      <c r="CB12" s="1"/>
      <c r="CC12" s="1"/>
      <c r="CD12" s="1"/>
      <c r="CE12" s="1"/>
      <c r="CF12" s="1"/>
      <c r="CG12" s="1"/>
      <c r="CH12" s="1"/>
      <c r="CI12" s="1"/>
    </row>
    <row r="13" customFormat="false" ht="102" hidden="false" customHeight="false" outlineLevel="0" collapsed="false">
      <c r="A13" s="1"/>
      <c r="B13" s="1" t="n">
        <v>1123260</v>
      </c>
      <c r="C13" s="25" t="n">
        <v>42018</v>
      </c>
      <c r="D13" s="1" t="n">
        <v>9</v>
      </c>
      <c r="E13" s="26" t="s">
        <v>301</v>
      </c>
      <c r="F13" s="1"/>
      <c r="G13" s="1"/>
      <c r="H13" s="27" t="b">
        <f aca="false">TRUE()</f>
        <v>1</v>
      </c>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27" t="b">
        <f aca="false">TRUE()</f>
        <v>1</v>
      </c>
      <c r="AN13" s="27" t="b">
        <f aca="false">TRUE()</f>
        <v>1</v>
      </c>
      <c r="AO13" s="1" t="s">
        <v>96</v>
      </c>
      <c r="AP13" s="1" t="s">
        <v>160</v>
      </c>
      <c r="AQ13" s="1" t="s">
        <v>96</v>
      </c>
      <c r="AR13" s="1" t="s">
        <v>160</v>
      </c>
      <c r="AS13" s="1" t="s">
        <v>168</v>
      </c>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27" t="b">
        <f aca="false">TRUE()</f>
        <v>1</v>
      </c>
      <c r="BT13" s="1"/>
      <c r="BU13" s="1"/>
      <c r="BV13" s="1"/>
      <c r="BW13" s="1"/>
      <c r="BX13" s="1"/>
      <c r="BY13" s="1"/>
      <c r="BZ13" s="1"/>
      <c r="CA13" s="1"/>
      <c r="CB13" s="1"/>
      <c r="CC13" s="1"/>
      <c r="CD13" s="1"/>
      <c r="CE13" s="1"/>
      <c r="CF13" s="1"/>
      <c r="CG13" s="1"/>
      <c r="CH13" s="1"/>
      <c r="CI13" s="1"/>
    </row>
    <row r="14" customFormat="false" ht="169.5" hidden="false" customHeight="false" outlineLevel="0" collapsed="false">
      <c r="A14" s="1"/>
      <c r="B14" s="1" t="n">
        <v>1123260</v>
      </c>
      <c r="C14" s="25" t="n">
        <v>42060</v>
      </c>
      <c r="D14" s="1" t="n">
        <v>11</v>
      </c>
      <c r="E14" s="26" t="s">
        <v>302</v>
      </c>
      <c r="F14" s="1"/>
      <c r="G14" s="1"/>
      <c r="H14" s="1"/>
      <c r="I14" s="1"/>
      <c r="J14" s="1"/>
      <c r="K14" s="1"/>
      <c r="L14" s="1"/>
      <c r="M14" s="1"/>
      <c r="N14" s="1"/>
      <c r="O14" s="1"/>
      <c r="P14" s="1"/>
      <c r="Q14" s="1"/>
      <c r="R14" s="1"/>
      <c r="S14" s="1"/>
      <c r="T14" s="1"/>
      <c r="U14" s="1"/>
      <c r="V14" s="1"/>
      <c r="W14" s="1"/>
      <c r="X14" s="1"/>
      <c r="Y14" s="1"/>
      <c r="Z14" s="1"/>
      <c r="AA14" s="1" t="s">
        <v>87</v>
      </c>
      <c r="AB14" s="1"/>
      <c r="AC14" s="1" t="s">
        <v>193</v>
      </c>
      <c r="AD14" s="1"/>
      <c r="AE14" s="1"/>
      <c r="AF14" s="1"/>
      <c r="AG14" s="1"/>
      <c r="AH14" s="1"/>
      <c r="AI14" s="1"/>
      <c r="AJ14" s="1"/>
      <c r="AK14" s="1"/>
      <c r="AL14" s="1"/>
      <c r="AM14" s="27" t="b">
        <f aca="false">TRUE()</f>
        <v>1</v>
      </c>
      <c r="AN14" s="27" t="b">
        <f aca="false">TRUE()</f>
        <v>1</v>
      </c>
      <c r="AO14" s="1" t="s">
        <v>107</v>
      </c>
      <c r="AP14" s="1" t="s">
        <v>97</v>
      </c>
      <c r="AQ14" s="1" t="s">
        <v>107</v>
      </c>
      <c r="AR14" s="1" t="s">
        <v>97</v>
      </c>
      <c r="AS14" s="1" t="s">
        <v>132</v>
      </c>
      <c r="AT14" s="1"/>
      <c r="AU14" s="1"/>
      <c r="AV14" s="1" t="s">
        <v>150</v>
      </c>
      <c r="AW14" s="1"/>
      <c r="AX14" s="1"/>
      <c r="AY14" s="27" t="b">
        <f aca="false">TRUE()</f>
        <v>1</v>
      </c>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row>
    <row r="15" customFormat="false" ht="192.75" hidden="false" customHeight="true" outlineLevel="0" collapsed="false">
      <c r="A15" s="1"/>
      <c r="B15" s="1" t="n">
        <v>1123260</v>
      </c>
      <c r="C15" s="25" t="n">
        <v>42102</v>
      </c>
      <c r="D15" s="1" t="n">
        <v>12</v>
      </c>
      <c r="E15" s="26" t="s">
        <v>303</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27" t="b">
        <f aca="false">FALSE()</f>
        <v>0</v>
      </c>
      <c r="AN15" s="27" t="b">
        <f aca="false">FALSE()</f>
        <v>0</v>
      </c>
      <c r="AO15" s="1" t="s">
        <v>107</v>
      </c>
      <c r="AP15" s="1" t="s">
        <v>97</v>
      </c>
      <c r="AQ15" s="1" t="s">
        <v>107</v>
      </c>
      <c r="AR15" s="1" t="s">
        <v>97</v>
      </c>
      <c r="AS15" s="1" t="s">
        <v>132</v>
      </c>
      <c r="AT15" s="1"/>
      <c r="AU15" s="1"/>
      <c r="AV15" s="1" t="s">
        <v>150</v>
      </c>
      <c r="AW15" s="1"/>
      <c r="AX15" s="1"/>
      <c r="AY15" s="27" t="b">
        <f aca="false">TRUE()</f>
        <v>1</v>
      </c>
      <c r="AZ15" s="1"/>
      <c r="BA15" s="1"/>
      <c r="BB15" s="1"/>
      <c r="BC15" s="1"/>
      <c r="BD15" s="1"/>
      <c r="BE15" s="1"/>
      <c r="BF15" s="1"/>
      <c r="BG15" s="1"/>
      <c r="BH15" s="1"/>
      <c r="BI15" s="1"/>
      <c r="BJ15" s="1"/>
      <c r="BK15" s="1"/>
      <c r="BL15" s="1"/>
      <c r="BM15" s="1"/>
      <c r="BN15" s="1"/>
      <c r="BO15" s="1"/>
      <c r="BP15" s="1"/>
      <c r="BQ15" s="1" t="s">
        <v>119</v>
      </c>
      <c r="BR15" s="1" t="s">
        <v>103</v>
      </c>
      <c r="BS15" s="1"/>
      <c r="BT15" s="27" t="b">
        <f aca="false">TRUE()</f>
        <v>1</v>
      </c>
      <c r="BU15" s="1" t="s">
        <v>153</v>
      </c>
      <c r="BV15" s="27" t="b">
        <f aca="false">TRUE()</f>
        <v>1</v>
      </c>
      <c r="BW15" s="1"/>
      <c r="BX15" s="1"/>
      <c r="BY15" s="27" t="b">
        <f aca="false">TRUE()</f>
        <v>1</v>
      </c>
      <c r="BZ15" s="27" t="b">
        <f aca="false">TRUE()</f>
        <v>1</v>
      </c>
      <c r="CA15" s="1"/>
      <c r="CB15" s="1"/>
      <c r="CC15" s="1"/>
      <c r="CD15" s="1"/>
      <c r="CE15" s="1"/>
      <c r="CF15" s="1"/>
      <c r="CG15" s="1"/>
      <c r="CH15" s="1"/>
      <c r="CI15" s="1"/>
    </row>
    <row r="16" customFormat="false" ht="135.75" hidden="false" customHeight="false" outlineLevel="0" collapsed="false">
      <c r="A16" s="1"/>
      <c r="B16" s="1" t="n">
        <v>1123260</v>
      </c>
      <c r="C16" s="25" t="n">
        <v>42146</v>
      </c>
      <c r="D16" s="1" t="n">
        <v>14</v>
      </c>
      <c r="E16" s="26" t="s">
        <v>304</v>
      </c>
      <c r="F16" s="1"/>
      <c r="G16" s="1"/>
      <c r="H16" s="1"/>
      <c r="I16" s="1"/>
      <c r="J16" s="1"/>
      <c r="K16" s="1"/>
      <c r="L16" s="1"/>
      <c r="M16" s="1"/>
      <c r="N16" s="1"/>
      <c r="O16" s="1"/>
      <c r="P16" s="1"/>
      <c r="Q16" s="1"/>
      <c r="R16" s="1"/>
      <c r="S16" s="1"/>
      <c r="T16" s="1"/>
      <c r="U16" s="1"/>
      <c r="V16" s="1"/>
      <c r="W16" s="1"/>
      <c r="X16" s="1"/>
      <c r="Y16" s="1"/>
      <c r="Z16" s="1" t="s">
        <v>87</v>
      </c>
      <c r="AA16" s="1" t="s">
        <v>87</v>
      </c>
      <c r="AB16" s="1" t="s">
        <v>87</v>
      </c>
      <c r="AC16" s="1" t="s">
        <v>87</v>
      </c>
      <c r="AD16" s="1"/>
      <c r="AE16" s="1"/>
      <c r="AF16" s="1"/>
      <c r="AG16" s="1"/>
      <c r="AH16" s="1"/>
      <c r="AI16" s="1"/>
      <c r="AJ16" s="1"/>
      <c r="AK16" s="1"/>
      <c r="AL16" s="1"/>
      <c r="AM16" s="27" t="b">
        <f aca="false">FALSE()</f>
        <v>0</v>
      </c>
      <c r="AN16" s="27" t="b">
        <f aca="false">FALSE()</f>
        <v>0</v>
      </c>
      <c r="AO16" s="1" t="s">
        <v>107</v>
      </c>
      <c r="AP16" s="1" t="s">
        <v>97</v>
      </c>
      <c r="AQ16" s="1" t="s">
        <v>107</v>
      </c>
      <c r="AR16" s="1" t="s">
        <v>97</v>
      </c>
      <c r="AS16" s="1" t="s">
        <v>132</v>
      </c>
      <c r="AT16" s="1"/>
      <c r="AU16" s="1"/>
      <c r="AV16" s="1" t="s">
        <v>150</v>
      </c>
      <c r="AW16" s="1"/>
      <c r="AX16" s="1"/>
      <c r="AY16" s="27" t="b">
        <f aca="false">TRUE()</f>
        <v>1</v>
      </c>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27" t="b">
        <f aca="false">TRUE()</f>
        <v>1</v>
      </c>
      <c r="BZ16" s="27" t="b">
        <f aca="false">TRUE()</f>
        <v>1</v>
      </c>
      <c r="CA16" s="1"/>
      <c r="CB16" s="1"/>
      <c r="CC16" s="1"/>
      <c r="CD16" s="1"/>
      <c r="CE16" s="1"/>
      <c r="CF16" s="1"/>
      <c r="CG16" s="1"/>
      <c r="CH16" s="1"/>
      <c r="CI16" s="1"/>
    </row>
    <row r="17" customFormat="false" ht="153" hidden="false" customHeight="false" outlineLevel="0" collapsed="false">
      <c r="A17" s="1"/>
      <c r="B17" s="1" t="n">
        <v>1123260</v>
      </c>
      <c r="C17" s="25" t="n">
        <v>42179</v>
      </c>
      <c r="D17" s="1" t="n">
        <v>15</v>
      </c>
      <c r="E17" s="26" t="s">
        <v>305</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27" t="b">
        <f aca="false">FALSE()</f>
        <v>0</v>
      </c>
      <c r="AN17" s="27" t="b">
        <f aca="false">TRUE()</f>
        <v>1</v>
      </c>
      <c r="AO17" s="1" t="s">
        <v>107</v>
      </c>
      <c r="AP17" s="1" t="s">
        <v>97</v>
      </c>
      <c r="AQ17" s="1" t="s">
        <v>101</v>
      </c>
      <c r="AR17" s="1" t="s">
        <v>164</v>
      </c>
      <c r="AS17" s="1"/>
      <c r="AT17" s="1"/>
      <c r="AU17" s="1"/>
      <c r="AV17" s="1" t="s">
        <v>129</v>
      </c>
      <c r="AW17" s="1"/>
      <c r="AX17" s="1"/>
      <c r="AY17" s="27" t="b">
        <f aca="false">FALSE()</f>
        <v>0</v>
      </c>
      <c r="AZ17" s="1"/>
      <c r="BA17" s="1"/>
      <c r="BB17" s="1"/>
      <c r="BC17" s="1"/>
      <c r="BD17" s="1"/>
      <c r="BE17" s="1"/>
      <c r="BF17" s="1"/>
      <c r="BG17" s="1"/>
      <c r="BH17" s="1"/>
      <c r="BI17" s="1"/>
      <c r="BJ17" s="1"/>
      <c r="BK17" s="1"/>
      <c r="BL17" s="1"/>
      <c r="BM17" s="1"/>
      <c r="BN17" s="1"/>
      <c r="BO17" s="1"/>
      <c r="BP17" s="1"/>
      <c r="BQ17" s="1"/>
      <c r="BR17" s="1"/>
      <c r="BS17" s="27" t="b">
        <f aca="false">TRUE()</f>
        <v>1</v>
      </c>
      <c r="BT17" s="27" t="b">
        <f aca="false">TRUE()</f>
        <v>1</v>
      </c>
      <c r="BU17" s="1" t="s">
        <v>153</v>
      </c>
      <c r="BV17" s="27" t="b">
        <f aca="false">TRUE()</f>
        <v>1</v>
      </c>
      <c r="BW17" s="1"/>
      <c r="BX17" s="1"/>
      <c r="BY17" s="27" t="b">
        <f aca="false">TRUE()</f>
        <v>1</v>
      </c>
      <c r="BZ17" s="1"/>
      <c r="CA17" s="1"/>
      <c r="CB17" s="1"/>
      <c r="CC17" s="1"/>
      <c r="CD17" s="1"/>
      <c r="CE17" s="1"/>
      <c r="CF17" s="1"/>
      <c r="CG17" s="1"/>
      <c r="CH17" s="1"/>
      <c r="CI17" s="1"/>
    </row>
    <row r="18" customFormat="false" ht="135.75" hidden="false" customHeight="false" outlineLevel="0" collapsed="false">
      <c r="A18" s="1"/>
      <c r="B18" s="1" t="n">
        <v>1123260</v>
      </c>
      <c r="C18" s="25" t="n">
        <v>42214</v>
      </c>
      <c r="D18" s="1" t="n">
        <v>16</v>
      </c>
      <c r="E18" s="26" t="s">
        <v>306</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27" t="b">
        <f aca="false">FALSE()</f>
        <v>0</v>
      </c>
      <c r="AN18" s="27" t="b">
        <f aca="false">TRUE()</f>
        <v>1</v>
      </c>
      <c r="AO18" s="1" t="s">
        <v>107</v>
      </c>
      <c r="AP18" s="1" t="s">
        <v>97</v>
      </c>
      <c r="AQ18" s="1" t="s">
        <v>122</v>
      </c>
      <c r="AR18" s="1" t="s">
        <v>97</v>
      </c>
      <c r="AS18" s="1" t="s">
        <v>132</v>
      </c>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27" t="b">
        <f aca="false">TRUE()</f>
        <v>1</v>
      </c>
      <c r="CA18" s="1"/>
      <c r="CB18" s="1"/>
      <c r="CC18" s="1"/>
      <c r="CD18" s="1"/>
      <c r="CE18" s="1"/>
      <c r="CF18" s="1"/>
      <c r="CG18" s="1"/>
      <c r="CH18" s="1"/>
      <c r="CI18" s="1"/>
    </row>
    <row r="19" customFormat="false" ht="204" hidden="false" customHeight="false" outlineLevel="0" collapsed="false">
      <c r="A19" s="1"/>
      <c r="B19" s="1" t="n">
        <v>1123260</v>
      </c>
      <c r="C19" s="25" t="n">
        <v>42242</v>
      </c>
      <c r="D19" s="1" t="n">
        <v>17</v>
      </c>
      <c r="E19" s="26" t="s">
        <v>307</v>
      </c>
      <c r="F19" s="1"/>
      <c r="G19" s="1"/>
      <c r="H19" s="1"/>
      <c r="I19" s="1"/>
      <c r="J19" s="1"/>
      <c r="K19" s="1"/>
      <c r="L19" s="1"/>
      <c r="M19" s="1"/>
      <c r="N19" s="1"/>
      <c r="O19" s="1"/>
      <c r="P19" s="1"/>
      <c r="Q19" s="27" t="b">
        <f aca="false">TRUE()</f>
        <v>1</v>
      </c>
      <c r="R19" s="1"/>
      <c r="S19" s="1"/>
      <c r="T19" s="1"/>
      <c r="U19" s="1"/>
      <c r="V19" s="1"/>
      <c r="W19" s="1"/>
      <c r="X19" s="1"/>
      <c r="Y19" s="1"/>
      <c r="Z19" s="1" t="s">
        <v>87</v>
      </c>
      <c r="AA19" s="1" t="s">
        <v>87</v>
      </c>
      <c r="AB19" s="1" t="s">
        <v>87</v>
      </c>
      <c r="AC19" s="1" t="s">
        <v>87</v>
      </c>
      <c r="AD19" s="1"/>
      <c r="AE19" s="1" t="s">
        <v>113</v>
      </c>
      <c r="AF19" s="1"/>
      <c r="AG19" s="1"/>
      <c r="AH19" s="1"/>
      <c r="AI19" s="1"/>
      <c r="AJ19" s="1"/>
      <c r="AK19" s="1"/>
      <c r="AL19" s="1"/>
      <c r="AM19" s="27" t="b">
        <f aca="false">FALSE()</f>
        <v>0</v>
      </c>
      <c r="AN19" s="27" t="b">
        <f aca="false">FALSE()</f>
        <v>0</v>
      </c>
      <c r="AO19" s="1" t="s">
        <v>107</v>
      </c>
      <c r="AP19" s="1" t="s">
        <v>97</v>
      </c>
      <c r="AQ19" s="1" t="s">
        <v>122</v>
      </c>
      <c r="AR19" s="1" t="s">
        <v>97</v>
      </c>
      <c r="AS19" s="1" t="s">
        <v>168</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27" t="b">
        <f aca="false">TRUE()</f>
        <v>1</v>
      </c>
      <c r="CA19" s="1"/>
      <c r="CB19" s="1"/>
      <c r="CC19" s="1"/>
      <c r="CD19" s="1"/>
      <c r="CE19" s="1"/>
      <c r="CF19" s="1"/>
      <c r="CG19" s="1"/>
      <c r="CH19" s="1"/>
      <c r="CI19" s="1"/>
    </row>
    <row r="20" customFormat="false" ht="186.75" hidden="false" customHeight="false" outlineLevel="0" collapsed="false">
      <c r="A20" s="1"/>
      <c r="B20" s="1" t="n">
        <v>1123260</v>
      </c>
      <c r="C20" s="25" t="n">
        <v>42269</v>
      </c>
      <c r="D20" s="1" t="n">
        <v>18</v>
      </c>
      <c r="E20" s="26" t="s">
        <v>308</v>
      </c>
      <c r="F20" s="1"/>
      <c r="G20" s="1"/>
      <c r="H20" s="27" t="b">
        <f aca="false">TRUE()</f>
        <v>1</v>
      </c>
      <c r="I20" s="27" t="b">
        <f aca="false">TRUE()</f>
        <v>1</v>
      </c>
      <c r="J20" s="1"/>
      <c r="K20" s="1"/>
      <c r="L20" s="1"/>
      <c r="M20" s="1"/>
      <c r="N20" s="1"/>
      <c r="O20" s="1"/>
      <c r="P20" s="1"/>
      <c r="Q20" s="27" t="b">
        <f aca="false">TRUE()</f>
        <v>1</v>
      </c>
      <c r="R20" s="1"/>
      <c r="S20" s="1"/>
      <c r="T20" s="1"/>
      <c r="U20" s="1"/>
      <c r="V20" s="1"/>
      <c r="W20" s="1"/>
      <c r="X20" s="1"/>
      <c r="Y20" s="1"/>
      <c r="Z20" s="1"/>
      <c r="AA20" s="1"/>
      <c r="AB20" s="1"/>
      <c r="AC20" s="1"/>
      <c r="AD20" s="1"/>
      <c r="AE20" s="1"/>
      <c r="AF20" s="1"/>
      <c r="AG20" s="1"/>
      <c r="AH20" s="1"/>
      <c r="AI20" s="1"/>
      <c r="AJ20" s="1"/>
      <c r="AK20" s="1"/>
      <c r="AL20" s="1"/>
      <c r="AM20" s="27" t="b">
        <f aca="false">FALSE()</f>
        <v>0</v>
      </c>
      <c r="AN20" s="27" t="b">
        <f aca="false">FALSE()</f>
        <v>0</v>
      </c>
      <c r="AO20" s="1" t="s">
        <v>107</v>
      </c>
      <c r="AP20" s="1" t="s">
        <v>97</v>
      </c>
      <c r="AQ20" s="1" t="s">
        <v>122</v>
      </c>
      <c r="AR20" s="1" t="s">
        <v>97</v>
      </c>
      <c r="AS20" s="1"/>
      <c r="AT20" s="1" t="s">
        <v>133</v>
      </c>
      <c r="AU20" s="1"/>
      <c r="AV20" s="1" t="s">
        <v>133</v>
      </c>
      <c r="AW20" s="1"/>
      <c r="AX20" s="27" t="b">
        <f aca="false">TRUE()</f>
        <v>1</v>
      </c>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row>
    <row r="21" customFormat="false" ht="186.75" hidden="false" customHeight="false" outlineLevel="0" collapsed="false">
      <c r="A21" s="1"/>
      <c r="B21" s="1" t="n">
        <v>1123260</v>
      </c>
      <c r="C21" s="25" t="n">
        <v>42289</v>
      </c>
      <c r="D21" s="1" t="n">
        <v>18</v>
      </c>
      <c r="E21" s="26" t="s">
        <v>309</v>
      </c>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27" t="b">
        <f aca="false">FALSE()</f>
        <v>0</v>
      </c>
      <c r="AN21" s="27" t="b">
        <f aca="false">FALSE()</f>
        <v>0</v>
      </c>
      <c r="AO21" s="1" t="s">
        <v>107</v>
      </c>
      <c r="AP21" s="1" t="s">
        <v>97</v>
      </c>
      <c r="AQ21" s="1" t="s">
        <v>122</v>
      </c>
      <c r="AR21" s="1" t="s">
        <v>97</v>
      </c>
      <c r="AS21" s="1"/>
      <c r="AT21" s="1" t="s">
        <v>150</v>
      </c>
      <c r="AU21" s="1"/>
      <c r="AV21" s="1" t="s">
        <v>150</v>
      </c>
      <c r="AW21" s="1"/>
      <c r="AX21" s="1"/>
      <c r="AY21" s="27" t="b">
        <f aca="false">TRUE()</f>
        <v>1</v>
      </c>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27" t="b">
        <f aca="false">TRUE()</f>
        <v>1</v>
      </c>
      <c r="CA21" s="1"/>
      <c r="CB21" s="1"/>
      <c r="CC21" s="1"/>
      <c r="CD21" s="1"/>
      <c r="CE21" s="1"/>
      <c r="CF21" s="1"/>
      <c r="CG21" s="1"/>
      <c r="CH21" s="1"/>
      <c r="CI21" s="1"/>
    </row>
    <row r="22" customFormat="false" ht="118.5" hidden="false" customHeight="false" outlineLevel="0" collapsed="false">
      <c r="A22" s="1"/>
      <c r="B22" s="1" t="n">
        <v>1123260</v>
      </c>
      <c r="C22" s="25" t="n">
        <v>42313</v>
      </c>
      <c r="D22" s="1" t="n">
        <v>19</v>
      </c>
      <c r="E22" s="26" t="s">
        <v>310</v>
      </c>
      <c r="F22" s="1"/>
      <c r="G22" s="1"/>
      <c r="H22" s="27" t="b">
        <f aca="false">TRUE()</f>
        <v>1</v>
      </c>
      <c r="I22" s="1"/>
      <c r="J22" s="1"/>
      <c r="K22" s="1"/>
      <c r="L22" s="1"/>
      <c r="M22" s="1"/>
      <c r="N22" s="1"/>
      <c r="O22" s="1"/>
      <c r="P22" s="1"/>
      <c r="Q22" s="1"/>
      <c r="R22" s="1"/>
      <c r="S22" s="1"/>
      <c r="T22" s="1"/>
      <c r="U22" s="1"/>
      <c r="V22" s="1"/>
      <c r="W22" s="1"/>
      <c r="X22" s="1"/>
      <c r="Y22" s="1"/>
      <c r="Z22" s="1"/>
      <c r="AA22" s="1"/>
      <c r="AB22" s="1"/>
      <c r="AC22" s="1"/>
      <c r="AD22" s="1"/>
      <c r="AE22" s="1" t="s">
        <v>113</v>
      </c>
      <c r="AF22" s="1"/>
      <c r="AG22" s="1"/>
      <c r="AH22" s="1"/>
      <c r="AI22" s="1"/>
      <c r="AJ22" s="1"/>
      <c r="AK22" s="1"/>
      <c r="AL22" s="1"/>
      <c r="AM22" s="27" t="b">
        <f aca="false">FALSE()</f>
        <v>0</v>
      </c>
      <c r="AN22" s="27" t="b">
        <f aca="false">FALSE()</f>
        <v>0</v>
      </c>
      <c r="AO22" s="1" t="s">
        <v>107</v>
      </c>
      <c r="AP22" s="1" t="s">
        <v>97</v>
      </c>
      <c r="AQ22" s="1" t="s">
        <v>122</v>
      </c>
      <c r="AR22" s="1" t="s">
        <v>97</v>
      </c>
      <c r="AS22" s="1"/>
      <c r="AT22" s="1" t="s">
        <v>150</v>
      </c>
      <c r="AU22" s="1"/>
      <c r="AV22" s="1" t="s">
        <v>150</v>
      </c>
      <c r="AW22" s="1"/>
      <c r="AX22" s="1"/>
      <c r="AY22" s="27" t="b">
        <f aca="false">TRUE()</f>
        <v>1</v>
      </c>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customFormat="false" ht="102" hidden="false" customHeight="false" outlineLevel="0" collapsed="false">
      <c r="A23" s="1"/>
      <c r="B23" s="1" t="n">
        <v>1123260</v>
      </c>
      <c r="C23" s="25" t="n">
        <v>42328</v>
      </c>
      <c r="D23" s="1" t="n">
        <v>20</v>
      </c>
      <c r="E23" s="26" t="s">
        <v>311</v>
      </c>
      <c r="F23" s="1"/>
      <c r="G23" s="1"/>
      <c r="H23" s="1"/>
      <c r="I23" s="1"/>
      <c r="J23" s="1"/>
      <c r="K23" s="1"/>
      <c r="L23" s="1"/>
      <c r="M23" s="1"/>
      <c r="N23" s="1"/>
      <c r="O23" s="1"/>
      <c r="P23" s="1"/>
      <c r="Q23" s="1"/>
      <c r="R23" s="1"/>
      <c r="S23" s="1"/>
      <c r="T23" s="1"/>
      <c r="U23" s="1"/>
      <c r="V23" s="1"/>
      <c r="W23" s="1"/>
      <c r="X23" s="1"/>
      <c r="Y23" s="1"/>
      <c r="Z23" s="1"/>
      <c r="AA23" s="1"/>
      <c r="AB23" s="1"/>
      <c r="AC23" s="1"/>
      <c r="AD23" s="1"/>
      <c r="AE23" s="1" t="s">
        <v>113</v>
      </c>
      <c r="AF23" s="1"/>
      <c r="AG23" s="1"/>
      <c r="AH23" s="1"/>
      <c r="AI23" s="1"/>
      <c r="AJ23" s="1"/>
      <c r="AK23" s="27" t="b">
        <f aca="false">TRUE()</f>
        <v>1</v>
      </c>
      <c r="AL23" s="1"/>
      <c r="AM23" s="1"/>
      <c r="AN23" s="1"/>
      <c r="AO23" s="1"/>
      <c r="AP23" s="1"/>
      <c r="AQ23" s="1"/>
      <c r="AR23" s="1"/>
      <c r="AS23" s="1"/>
      <c r="AT23" s="1" t="s">
        <v>150</v>
      </c>
      <c r="AU23" s="1"/>
      <c r="AV23" s="1" t="s">
        <v>150</v>
      </c>
      <c r="AW23" s="1"/>
      <c r="AX23" s="1"/>
      <c r="AY23" s="27" t="b">
        <f aca="false">TRUE()</f>
        <v>1</v>
      </c>
      <c r="AZ23" s="1"/>
      <c r="BA23" s="1"/>
      <c r="BB23" s="1"/>
      <c r="BC23" s="1"/>
      <c r="BD23" s="1"/>
      <c r="BE23" s="1"/>
      <c r="BF23" s="1"/>
      <c r="BG23" s="1"/>
      <c r="BH23" s="1"/>
      <c r="BI23" s="1"/>
      <c r="BJ23" s="1"/>
      <c r="BK23" s="1"/>
      <c r="BL23" s="1"/>
      <c r="BM23" s="1"/>
      <c r="BN23" s="1"/>
      <c r="BO23" s="1"/>
      <c r="BP23" s="1"/>
      <c r="BQ23" s="1"/>
      <c r="BR23" s="1" t="s">
        <v>103</v>
      </c>
      <c r="BS23" s="1"/>
      <c r="BT23" s="1"/>
      <c r="BU23" s="1"/>
      <c r="BV23" s="1"/>
      <c r="BW23" s="1"/>
      <c r="BX23" s="1"/>
      <c r="BY23" s="1"/>
      <c r="BZ23" s="1"/>
      <c r="CA23" s="1"/>
      <c r="CB23" s="1"/>
      <c r="CC23" s="1"/>
      <c r="CD23" s="1"/>
      <c r="CE23" s="1"/>
      <c r="CF23" s="1"/>
      <c r="CG23" s="1"/>
      <c r="CH23" s="1"/>
      <c r="CI23" s="1"/>
    </row>
    <row r="24" customFormat="false" ht="33.75" hidden="false" customHeight="false" outlineLevel="0" collapsed="false">
      <c r="A24" s="1"/>
      <c r="B24" s="1" t="n">
        <v>1123260</v>
      </c>
      <c r="C24" s="25" t="n">
        <v>42353</v>
      </c>
      <c r="D24" s="1" t="n">
        <v>20</v>
      </c>
      <c r="E24" s="26" t="s">
        <v>312</v>
      </c>
      <c r="F24" s="1"/>
      <c r="G24" s="27" t="b">
        <f aca="false">TRUE()</f>
        <v>1</v>
      </c>
      <c r="H24" s="27" t="b">
        <f aca="false">TRUE()</f>
        <v>1</v>
      </c>
      <c r="I24" s="27" t="b">
        <f aca="false">TRUE()</f>
        <v>1</v>
      </c>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t="b">
        <f aca="false">TRUE()</f>
        <v>1</v>
      </c>
      <c r="CG24" s="27" t="b">
        <f aca="false">TRUE()</f>
        <v>1</v>
      </c>
      <c r="CH24" s="1"/>
      <c r="CI24" s="1"/>
    </row>
    <row r="25" customFormat="false" ht="67.5" hidden="false" customHeight="false" outlineLevel="0" collapsed="false">
      <c r="A25" s="1"/>
      <c r="B25" s="1" t="n">
        <v>1123260</v>
      </c>
      <c r="C25" s="25" t="n">
        <v>42356</v>
      </c>
      <c r="D25" s="1" t="n">
        <v>20</v>
      </c>
      <c r="E25" s="26" t="s">
        <v>313</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t="s">
        <v>138</v>
      </c>
      <c r="BX25" s="1" t="s">
        <v>138</v>
      </c>
      <c r="BY25" s="1"/>
      <c r="BZ25" s="1"/>
      <c r="CA25" s="1"/>
      <c r="CB25" s="1"/>
      <c r="CC25" s="1"/>
      <c r="CD25" s="1"/>
      <c r="CE25" s="1"/>
      <c r="CF25" s="1"/>
      <c r="CG25" s="1"/>
      <c r="CH25" s="1"/>
      <c r="CI25" s="1"/>
    </row>
    <row r="26" customFormat="false" ht="67.5" hidden="false" customHeight="false" outlineLevel="0" collapsed="false">
      <c r="A26" s="1"/>
      <c r="B26" s="1" t="n">
        <v>1123260</v>
      </c>
      <c r="C26" s="25" t="n">
        <v>42383</v>
      </c>
      <c r="D26" s="1" t="n">
        <v>21</v>
      </c>
      <c r="E26" s="26" t="s">
        <v>314</v>
      </c>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t="b">
        <f aca="false">TRUE()</f>
        <v>1</v>
      </c>
      <c r="CI26" s="1"/>
    </row>
    <row r="27" customFormat="false" ht="16.5" hidden="false" customHeight="false" outlineLevel="0" collapsed="false">
      <c r="A27" s="1"/>
      <c r="B27" s="1" t="n">
        <v>1123260</v>
      </c>
      <c r="C27" s="25" t="n">
        <v>42401</v>
      </c>
      <c r="D27" s="1" t="n">
        <v>22</v>
      </c>
      <c r="E27" s="26" t="s">
        <v>315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67.5" hidden="false" customHeight="false" outlineLevel="0" collapsed="false">
      <c r="A28" s="1"/>
      <c r="B28" s="1" t="n">
        <v>1123260</v>
      </c>
      <c r="C28" s="25" t="n">
        <v>42522</v>
      </c>
      <c r="D28" s="1" t="n">
        <v>26</v>
      </c>
      <c r="E28" s="26" t="s">
        <v>316</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t="b">
        <f aca="false">TRUE()</f>
        <v>1</v>
      </c>
      <c r="CI28" s="1"/>
    </row>
    <row r="29" customFormat="false" ht="15.75" hidden="false" customHeight="false" outlineLevel="0" collapsed="false">
      <c r="A29" s="1"/>
      <c r="B29" s="1" t="n">
        <v>1123260</v>
      </c>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15.75" hidden="false" customHeight="false" outlineLevel="0" collapsed="false">
      <c r="A30" s="1"/>
      <c r="B30" s="1" t="n">
        <v>1123260</v>
      </c>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15.75" hidden="false" customHeight="false" outlineLevel="0" collapsed="false">
      <c r="A31" s="1"/>
      <c r="B31" s="1" t="n">
        <v>1123260</v>
      </c>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5.75" hidden="false" customHeight="false" outlineLevel="0" collapsed="false">
      <c r="A32" s="1"/>
      <c r="B32" s="1" t="n">
        <v>1123260</v>
      </c>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15.75" hidden="false" customHeight="false" outlineLevel="0" collapsed="false">
      <c r="A33" s="1"/>
      <c r="B33" s="1" t="n">
        <v>1123260</v>
      </c>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15.75" hidden="false" customHeight="false" outlineLevel="0" collapsed="false">
      <c r="A34" s="1"/>
      <c r="B34" s="1" t="n">
        <v>1123260</v>
      </c>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15.75" hidden="false" customHeight="false" outlineLevel="0" collapsed="false">
      <c r="A35" s="1"/>
      <c r="B35" s="1" t="n">
        <v>1123260</v>
      </c>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15.75" hidden="false" customHeight="false" outlineLevel="0" collapsed="false">
      <c r="A36" s="1"/>
      <c r="B36" s="1" t="n">
        <v>1123260</v>
      </c>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75" hidden="false" customHeight="false" outlineLevel="0" collapsed="false">
      <c r="A37" s="1"/>
      <c r="B37" s="1" t="n">
        <v>1123260</v>
      </c>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75" hidden="false" customHeight="false" outlineLevel="0" collapsed="false">
      <c r="A38" s="1"/>
      <c r="B38" s="1" t="n">
        <v>1123260</v>
      </c>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75" hidden="false" customHeight="false" outlineLevel="0" collapsed="false">
      <c r="A39" s="1"/>
      <c r="B39" s="1" t="n">
        <v>1123260</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75" hidden="false" customHeight="false" outlineLevel="0" collapsed="false">
      <c r="A40" s="1"/>
      <c r="B40" s="1" t="n">
        <v>1123260</v>
      </c>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75" hidden="false" customHeight="false" outlineLevel="0" collapsed="false">
      <c r="A41" s="1"/>
      <c r="B41" s="1" t="n">
        <v>1123260</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t="n">
        <v>1123260</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t="n">
        <v>1123260</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t="n">
        <v>1123260</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t="n">
        <v>1123260</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t="n">
        <v>1123260</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1123260</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1123260</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1123260</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1123260</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1123260</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1123260</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t="n">
        <v>1123260</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t="n">
        <v>1123260</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t="n">
        <v>1123260</v>
      </c>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t="n">
        <v>1123260</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t="n">
        <v>1123260</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7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7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7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7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7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7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7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7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7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customFormat="false" ht="15.75" hidden="false" customHeight="false" outlineLevel="0" collapsed="false">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sheetData>
  <dataValidations count="25">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BY2:CI99" type="list">
      <formula1>list!$B$72:$C$72</formula1>
      <formula2>0</formula2>
    </dataValidation>
    <dataValidation allowBlank="true" errorStyle="stop" operator="between" showDropDown="false" showErrorMessage="true" showInputMessage="true" sqref="BW2:BX99" type="list">
      <formula1>list!$B$70:$F$70</formula1>
      <formula2>0</formula2>
    </dataValidation>
    <dataValidation allowBlank="true" errorStyle="stop" operator="between" showDropDown="false" showErrorMessage="true" showInputMessage="true" sqref="BV2:BV99" type="list">
      <formula1>list!$B$69:$C$69</formula1>
      <formula2>0</formula2>
    </dataValidation>
    <dataValidation allowBlank="true" errorStyle="stop" operator="between" showDropDown="false" showErrorMessage="true" showInputMessage="true" sqref="BU2:BU99" type="list">
      <formula1>list!$B$68:$G$68</formula1>
      <formula2>0</formula2>
    </dataValidation>
    <dataValidation allowBlank="true" errorStyle="stop" operator="between" showDropDown="false" showErrorMessage="true" showInputMessage="true" sqref="BR2:BR99" type="list">
      <formula1>list!$B$65:$F$65</formula1>
      <formula2>0</formula2>
    </dataValidation>
    <dataValidation allowBlank="true" errorStyle="stop" operator="between" showDropDown="false" showErrorMessage="true" showInputMessage="true" sqref="BQ2:BQ99" type="list">
      <formula1>list!$B$64:$E$64</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X2:BA99 BC2:BP99 BS2:BT99" type="list">
      <formula1>list!$B$50:$C$50</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R93:AR99" type="list">
      <formula1>list!$B$37:$O$37</formula1>
      <formula2>0</formula2>
    </dataValidation>
    <dataValidation allowBlank="true" errorStyle="stop" operator="between" showDropDown="false" showErrorMessage="true" showInputMessage="true" sqref="AP3:AP93 AR3:AR92 AP94:AP99"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99"/>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G32" activePane="bottomRight" state="frozen"/>
      <selection pane="topLeft" activeCell="A1" activeCellId="0" sqref="A1"/>
      <selection pane="topRight" activeCell="G1" activeCellId="0" sqref="G1"/>
      <selection pane="bottomLeft" activeCell="A32" activeCellId="0" sqref="A32"/>
      <selection pane="bottomRight" activeCell="E14" activeCellId="0" sqref="E14"/>
    </sheetView>
  </sheetViews>
  <sheetFormatPr defaultColWidth="8.8710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11" min="11" style="0" width="11.5"/>
    <col collapsed="false" customWidth="true" hidden="false" outlineLevel="0" max="42" min="42" style="0" width="12.66"/>
    <col collapsed="false" customWidth="true" hidden="false" outlineLevel="0" max="44" min="44" style="0" width="12.66"/>
    <col collapsed="false" customWidth="true" hidden="false" outlineLevel="0" max="45" min="45" style="0" width="24.33"/>
    <col collapsed="false" customWidth="true" hidden="false" outlineLevel="0" max="73" min="73" style="0" width="22"/>
    <col collapsed="false" customWidth="true" hidden="false" outlineLevel="0" max="76" min="75" style="0" width="14.84"/>
  </cols>
  <sheetData>
    <row r="1" customFormat="false" ht="225" hidden="false" customHeight="false" outlineLevel="0" collapsed="false">
      <c r="A1" s="2" t="s">
        <v>0</v>
      </c>
      <c r="B1" s="2" t="s">
        <v>1</v>
      </c>
      <c r="C1" s="2" t="s">
        <v>2</v>
      </c>
      <c r="D1" s="3" t="s">
        <v>3</v>
      </c>
      <c r="E1" s="39"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5.75" hidden="false" customHeight="false" outlineLevel="0" collapsed="false">
      <c r="A2" s="1"/>
      <c r="B2" s="1" t="n">
        <v>1123469</v>
      </c>
      <c r="C2" s="25" t="n">
        <v>42020</v>
      </c>
      <c r="D2" s="1" t="n">
        <v>0</v>
      </c>
      <c r="E2" s="1" t="s">
        <v>317</v>
      </c>
      <c r="F2" s="1"/>
      <c r="G2" s="1"/>
      <c r="H2" s="1"/>
      <c r="I2" s="1"/>
      <c r="J2" s="1"/>
      <c r="K2" s="1"/>
      <c r="L2" s="1"/>
      <c r="M2" s="1"/>
      <c r="N2" s="1"/>
      <c r="O2" s="1"/>
      <c r="P2" s="1"/>
      <c r="Q2" s="1"/>
      <c r="R2" s="1"/>
      <c r="S2" s="1"/>
      <c r="T2" s="1"/>
      <c r="U2" s="1"/>
      <c r="V2" s="1"/>
      <c r="W2" s="1"/>
      <c r="X2" s="1"/>
      <c r="Y2" s="1"/>
      <c r="Z2" s="1" t="s">
        <v>128</v>
      </c>
      <c r="AA2" s="1" t="s">
        <v>128</v>
      </c>
      <c r="AB2" s="1" t="s">
        <v>128</v>
      </c>
      <c r="AC2" s="1" t="s">
        <v>128</v>
      </c>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15.75" hidden="false" customHeight="false" outlineLevel="0" collapsed="false">
      <c r="A3" s="1"/>
      <c r="B3" s="1" t="n">
        <v>1123469</v>
      </c>
      <c r="C3" s="25" t="n">
        <v>42031</v>
      </c>
      <c r="D3" s="1" t="n">
        <v>0</v>
      </c>
      <c r="E3" s="1" t="s">
        <v>318</v>
      </c>
      <c r="F3" s="1"/>
      <c r="G3" s="1"/>
      <c r="H3" s="1"/>
      <c r="I3" s="1"/>
      <c r="J3" s="1"/>
      <c r="K3" s="1"/>
      <c r="L3" s="1"/>
      <c r="M3" s="1"/>
      <c r="N3" s="1"/>
      <c r="O3" s="1"/>
      <c r="P3" s="1"/>
      <c r="Q3" s="1"/>
      <c r="R3" s="1"/>
      <c r="S3" s="1"/>
      <c r="T3" s="1"/>
      <c r="U3" s="1"/>
      <c r="V3" s="1"/>
      <c r="W3" s="1"/>
      <c r="X3" s="1"/>
      <c r="Y3" s="1"/>
      <c r="Z3" s="1" t="s">
        <v>128</v>
      </c>
      <c r="AA3" s="1" t="s">
        <v>128</v>
      </c>
      <c r="AB3" s="1" t="s">
        <v>128</v>
      </c>
      <c r="AC3" s="1" t="s">
        <v>128</v>
      </c>
      <c r="AD3" s="1" t="s">
        <v>182</v>
      </c>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28.5" hidden="false" customHeight="true" outlineLevel="0" collapsed="false">
      <c r="A4" s="1"/>
      <c r="B4" s="1" t="n">
        <v>1123469</v>
      </c>
      <c r="C4" s="25" t="n">
        <v>42052</v>
      </c>
      <c r="D4" s="1" t="n">
        <v>1</v>
      </c>
      <c r="E4" s="1" t="s">
        <v>319</v>
      </c>
      <c r="F4" s="1"/>
      <c r="G4" s="1"/>
      <c r="H4" s="1"/>
      <c r="I4" s="1"/>
      <c r="J4" s="1"/>
      <c r="K4" s="27" t="b">
        <f aca="false">TRUE()</f>
        <v>1</v>
      </c>
      <c r="L4" s="1"/>
      <c r="M4" s="27" t="b">
        <f aca="false">TRUE()</f>
        <v>1</v>
      </c>
      <c r="N4" s="1"/>
      <c r="O4" s="1"/>
      <c r="P4" s="1"/>
      <c r="Q4" s="1"/>
      <c r="R4" s="1"/>
      <c r="S4" s="1"/>
      <c r="T4" s="1"/>
      <c r="U4" s="1"/>
      <c r="V4" s="1"/>
      <c r="W4" s="1"/>
      <c r="X4" s="1"/>
      <c r="Y4" s="1"/>
      <c r="Z4" s="1"/>
      <c r="AA4" s="1"/>
      <c r="AB4" s="1"/>
      <c r="AC4" s="1"/>
      <c r="AD4" s="1"/>
      <c r="AE4" s="1"/>
      <c r="AF4" s="1"/>
      <c r="AG4" s="1"/>
      <c r="AH4" s="1"/>
      <c r="AI4" s="1"/>
      <c r="AJ4" s="1"/>
      <c r="AK4" s="1"/>
      <c r="AL4" s="1"/>
      <c r="AM4" s="1"/>
      <c r="AN4" s="1"/>
      <c r="AO4" s="1" t="s">
        <v>101</v>
      </c>
      <c r="AP4" s="1" t="s">
        <v>91</v>
      </c>
      <c r="AQ4" s="1" t="s">
        <v>101</v>
      </c>
      <c r="AR4" s="1" t="s">
        <v>91</v>
      </c>
      <c r="AS4" s="1"/>
      <c r="AT4" s="1"/>
      <c r="AU4" s="1"/>
      <c r="AV4" s="1"/>
      <c r="AW4" s="1"/>
      <c r="AX4" s="1"/>
      <c r="AY4" s="1"/>
      <c r="AZ4" s="1"/>
      <c r="BA4" s="1"/>
      <c r="BB4" s="1"/>
      <c r="BC4" s="1"/>
      <c r="BD4" s="27" t="b">
        <f aca="false">TRUE()</f>
        <v>1</v>
      </c>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5.75" hidden="false" customHeight="false" outlineLevel="0" collapsed="false">
      <c r="A5" s="1"/>
      <c r="B5" s="1" t="n">
        <v>1123469</v>
      </c>
      <c r="C5" s="25" t="n">
        <v>42061</v>
      </c>
      <c r="D5" s="1" t="n">
        <v>1</v>
      </c>
      <c r="E5" s="1" t="s">
        <v>320</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27" t="b">
        <f aca="false">TRUE()</f>
        <v>1</v>
      </c>
      <c r="BU5" s="1" t="s">
        <v>153</v>
      </c>
      <c r="BV5" s="27" t="b">
        <f aca="false">TRUE()</f>
        <v>1</v>
      </c>
      <c r="BW5" s="1"/>
      <c r="BX5" s="1"/>
      <c r="BY5" s="1"/>
      <c r="BZ5" s="1"/>
      <c r="CA5" s="1"/>
      <c r="CB5" s="1"/>
      <c r="CC5" s="1"/>
      <c r="CD5" s="1"/>
      <c r="CE5" s="1"/>
      <c r="CF5" s="1"/>
      <c r="CG5" s="1"/>
      <c r="CH5" s="1"/>
      <c r="CI5" s="1"/>
    </row>
    <row r="6" customFormat="false" ht="15.75" hidden="false" customHeight="false" outlineLevel="0" collapsed="false">
      <c r="A6" s="1"/>
      <c r="B6" s="1" t="n">
        <v>1123469</v>
      </c>
      <c r="C6" s="25" t="n">
        <v>42075</v>
      </c>
      <c r="D6" s="1" t="n">
        <v>1</v>
      </c>
      <c r="E6" s="1" t="s">
        <v>321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27" t="b">
        <f aca="false">TRUE()</f>
        <v>1</v>
      </c>
      <c r="AL6" s="1"/>
      <c r="AM6" s="1"/>
      <c r="AN6" s="1"/>
      <c r="AO6" s="1"/>
      <c r="AP6" s="1"/>
      <c r="AQ6" s="1"/>
      <c r="AR6" s="1"/>
      <c r="AS6" s="1"/>
      <c r="AT6" s="1"/>
      <c r="AU6" s="1"/>
      <c r="AV6" s="1"/>
      <c r="AW6" s="1"/>
      <c r="AX6" s="1"/>
      <c r="AY6" s="1"/>
      <c r="AZ6" s="1"/>
      <c r="BA6" s="1"/>
      <c r="BB6" s="1"/>
      <c r="BC6" s="1"/>
      <c r="BD6" s="1"/>
      <c r="BE6" s="1"/>
      <c r="BF6" s="27" t="b">
        <f aca="false">TRUE()</f>
        <v>1</v>
      </c>
      <c r="BG6" s="1"/>
      <c r="BH6" s="1"/>
      <c r="BI6" s="1"/>
      <c r="BJ6" s="1"/>
      <c r="BK6" s="1"/>
      <c r="BL6" s="1"/>
      <c r="BM6" s="1"/>
      <c r="BN6" s="1"/>
      <c r="BO6" s="1"/>
      <c r="BP6" s="1"/>
      <c r="BQ6" s="1"/>
      <c r="BR6" s="1"/>
      <c r="BS6" s="1"/>
      <c r="BT6" s="27" t="b">
        <f aca="false">TRUE()</f>
        <v>1</v>
      </c>
      <c r="BU6" s="1" t="s">
        <v>153</v>
      </c>
      <c r="BV6" s="27" t="b">
        <f aca="false">TRUE()</f>
        <v>1</v>
      </c>
      <c r="BW6" s="1"/>
      <c r="BX6" s="1"/>
      <c r="BY6" s="1"/>
      <c r="BZ6" s="1"/>
      <c r="CA6" s="1"/>
      <c r="CB6" s="1"/>
      <c r="CC6" s="1"/>
      <c r="CD6" s="1"/>
      <c r="CE6" s="1"/>
      <c r="CF6" s="1"/>
      <c r="CG6" s="1"/>
      <c r="CH6" s="1"/>
      <c r="CI6" s="1"/>
    </row>
    <row r="7" customFormat="false" ht="15.75" hidden="false" customHeight="false" outlineLevel="0" collapsed="false">
      <c r="A7" s="1"/>
      <c r="B7" s="1" t="n">
        <v>1123469</v>
      </c>
      <c r="C7" s="25" t="n">
        <v>42096</v>
      </c>
      <c r="D7" s="1" t="n">
        <v>2</v>
      </c>
      <c r="E7" s="1" t="s">
        <v>322</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27" t="b">
        <f aca="false">TRUE()</f>
        <v>1</v>
      </c>
      <c r="AN7" s="27" t="b">
        <f aca="false">TRUE()</f>
        <v>1</v>
      </c>
      <c r="AO7" s="1" t="s">
        <v>101</v>
      </c>
      <c r="AP7" s="1" t="s">
        <v>131</v>
      </c>
      <c r="AQ7" s="1" t="s">
        <v>101</v>
      </c>
      <c r="AR7" s="1" t="s">
        <v>131</v>
      </c>
      <c r="AS7" s="1"/>
      <c r="AT7" s="1"/>
      <c r="AU7" s="1"/>
      <c r="AV7" s="1"/>
      <c r="AW7" s="1"/>
      <c r="AX7" s="1"/>
      <c r="AY7" s="1"/>
      <c r="AZ7" s="1"/>
      <c r="BA7" s="1"/>
      <c r="BB7" s="1"/>
      <c r="BC7" s="1"/>
      <c r="BD7" s="1"/>
      <c r="BE7" s="1"/>
      <c r="BF7" s="27" t="b">
        <f aca="false">TRUE()</f>
        <v>1</v>
      </c>
      <c r="BG7" s="1"/>
      <c r="BH7" s="1"/>
      <c r="BI7" s="1"/>
      <c r="BJ7" s="1"/>
      <c r="BK7" s="1"/>
      <c r="BL7" s="1"/>
      <c r="BM7" s="1"/>
      <c r="BN7" s="1"/>
      <c r="BO7" s="1"/>
      <c r="BP7" s="1"/>
      <c r="BQ7" s="1" t="s">
        <v>119</v>
      </c>
      <c r="BR7" s="1"/>
      <c r="BS7" s="1"/>
      <c r="BT7" s="1"/>
      <c r="BU7" s="1"/>
      <c r="BV7" s="1"/>
      <c r="BW7" s="1"/>
      <c r="BX7" s="1"/>
      <c r="BY7" s="1"/>
      <c r="BZ7" s="1"/>
      <c r="CA7" s="1"/>
      <c r="CB7" s="1"/>
      <c r="CC7" s="1"/>
      <c r="CD7" s="1"/>
      <c r="CE7" s="1"/>
      <c r="CF7" s="1"/>
      <c r="CG7" s="1"/>
      <c r="CH7" s="1"/>
      <c r="CI7" s="1"/>
    </row>
    <row r="8" customFormat="false" ht="15.75" hidden="false" customHeight="false" outlineLevel="0" collapsed="false">
      <c r="A8" s="1"/>
      <c r="B8" s="1" t="n">
        <v>1123469</v>
      </c>
      <c r="C8" s="25" t="n">
        <v>42117</v>
      </c>
      <c r="D8" s="1" t="n">
        <v>3</v>
      </c>
      <c r="E8" s="1" t="s">
        <v>323</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7" t="b">
        <f aca="false">FALSE()</f>
        <v>0</v>
      </c>
      <c r="AN8" s="27" t="b">
        <f aca="false">TRUE()</f>
        <v>1</v>
      </c>
      <c r="AO8" s="1"/>
      <c r="AP8" s="1"/>
      <c r="AQ8" s="1"/>
      <c r="AR8" s="1"/>
      <c r="AS8" s="1"/>
      <c r="AT8" s="1"/>
      <c r="AU8" s="1"/>
      <c r="AV8" s="1"/>
      <c r="AW8" s="1"/>
      <c r="AX8" s="1"/>
      <c r="AY8" s="1"/>
      <c r="AZ8" s="1"/>
      <c r="BA8" s="1"/>
      <c r="BB8" s="1"/>
      <c r="BC8" s="1"/>
      <c r="BD8" s="1"/>
      <c r="BE8" s="1"/>
      <c r="BF8" s="27" t="b">
        <f aca="false">TRUE()</f>
        <v>1</v>
      </c>
      <c r="BG8" s="1"/>
      <c r="BH8" s="1"/>
      <c r="BI8" s="1"/>
      <c r="BJ8" s="1"/>
      <c r="BK8" s="1"/>
      <c r="BL8" s="1"/>
      <c r="BM8" s="1"/>
      <c r="BN8" s="1"/>
      <c r="BO8" s="1"/>
      <c r="BP8" s="1"/>
      <c r="BQ8" s="1" t="s">
        <v>119</v>
      </c>
      <c r="BR8" s="1"/>
      <c r="BS8" s="27" t="b">
        <f aca="false">TRUE()</f>
        <v>1</v>
      </c>
      <c r="BT8" s="1"/>
      <c r="BU8" s="1"/>
      <c r="BV8" s="1"/>
      <c r="BW8" s="1"/>
      <c r="BX8" s="1"/>
      <c r="BY8" s="1"/>
      <c r="BZ8" s="1"/>
      <c r="CA8" s="1"/>
      <c r="CB8" s="1"/>
      <c r="CC8" s="1"/>
      <c r="CD8" s="1"/>
      <c r="CE8" s="1"/>
      <c r="CF8" s="1"/>
      <c r="CG8" s="1"/>
      <c r="CH8" s="1"/>
      <c r="CI8" s="1"/>
    </row>
    <row r="9" customFormat="false" ht="15.75" hidden="false" customHeight="false" outlineLevel="0" collapsed="false">
      <c r="A9" s="1"/>
      <c r="B9" s="1" t="n">
        <v>1123469</v>
      </c>
      <c r="C9" s="25" t="n">
        <v>42152</v>
      </c>
      <c r="D9" s="1" t="n">
        <v>4</v>
      </c>
      <c r="E9" s="1" t="s">
        <v>324</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27" t="b">
        <f aca="false">TRUE()</f>
        <v>1</v>
      </c>
      <c r="AN9" s="27" t="b">
        <f aca="false">TRUE()</f>
        <v>1</v>
      </c>
      <c r="AO9" s="1" t="s">
        <v>96</v>
      </c>
      <c r="AP9" s="1" t="s">
        <v>152</v>
      </c>
      <c r="AQ9" s="1" t="s">
        <v>96</v>
      </c>
      <c r="AR9" s="1" t="s">
        <v>152</v>
      </c>
      <c r="AS9" s="1"/>
      <c r="AT9" s="1"/>
      <c r="AU9" s="1"/>
      <c r="AV9" s="1"/>
      <c r="AW9" s="1"/>
      <c r="AX9" s="1"/>
      <c r="AY9" s="1"/>
      <c r="AZ9" s="1"/>
      <c r="BA9" s="1"/>
      <c r="BB9" s="1"/>
      <c r="BC9" s="1"/>
      <c r="BD9" s="1"/>
      <c r="BE9" s="1"/>
      <c r="BF9" s="1"/>
      <c r="BG9" s="1"/>
      <c r="BH9" s="1"/>
      <c r="BI9" s="1"/>
      <c r="BJ9" s="1"/>
      <c r="BK9" s="1"/>
      <c r="BL9" s="1"/>
      <c r="BM9" s="1"/>
      <c r="BN9" s="1"/>
      <c r="BO9" s="1"/>
      <c r="BP9" s="1"/>
      <c r="BQ9" s="1" t="s">
        <v>119</v>
      </c>
      <c r="BR9" s="1"/>
      <c r="BS9" s="1"/>
      <c r="BT9" s="1"/>
      <c r="BU9" s="1"/>
      <c r="BV9" s="1"/>
      <c r="BW9" s="1"/>
      <c r="BX9" s="1"/>
      <c r="BY9" s="1"/>
      <c r="BZ9" s="1"/>
      <c r="CA9" s="1"/>
      <c r="CB9" s="1"/>
      <c r="CC9" s="1"/>
      <c r="CD9" s="1"/>
      <c r="CE9" s="1"/>
      <c r="CF9" s="1"/>
      <c r="CG9" s="1"/>
      <c r="CH9" s="1"/>
      <c r="CI9" s="1"/>
    </row>
    <row r="10" customFormat="false" ht="15.75" hidden="false" customHeight="false" outlineLevel="0" collapsed="false">
      <c r="A10" s="1"/>
      <c r="B10" s="1" t="n">
        <v>1123469</v>
      </c>
      <c r="C10" s="25" t="n">
        <v>42173</v>
      </c>
      <c r="D10" s="1" t="n">
        <v>5</v>
      </c>
      <c r="E10" s="1" t="s">
        <v>325</v>
      </c>
      <c r="F10" s="1"/>
      <c r="G10" s="1"/>
      <c r="H10" s="1"/>
      <c r="I10" s="1"/>
      <c r="J10" s="1"/>
      <c r="K10" s="27" t="b">
        <f aca="false">TRUE()</f>
        <v>1</v>
      </c>
      <c r="L10" s="1"/>
      <c r="M10" s="27" t="b">
        <f aca="false">TRUE()</f>
        <v>1</v>
      </c>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27" t="b">
        <f aca="false">TRUE()</f>
        <v>1</v>
      </c>
      <c r="BG10" s="1"/>
      <c r="BH10" s="1"/>
      <c r="BI10" s="1"/>
      <c r="BJ10" s="1"/>
      <c r="BK10" s="1"/>
      <c r="BL10" s="1"/>
      <c r="BM10" s="1"/>
      <c r="BN10" s="1"/>
      <c r="BO10" s="1"/>
      <c r="BP10" s="1"/>
      <c r="BQ10" s="1"/>
      <c r="BR10" s="1"/>
      <c r="BS10" s="1"/>
      <c r="BT10" s="27" t="b">
        <f aca="false">TRUE()</f>
        <v>1</v>
      </c>
      <c r="BU10" s="1" t="s">
        <v>153</v>
      </c>
      <c r="BV10" s="27" t="b">
        <f aca="false">TRUE()</f>
        <v>1</v>
      </c>
      <c r="BW10" s="1"/>
      <c r="BX10" s="1"/>
      <c r="BY10" s="1"/>
      <c r="BZ10" s="1"/>
      <c r="CA10" s="1"/>
      <c r="CB10" s="1"/>
      <c r="CC10" s="1"/>
      <c r="CD10" s="1"/>
      <c r="CE10" s="1"/>
      <c r="CF10" s="1"/>
      <c r="CG10" s="1"/>
      <c r="CH10" s="1"/>
      <c r="CI10" s="1"/>
    </row>
    <row r="11" customFormat="false" ht="15.75" hidden="false" customHeight="false" outlineLevel="0" collapsed="false">
      <c r="A11" s="1"/>
      <c r="B11" s="1" t="n">
        <v>1123469</v>
      </c>
      <c r="C11" s="25" t="n">
        <v>42180</v>
      </c>
      <c r="D11" s="1" t="n">
        <v>5</v>
      </c>
      <c r="E11" s="1" t="s">
        <v>326</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t="s">
        <v>90</v>
      </c>
      <c r="BC11" s="1"/>
      <c r="BD11" s="1"/>
      <c r="BE11" s="1"/>
      <c r="BF11" s="27" t="b">
        <f aca="false">FALSE()</f>
        <v>0</v>
      </c>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customFormat="false" ht="15.75" hidden="false" customHeight="false" outlineLevel="0" collapsed="false">
      <c r="A12" s="1"/>
      <c r="B12" s="1" t="n">
        <v>1123469</v>
      </c>
      <c r="C12" s="25" t="n">
        <v>42264</v>
      </c>
      <c r="D12" s="1" t="n">
        <v>8</v>
      </c>
      <c r="E12" s="1" t="s">
        <v>327</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27" t="b">
        <f aca="false">TRUE()</f>
        <v>1</v>
      </c>
      <c r="AN12" s="27" t="b">
        <f aca="false">TRUE()</f>
        <v>1</v>
      </c>
      <c r="AO12" s="1" t="s">
        <v>101</v>
      </c>
      <c r="AP12" s="1" t="s">
        <v>167</v>
      </c>
      <c r="AQ12" s="1" t="s">
        <v>101</v>
      </c>
      <c r="AR12" s="1" t="s">
        <v>155</v>
      </c>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27" t="b">
        <f aca="false">TRUE()</f>
        <v>1</v>
      </c>
      <c r="BU12" s="1" t="s">
        <v>153</v>
      </c>
      <c r="BV12" s="27" t="b">
        <f aca="false">TRUE()</f>
        <v>1</v>
      </c>
      <c r="BW12" s="1"/>
      <c r="BX12" s="1"/>
      <c r="BY12" s="1"/>
      <c r="BZ12" s="1"/>
      <c r="CA12" s="1"/>
      <c r="CB12" s="1"/>
      <c r="CC12" s="1"/>
      <c r="CD12" s="1"/>
      <c r="CE12" s="1"/>
      <c r="CF12" s="1"/>
      <c r="CG12" s="1"/>
      <c r="CH12" s="1"/>
      <c r="CI12" s="1"/>
    </row>
    <row r="13" customFormat="false" ht="15.75" hidden="false" customHeight="false" outlineLevel="0" collapsed="false">
      <c r="A13" s="1"/>
      <c r="B13" s="1" t="n">
        <v>1123469</v>
      </c>
      <c r="C13" s="25" t="n">
        <v>42312</v>
      </c>
      <c r="D13" s="1" t="n">
        <v>9</v>
      </c>
      <c r="E13" s="1" t="s">
        <v>328</v>
      </c>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27" t="b">
        <f aca="false">TRUE()</f>
        <v>1</v>
      </c>
      <c r="AN13" s="27" t="b">
        <f aca="false">TRUE()</f>
        <v>1</v>
      </c>
      <c r="AO13" s="1" t="s">
        <v>96</v>
      </c>
      <c r="AP13" s="1" t="s">
        <v>160</v>
      </c>
      <c r="AQ13" s="1" t="s">
        <v>96</v>
      </c>
      <c r="AR13" s="1" t="s">
        <v>160</v>
      </c>
      <c r="AS13" s="1"/>
      <c r="AT13" s="1"/>
      <c r="AU13" s="1"/>
      <c r="AV13" s="1"/>
      <c r="AW13" s="1"/>
      <c r="AX13" s="1"/>
      <c r="AY13" s="1"/>
      <c r="AZ13" s="1"/>
      <c r="BA13" s="1"/>
      <c r="BB13" s="1"/>
      <c r="BC13" s="1"/>
      <c r="BD13" s="1"/>
      <c r="BE13" s="1"/>
      <c r="BF13" s="1"/>
      <c r="BG13" s="1"/>
      <c r="BH13" s="1"/>
      <c r="BI13" s="1"/>
      <c r="BJ13" s="1"/>
      <c r="BK13" s="1"/>
      <c r="BL13" s="1"/>
      <c r="BM13" s="1"/>
      <c r="BN13" s="1"/>
      <c r="BO13" s="1"/>
      <c r="BP13" s="1"/>
      <c r="BQ13" s="1" t="s">
        <v>119</v>
      </c>
      <c r="BR13" s="1" t="s">
        <v>103</v>
      </c>
      <c r="BS13" s="1"/>
      <c r="BT13" s="27" t="b">
        <f aca="false">TRUE()</f>
        <v>1</v>
      </c>
      <c r="BU13" s="1" t="s">
        <v>153</v>
      </c>
      <c r="BV13" s="27" t="b">
        <f aca="false">TRUE()</f>
        <v>1</v>
      </c>
      <c r="BW13" s="1"/>
      <c r="BX13" s="1"/>
      <c r="BY13" s="1"/>
      <c r="BZ13" s="1"/>
      <c r="CA13" s="1"/>
      <c r="CB13" s="1"/>
      <c r="CC13" s="1"/>
      <c r="CD13" s="1"/>
      <c r="CE13" s="1"/>
      <c r="CF13" s="1"/>
      <c r="CG13" s="1"/>
      <c r="CH13" s="1"/>
      <c r="CI13" s="1"/>
    </row>
    <row r="14" customFormat="false" ht="221.25" hidden="false" customHeight="true" outlineLevel="0" collapsed="false">
      <c r="A14" s="1"/>
      <c r="B14" s="1" t="n">
        <v>1123469</v>
      </c>
      <c r="C14" s="25" t="n">
        <v>42383</v>
      </c>
      <c r="D14" s="1" t="n">
        <v>12</v>
      </c>
      <c r="E14" s="26" t="s">
        <v>329</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t="s">
        <v>119</v>
      </c>
      <c r="BR14" s="1"/>
      <c r="BS14" s="1"/>
      <c r="BT14" s="27" t="b">
        <f aca="false">TRUE()</f>
        <v>1</v>
      </c>
      <c r="BU14" s="1" t="s">
        <v>153</v>
      </c>
      <c r="BV14" s="27" t="b">
        <f aca="false">TRUE()</f>
        <v>1</v>
      </c>
      <c r="BW14" s="1"/>
      <c r="BX14" s="1"/>
      <c r="BY14" s="1"/>
      <c r="BZ14" s="1"/>
      <c r="CA14" s="1"/>
      <c r="CB14" s="1"/>
      <c r="CC14" s="1"/>
      <c r="CD14" s="1"/>
      <c r="CE14" s="1"/>
      <c r="CF14" s="1"/>
      <c r="CG14" s="1"/>
      <c r="CH14" s="1"/>
      <c r="CI14" s="1"/>
    </row>
    <row r="15" customFormat="false" ht="186.75" hidden="false" customHeight="false" outlineLevel="0" collapsed="false">
      <c r="A15" s="1"/>
      <c r="B15" s="1" t="n">
        <v>1123469</v>
      </c>
      <c r="C15" s="25" t="n">
        <v>42411</v>
      </c>
      <c r="D15" s="1" t="n">
        <v>13</v>
      </c>
      <c r="E15" s="26" t="s">
        <v>330</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27" t="b">
        <f aca="false">TRUE()</f>
        <v>1</v>
      </c>
      <c r="AN15" s="27" t="b">
        <f aca="false">TRUE()</f>
        <v>1</v>
      </c>
      <c r="AO15" s="1" t="s">
        <v>107</v>
      </c>
      <c r="AP15" s="1" t="s">
        <v>164</v>
      </c>
      <c r="AQ15" s="1" t="s">
        <v>107</v>
      </c>
      <c r="AR15" s="1" t="s">
        <v>164</v>
      </c>
      <c r="AS15" s="1"/>
      <c r="AT15" s="1"/>
      <c r="AU15" s="1"/>
      <c r="AV15" s="1"/>
      <c r="AW15" s="1"/>
      <c r="AX15" s="1"/>
      <c r="AY15" s="1"/>
      <c r="AZ15" s="1"/>
      <c r="BA15" s="1"/>
      <c r="BB15" s="1"/>
      <c r="BC15" s="1"/>
      <c r="BD15" s="1"/>
      <c r="BE15" s="1"/>
      <c r="BF15" s="1"/>
      <c r="BG15" s="1"/>
      <c r="BH15" s="1"/>
      <c r="BI15" s="1"/>
      <c r="BJ15" s="1"/>
      <c r="BK15" s="1"/>
      <c r="BL15" s="1"/>
      <c r="BM15" s="1"/>
      <c r="BN15" s="1"/>
      <c r="BO15" s="1"/>
      <c r="BP15" s="1"/>
      <c r="BQ15" s="1" t="s">
        <v>119</v>
      </c>
      <c r="BR15" s="1"/>
      <c r="BS15" s="1"/>
      <c r="BT15" s="1"/>
      <c r="BU15" s="1"/>
      <c r="BV15" s="1"/>
      <c r="BW15" s="1"/>
      <c r="BX15" s="1"/>
      <c r="BY15" s="1"/>
      <c r="BZ15" s="1"/>
      <c r="CA15" s="1"/>
      <c r="CB15" s="1"/>
      <c r="CC15" s="1"/>
      <c r="CD15" s="1"/>
      <c r="CE15" s="1"/>
      <c r="CF15" s="1"/>
      <c r="CG15" s="1"/>
      <c r="CH15" s="1"/>
      <c r="CI15" s="1"/>
    </row>
    <row r="16" customFormat="false" ht="15.75" hidden="false" customHeight="false" outlineLevel="0" collapsed="false">
      <c r="A16" s="1"/>
      <c r="B16" s="1" t="n">
        <v>1123469</v>
      </c>
      <c r="C16" s="25" t="n">
        <v>42482</v>
      </c>
      <c r="D16" s="1" t="n">
        <v>15</v>
      </c>
      <c r="E16" s="1" t="s">
        <v>331</v>
      </c>
      <c r="F16" s="1"/>
      <c r="G16" s="1"/>
      <c r="H16" s="1"/>
      <c r="I16" s="1"/>
      <c r="J16" s="1"/>
      <c r="K16" s="1"/>
      <c r="L16" s="1"/>
      <c r="M16" s="1"/>
      <c r="N16" s="1"/>
      <c r="O16" s="27" t="b">
        <f aca="false">TRUE()</f>
        <v>1</v>
      </c>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t="s">
        <v>105</v>
      </c>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31" t="b">
        <f aca="false">TRUE()</f>
        <v>1</v>
      </c>
      <c r="CB16" s="1"/>
      <c r="CC16" s="1"/>
      <c r="CD16" s="27" t="b">
        <f aca="false">TRUE()</f>
        <v>1</v>
      </c>
      <c r="CE16" s="1"/>
      <c r="CF16" s="1"/>
      <c r="CG16" s="1"/>
      <c r="CH16" s="1"/>
      <c r="CI16" s="1"/>
    </row>
    <row r="17" customFormat="false" ht="15.75" hidden="false" customHeight="false" outlineLevel="0" collapsed="false">
      <c r="A17" s="1"/>
      <c r="B17" s="1" t="n">
        <v>1123469</v>
      </c>
      <c r="C17" s="25" t="n">
        <v>42544</v>
      </c>
      <c r="D17" s="1" t="n">
        <v>17</v>
      </c>
      <c r="E17" s="1" t="s">
        <v>332</v>
      </c>
      <c r="F17" s="1"/>
      <c r="G17" s="1"/>
      <c r="H17" s="1"/>
      <c r="I17" s="1"/>
      <c r="J17" s="1"/>
      <c r="K17" s="1"/>
      <c r="L17" s="1"/>
      <c r="M17" s="1"/>
      <c r="N17" s="1"/>
      <c r="O17" s="27" t="b">
        <f aca="false">TRUE()</f>
        <v>1</v>
      </c>
      <c r="P17" s="1"/>
      <c r="Q17" s="1"/>
      <c r="R17" s="1"/>
      <c r="S17" s="1"/>
      <c r="T17" s="1"/>
      <c r="U17" s="1"/>
      <c r="V17" s="1"/>
      <c r="W17" s="1"/>
      <c r="X17" s="1"/>
      <c r="Y17" s="1"/>
      <c r="Z17" s="1"/>
      <c r="AA17" s="1"/>
      <c r="AB17" s="1"/>
      <c r="AC17" s="1"/>
      <c r="AD17" s="1"/>
      <c r="AE17" s="1"/>
      <c r="AF17" s="1"/>
      <c r="AG17" s="1"/>
      <c r="AH17" s="1"/>
      <c r="AI17" s="1"/>
      <c r="AJ17" s="1"/>
      <c r="AK17" s="1"/>
      <c r="AL17" s="1"/>
      <c r="AM17" s="27" t="b">
        <f aca="false">FALSE()</f>
        <v>0</v>
      </c>
      <c r="AN17" s="27" t="b">
        <f aca="false">FALSE()</f>
        <v>0</v>
      </c>
      <c r="AO17" s="1"/>
      <c r="AP17" s="1"/>
      <c r="AQ17" s="1"/>
      <c r="AR17" s="1"/>
      <c r="AS17" s="1" t="s">
        <v>105</v>
      </c>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31" t="b">
        <f aca="false">TRUE()</f>
        <v>1</v>
      </c>
      <c r="BT17" s="1"/>
      <c r="BU17" s="1"/>
      <c r="BV17" s="1"/>
      <c r="BW17" s="1"/>
      <c r="BX17" s="1"/>
      <c r="BY17" s="1"/>
      <c r="BZ17" s="1"/>
      <c r="CA17" s="1"/>
      <c r="CB17" s="1"/>
      <c r="CC17" s="1"/>
      <c r="CD17" s="27" t="b">
        <f aca="false">TRUE()</f>
        <v>1</v>
      </c>
      <c r="CE17" s="1"/>
      <c r="CF17" s="1"/>
      <c r="CG17" s="1"/>
      <c r="CH17" s="1"/>
      <c r="CI17" s="1"/>
    </row>
    <row r="18" customFormat="false" ht="15.75" hidden="false" customHeight="false" outlineLevel="0" collapsed="false">
      <c r="A18" s="1"/>
      <c r="B18" s="1" t="n">
        <v>1123469</v>
      </c>
      <c r="C18" s="25" t="n">
        <v>42572</v>
      </c>
      <c r="D18" s="1" t="n">
        <v>18</v>
      </c>
      <c r="E18" s="1" t="s">
        <v>333</v>
      </c>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t="b">
        <f aca="false">TRUE()</f>
        <v>1</v>
      </c>
      <c r="BU18" s="1" t="s">
        <v>153</v>
      </c>
      <c r="BV18" s="27" t="b">
        <f aca="false">TRUE()</f>
        <v>1</v>
      </c>
      <c r="BW18" s="1"/>
      <c r="BX18" s="1"/>
      <c r="BY18" s="1"/>
      <c r="BZ18" s="1"/>
      <c r="CA18" s="1"/>
      <c r="CB18" s="1"/>
      <c r="CC18" s="1"/>
      <c r="CD18" s="1"/>
      <c r="CE18" s="1"/>
      <c r="CF18" s="1"/>
      <c r="CG18" s="1"/>
      <c r="CH18" s="1"/>
      <c r="CI18" s="1"/>
    </row>
    <row r="19" customFormat="false" ht="15.75" hidden="false" customHeight="false" outlineLevel="0" collapsed="false">
      <c r="A19" s="1"/>
      <c r="B19" s="1" t="n">
        <v>1123469</v>
      </c>
      <c r="C19" s="25" t="n">
        <v>42573</v>
      </c>
      <c r="D19" s="1" t="n">
        <v>18</v>
      </c>
      <c r="E19" s="1" t="s">
        <v>334</v>
      </c>
      <c r="F19" s="1"/>
      <c r="G19" s="1"/>
      <c r="H19" s="1"/>
      <c r="I19" s="1"/>
      <c r="J19" s="1"/>
      <c r="K19" s="1"/>
      <c r="L19" s="1"/>
      <c r="M19" s="1"/>
      <c r="N19" s="1"/>
      <c r="O19" s="27" t="b">
        <f aca="false">TRUE()</f>
        <v>1</v>
      </c>
      <c r="P19" s="1"/>
      <c r="Q19" s="1"/>
      <c r="R19" s="1"/>
      <c r="S19" s="1"/>
      <c r="T19" s="1"/>
      <c r="U19" s="1"/>
      <c r="V19" s="1"/>
      <c r="W19" s="1"/>
      <c r="X19" s="1"/>
      <c r="Y19" s="1"/>
      <c r="Z19" s="1"/>
      <c r="AA19" s="1"/>
      <c r="AB19" s="1"/>
      <c r="AC19" s="1"/>
      <c r="AD19" s="1"/>
      <c r="AE19" s="1"/>
      <c r="AF19" s="1"/>
      <c r="AG19" s="1"/>
      <c r="AH19" s="1"/>
      <c r="AI19" s="1"/>
      <c r="AJ19" s="1"/>
      <c r="AK19" s="27" t="b">
        <f aca="false">TRUE()</f>
        <v>1</v>
      </c>
      <c r="AL19" s="1"/>
      <c r="AM19" s="1"/>
      <c r="AN19" s="1"/>
      <c r="AO19" s="1"/>
      <c r="AP19" s="1"/>
      <c r="AQ19" s="1"/>
      <c r="AR19" s="1"/>
      <c r="AS19" s="1" t="s">
        <v>105</v>
      </c>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31" t="b">
        <f aca="false">TRUE()</f>
        <v>1</v>
      </c>
      <c r="BU19" s="1" t="s">
        <v>153</v>
      </c>
      <c r="BV19" s="27" t="b">
        <f aca="false">TRUE()</f>
        <v>1</v>
      </c>
      <c r="BW19" s="1"/>
      <c r="BX19" s="1"/>
      <c r="BY19" s="1"/>
      <c r="BZ19" s="1"/>
      <c r="CA19" s="1"/>
      <c r="CB19" s="1"/>
      <c r="CC19" s="1"/>
      <c r="CD19" s="1"/>
      <c r="CE19" s="1"/>
      <c r="CF19" s="1"/>
      <c r="CG19" s="1"/>
      <c r="CH19" s="1"/>
      <c r="CI19" s="1"/>
    </row>
    <row r="20" customFormat="false" ht="15.75" hidden="false" customHeight="false" outlineLevel="0" collapsed="false">
      <c r="A20" s="1"/>
      <c r="B20" s="1" t="n">
        <v>1123469</v>
      </c>
      <c r="C20" s="25" t="n">
        <v>42600</v>
      </c>
      <c r="D20" s="1" t="n">
        <v>19</v>
      </c>
      <c r="E20" s="1" t="s">
        <v>335</v>
      </c>
      <c r="F20" s="1"/>
      <c r="G20" s="1"/>
      <c r="H20" s="1"/>
      <c r="I20" s="1"/>
      <c r="J20" s="1"/>
      <c r="K20" s="1"/>
      <c r="L20" s="1"/>
      <c r="M20" s="1"/>
      <c r="N20" s="1"/>
      <c r="O20" s="27" t="b">
        <f aca="false">TRUE()</f>
        <v>1</v>
      </c>
      <c r="P20" s="1"/>
      <c r="Q20" s="1"/>
      <c r="R20" s="1"/>
      <c r="S20" s="1"/>
      <c r="T20" s="1"/>
      <c r="U20" s="1"/>
      <c r="V20" s="1"/>
      <c r="W20" s="1"/>
      <c r="X20" s="1"/>
      <c r="Y20" s="1"/>
      <c r="Z20" s="1"/>
      <c r="AA20" s="1"/>
      <c r="AB20" s="1"/>
      <c r="AC20" s="1"/>
      <c r="AD20" s="1"/>
      <c r="AE20" s="1"/>
      <c r="AF20" s="1"/>
      <c r="AG20" s="1"/>
      <c r="AH20" s="1"/>
      <c r="AI20" s="1"/>
      <c r="AJ20" s="1"/>
      <c r="AK20" s="1"/>
      <c r="AL20" s="1"/>
      <c r="AM20" s="27" t="b">
        <f aca="false">FALSE()</f>
        <v>0</v>
      </c>
      <c r="AN20" s="27" t="b">
        <f aca="false">FALSE()</f>
        <v>0</v>
      </c>
      <c r="AO20" s="1"/>
      <c r="AP20" s="1"/>
      <c r="AQ20" s="1"/>
      <c r="AR20" s="1"/>
      <c r="AS20" s="1" t="s">
        <v>105</v>
      </c>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31" t="b">
        <f aca="false">TRUE()</f>
        <v>1</v>
      </c>
      <c r="BU20" s="1" t="s">
        <v>153</v>
      </c>
      <c r="BV20" s="27" t="b">
        <f aca="false">TRUE()</f>
        <v>1</v>
      </c>
      <c r="BW20" s="1"/>
      <c r="BX20" s="1"/>
      <c r="BY20" s="1"/>
      <c r="BZ20" s="1"/>
      <c r="CA20" s="27" t="b">
        <f aca="false">TRUE()</f>
        <v>1</v>
      </c>
      <c r="CB20" s="1"/>
      <c r="CC20" s="1"/>
      <c r="CD20" s="27" t="b">
        <f aca="false">TRUE()</f>
        <v>1</v>
      </c>
      <c r="CE20" s="1"/>
      <c r="CF20" s="1"/>
      <c r="CG20" s="1"/>
      <c r="CH20" s="1"/>
      <c r="CI20" s="1"/>
    </row>
    <row r="21" customFormat="false" ht="15.75" hidden="false" customHeight="false" outlineLevel="0" collapsed="false">
      <c r="A21" s="1"/>
      <c r="B21" s="1" t="n">
        <v>1123469</v>
      </c>
      <c r="C21" s="25" t="n">
        <v>42628</v>
      </c>
      <c r="D21" s="1" t="n">
        <v>20</v>
      </c>
      <c r="E21" s="1" t="s">
        <v>336</v>
      </c>
      <c r="F21" s="1"/>
      <c r="G21" s="1"/>
      <c r="H21" s="1"/>
      <c r="I21" s="1"/>
      <c r="J21" s="1"/>
      <c r="K21" s="1"/>
      <c r="L21" s="1"/>
      <c r="M21" s="1"/>
      <c r="N21" s="1"/>
      <c r="O21" s="1"/>
      <c r="P21" s="1"/>
      <c r="Q21" s="1"/>
      <c r="R21" s="1"/>
      <c r="S21" s="1"/>
      <c r="T21" s="27" t="b">
        <f aca="false">TRUE()</f>
        <v>1</v>
      </c>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row>
    <row r="22" customFormat="false" ht="15.75" hidden="false" customHeight="false" outlineLevel="0" collapsed="false">
      <c r="A22" s="1"/>
      <c r="B22" s="1" t="n">
        <v>1123469</v>
      </c>
      <c r="C22" s="25" t="n">
        <v>42695</v>
      </c>
      <c r="D22" s="1" t="n">
        <v>22</v>
      </c>
      <c r="E22" s="1" t="s">
        <v>337</v>
      </c>
      <c r="F22" s="1"/>
      <c r="G22" s="1"/>
      <c r="H22" s="1"/>
      <c r="I22" s="1"/>
      <c r="J22" s="1"/>
      <c r="K22" s="1"/>
      <c r="L22" s="1"/>
      <c r="M22" s="1"/>
      <c r="N22" s="1"/>
      <c r="O22" s="27" t="b">
        <f aca="false">TRUE()</f>
        <v>1</v>
      </c>
      <c r="P22" s="1"/>
      <c r="Q22" s="1"/>
      <c r="R22" s="1"/>
      <c r="S22" s="1"/>
      <c r="T22" s="1"/>
      <c r="U22" s="1"/>
      <c r="V22" s="1"/>
      <c r="W22" s="1"/>
      <c r="X22" s="1"/>
      <c r="Y22" s="1"/>
      <c r="Z22" s="1"/>
      <c r="AA22" s="1"/>
      <c r="AB22" s="1"/>
      <c r="AC22" s="1"/>
      <c r="AD22" s="1"/>
      <c r="AE22" s="1"/>
      <c r="AF22" s="1"/>
      <c r="AG22" s="1"/>
      <c r="AH22" s="1"/>
      <c r="AI22" s="1"/>
      <c r="AJ22" s="1"/>
      <c r="AK22" s="27" t="b">
        <f aca="false">TRUE()</f>
        <v>1</v>
      </c>
      <c r="AL22" s="1"/>
      <c r="AM22" s="27" t="b">
        <f aca="false">FALSE()</f>
        <v>0</v>
      </c>
      <c r="AN22" s="27" t="b">
        <f aca="false">FALSE()</f>
        <v>0</v>
      </c>
      <c r="AO22" s="1"/>
      <c r="AP22" s="1"/>
      <c r="AQ22" s="1"/>
      <c r="AR22" s="1"/>
      <c r="AS22" s="1" t="s">
        <v>105</v>
      </c>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31" t="b">
        <f aca="false">TRUE()</f>
        <v>1</v>
      </c>
      <c r="BT22" s="1"/>
      <c r="BU22" s="1"/>
      <c r="BV22" s="1"/>
      <c r="BW22" s="1"/>
      <c r="BX22" s="1"/>
      <c r="BY22" s="1"/>
      <c r="BZ22" s="1"/>
      <c r="CA22" s="1"/>
      <c r="CB22" s="1"/>
      <c r="CC22" s="1"/>
      <c r="CD22" s="1"/>
      <c r="CE22" s="1"/>
      <c r="CF22" s="1"/>
      <c r="CG22" s="1"/>
      <c r="CH22" s="1"/>
      <c r="CI22" s="1"/>
    </row>
    <row r="23" customFormat="false" ht="15.75" hidden="false" customHeight="false" outlineLevel="0" collapsed="false">
      <c r="A23" s="1"/>
      <c r="B23" s="1" t="n">
        <v>1123469</v>
      </c>
      <c r="C23" s="25" t="n">
        <v>42747</v>
      </c>
      <c r="D23" s="1" t="n">
        <v>24</v>
      </c>
      <c r="E23" s="1" t="s">
        <v>338</v>
      </c>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27" t="b">
        <f aca="false">TRUE()</f>
        <v>1</v>
      </c>
      <c r="AN23" s="27" t="b">
        <f aca="false">TRUE()</f>
        <v>1</v>
      </c>
      <c r="AO23" s="1" t="s">
        <v>96</v>
      </c>
      <c r="AP23" s="1"/>
      <c r="AQ23" s="1" t="s">
        <v>96</v>
      </c>
      <c r="AR23" s="1"/>
      <c r="AS23" s="1"/>
      <c r="AT23" s="1"/>
      <c r="AU23" s="1"/>
      <c r="AV23" s="1"/>
      <c r="AW23" s="1"/>
      <c r="AX23" s="1"/>
      <c r="AY23" s="1"/>
      <c r="AZ23" s="1"/>
      <c r="BA23" s="1"/>
      <c r="BB23" s="1"/>
      <c r="BC23" s="1"/>
      <c r="BD23" s="1"/>
      <c r="BE23" s="27" t="b">
        <f aca="false">FALSE()</f>
        <v>0</v>
      </c>
      <c r="BF23" s="27" t="b">
        <f aca="false">FALSE()</f>
        <v>0</v>
      </c>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15.75" hidden="false" customHeight="false" outlineLevel="0" collapsed="false">
      <c r="A24" s="1"/>
      <c r="B24" s="1" t="n">
        <v>1123469</v>
      </c>
      <c r="C24" s="25" t="n">
        <v>42789</v>
      </c>
      <c r="D24" s="1" t="n">
        <v>25</v>
      </c>
      <c r="E24" s="1" t="s">
        <v>339</v>
      </c>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27" t="b">
        <f aca="false">TRUE()</f>
        <v>1</v>
      </c>
      <c r="AN24" s="27" t="b">
        <f aca="false">TRUE()</f>
        <v>1</v>
      </c>
      <c r="AO24" s="1" t="s">
        <v>107</v>
      </c>
      <c r="AP24" s="1" t="s">
        <v>164</v>
      </c>
      <c r="AQ24" s="1" t="s">
        <v>107</v>
      </c>
      <c r="AR24" s="1" t="s">
        <v>164</v>
      </c>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31" t="b">
        <f aca="false">TRUE()</f>
        <v>1</v>
      </c>
      <c r="BZ24" s="27" t="b">
        <f aca="false">TRUE()</f>
        <v>1</v>
      </c>
      <c r="CA24" s="1"/>
      <c r="CB24" s="1"/>
      <c r="CC24" s="1"/>
      <c r="CD24" s="1"/>
      <c r="CE24" s="1"/>
      <c r="CF24" s="1"/>
      <c r="CG24" s="1"/>
      <c r="CH24" s="1"/>
      <c r="CI24" s="1"/>
    </row>
    <row r="25" customFormat="false" ht="15.75" hidden="false" customHeight="false" outlineLevel="0" collapsed="false">
      <c r="A25" s="1"/>
      <c r="B25" s="1" t="n">
        <v>1123469</v>
      </c>
      <c r="C25" s="25" t="n">
        <v>42817</v>
      </c>
      <c r="D25" s="1" t="n">
        <v>26</v>
      </c>
      <c r="E25" s="1" t="s">
        <v>340</v>
      </c>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t="s">
        <v>150</v>
      </c>
      <c r="AU25" s="1"/>
      <c r="AV25" s="1" t="s">
        <v>133</v>
      </c>
      <c r="AW25" s="1"/>
      <c r="AX25" s="27" t="b">
        <f aca="false">TRUE()</f>
        <v>1</v>
      </c>
      <c r="AY25" s="27" t="b">
        <f aca="false">TRUE()</f>
        <v>1</v>
      </c>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31" t="b">
        <f aca="false">TRUE()</f>
        <v>1</v>
      </c>
      <c r="BZ25" s="1"/>
      <c r="CA25" s="1"/>
      <c r="CB25" s="1"/>
      <c r="CC25" s="1"/>
      <c r="CD25" s="1"/>
      <c r="CE25" s="1"/>
      <c r="CF25" s="1"/>
      <c r="CG25" s="1"/>
      <c r="CH25" s="1"/>
      <c r="CI25" s="1"/>
    </row>
    <row r="26" customFormat="false" ht="15.75" hidden="false" customHeight="false" outlineLevel="0" collapsed="false">
      <c r="A26" s="1"/>
      <c r="B26" s="1" t="n">
        <v>1123469</v>
      </c>
      <c r="C26" s="25" t="n">
        <v>42845</v>
      </c>
      <c r="D26" s="1" t="n">
        <v>27</v>
      </c>
      <c r="E26" s="1" t="s">
        <v>341</v>
      </c>
      <c r="F26" s="1"/>
      <c r="G26" s="27" t="b">
        <f aca="false">TRUE()</f>
        <v>1</v>
      </c>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27" t="b">
        <f aca="false">TRUE()</f>
        <v>1</v>
      </c>
      <c r="AN26" s="27" t="b">
        <f aca="false">FALSE()</f>
        <v>0</v>
      </c>
      <c r="AO26" s="1"/>
      <c r="AP26" s="1" t="s">
        <v>152</v>
      </c>
      <c r="AQ26" s="1" t="s">
        <v>107</v>
      </c>
      <c r="AR26" s="1" t="s">
        <v>164</v>
      </c>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31" t="b">
        <f aca="false">TRUE()</f>
        <v>1</v>
      </c>
      <c r="BT26" s="1"/>
      <c r="BU26" s="1"/>
      <c r="BV26" s="1"/>
      <c r="BW26" s="1"/>
      <c r="BX26" s="1"/>
      <c r="BY26" s="1"/>
      <c r="BZ26" s="1"/>
      <c r="CA26" s="1"/>
      <c r="CB26" s="1"/>
      <c r="CC26" s="1"/>
      <c r="CD26" s="1"/>
      <c r="CE26" s="1"/>
      <c r="CF26" s="1"/>
      <c r="CG26" s="1"/>
      <c r="CH26" s="1"/>
      <c r="CI26" s="1"/>
    </row>
    <row r="27" customFormat="false" ht="15.75" hidden="false" customHeight="false" outlineLevel="0" collapsed="false">
      <c r="A27" s="1"/>
      <c r="B27" s="1" t="n">
        <v>1123469</v>
      </c>
      <c r="C27" s="25" t="n">
        <v>42866</v>
      </c>
      <c r="D27" s="1" t="n">
        <v>28</v>
      </c>
      <c r="E27" s="1" t="s">
        <v>342</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27" t="b">
        <f aca="false">TRUE()</f>
        <v>1</v>
      </c>
      <c r="AN27" s="27" t="b">
        <f aca="false">FALSE()</f>
        <v>0</v>
      </c>
      <c r="AO27" s="1"/>
      <c r="AP27" s="1" t="s">
        <v>164</v>
      </c>
      <c r="AQ27" s="1"/>
      <c r="AR27" s="1" t="s">
        <v>164</v>
      </c>
      <c r="AS27" s="1"/>
      <c r="AT27" s="1" t="s">
        <v>133</v>
      </c>
      <c r="AU27" s="1"/>
      <c r="AV27" s="1" t="s">
        <v>133</v>
      </c>
      <c r="AW27" s="1"/>
      <c r="AX27" s="27" t="b">
        <f aca="false">TRUE()</f>
        <v>1</v>
      </c>
      <c r="AY27" s="27" t="b">
        <f aca="false">FALSE()</f>
        <v>0</v>
      </c>
      <c r="AZ27" s="1"/>
      <c r="BA27" s="1"/>
      <c r="BB27" s="1"/>
      <c r="BC27" s="1"/>
      <c r="BD27" s="1"/>
      <c r="BE27" s="27" t="b">
        <f aca="false">TRUE()</f>
        <v>1</v>
      </c>
      <c r="BF27" s="1"/>
      <c r="BG27" s="1"/>
      <c r="BH27" s="1"/>
      <c r="BI27" s="1"/>
      <c r="BJ27" s="1"/>
      <c r="BK27" s="1"/>
      <c r="BL27" s="1"/>
      <c r="BM27" s="1"/>
      <c r="BN27" s="1"/>
      <c r="BO27" s="1"/>
      <c r="BP27" s="1"/>
      <c r="BQ27" s="1"/>
      <c r="BR27" s="1"/>
      <c r="BS27" s="1"/>
      <c r="BT27" s="31" t="b">
        <f aca="false">TRUE()</f>
        <v>1</v>
      </c>
      <c r="BU27" s="1" t="s">
        <v>153</v>
      </c>
      <c r="BV27" s="27" t="b">
        <f aca="false">TRUE()</f>
        <v>1</v>
      </c>
      <c r="BW27" s="1"/>
      <c r="BX27" s="1"/>
      <c r="BY27" s="1"/>
      <c r="BZ27" s="1"/>
      <c r="CA27" s="1"/>
      <c r="CB27" s="1"/>
      <c r="CC27" s="1"/>
      <c r="CD27" s="1"/>
      <c r="CE27" s="1"/>
      <c r="CF27" s="1"/>
      <c r="CG27" s="1"/>
      <c r="CH27" s="1"/>
      <c r="CI27" s="1"/>
    </row>
    <row r="28" customFormat="false" ht="164.25" hidden="false" customHeight="true" outlineLevel="0" collapsed="false">
      <c r="A28" s="1"/>
      <c r="B28" s="1" t="n">
        <v>1123469</v>
      </c>
      <c r="C28" s="25" t="n">
        <v>42908</v>
      </c>
      <c r="D28" s="1" t="n">
        <v>29</v>
      </c>
      <c r="E28" s="26" t="s">
        <v>343</v>
      </c>
      <c r="F28" s="1"/>
      <c r="G28" s="1"/>
      <c r="H28" s="27" t="b">
        <f aca="false">TRUE()</f>
        <v>1</v>
      </c>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t="b">
        <f aca="false">TRUE()</f>
        <v>1</v>
      </c>
      <c r="BT28" s="1"/>
      <c r="BU28" s="1"/>
      <c r="BV28" s="1"/>
      <c r="BW28" s="1"/>
      <c r="BX28" s="1"/>
      <c r="BY28" s="27" t="b">
        <f aca="false">TRUE()</f>
        <v>1</v>
      </c>
      <c r="BZ28" s="27" t="b">
        <f aca="false">TRUE()</f>
        <v>1</v>
      </c>
      <c r="CA28" s="1"/>
      <c r="CB28" s="1"/>
      <c r="CC28" s="1"/>
      <c r="CD28" s="1"/>
      <c r="CE28" s="1"/>
      <c r="CF28" s="1"/>
      <c r="CG28" s="1"/>
      <c r="CH28" s="1"/>
      <c r="CI28" s="1"/>
    </row>
    <row r="29" customFormat="false" ht="29.25" hidden="false" customHeight="true" outlineLevel="0" collapsed="false">
      <c r="A29" s="1"/>
      <c r="B29" s="1" t="n">
        <v>1123469</v>
      </c>
      <c r="C29" s="25" t="n">
        <v>42992</v>
      </c>
      <c r="D29" s="1" t="n">
        <v>32</v>
      </c>
      <c r="E29" s="26" t="s">
        <v>344</v>
      </c>
      <c r="F29" s="1"/>
      <c r="G29" s="1"/>
      <c r="H29" s="1"/>
      <c r="I29" s="1"/>
      <c r="J29" s="1"/>
      <c r="K29" s="1"/>
      <c r="L29" s="1"/>
      <c r="M29" s="1"/>
      <c r="N29" s="1"/>
      <c r="O29" s="1"/>
      <c r="P29" s="1"/>
      <c r="Q29" s="1"/>
      <c r="R29" s="1"/>
      <c r="S29" s="1"/>
      <c r="T29" s="1"/>
      <c r="U29" s="1"/>
      <c r="V29" s="1"/>
      <c r="W29" s="1"/>
      <c r="X29" s="1"/>
      <c r="Y29" s="1"/>
      <c r="Z29" s="1" t="s">
        <v>87</v>
      </c>
      <c r="AA29" s="1" t="s">
        <v>87</v>
      </c>
      <c r="AB29" s="1" t="s">
        <v>87</v>
      </c>
      <c r="AC29" s="1" t="s">
        <v>87</v>
      </c>
      <c r="AD29" s="1"/>
      <c r="AE29" s="1"/>
      <c r="AF29" s="1"/>
      <c r="AG29" s="1"/>
      <c r="AH29" s="1"/>
      <c r="AI29" s="1"/>
      <c r="AJ29" s="1"/>
      <c r="AK29" s="1"/>
      <c r="AL29" s="1"/>
      <c r="AM29" s="27" t="b">
        <f aca="false">TRUE()</f>
        <v>1</v>
      </c>
      <c r="AN29" s="27" t="b">
        <f aca="false">TRUE()</f>
        <v>1</v>
      </c>
      <c r="AO29" s="1" t="s">
        <v>107</v>
      </c>
      <c r="AP29" s="30" t="s">
        <v>345</v>
      </c>
      <c r="AQ29" s="1" t="s">
        <v>107</v>
      </c>
      <c r="AR29" s="30" t="s">
        <v>345</v>
      </c>
      <c r="AS29" s="1"/>
      <c r="AT29" s="1"/>
      <c r="AU29" s="1"/>
      <c r="AV29" s="1"/>
      <c r="AW29" s="1"/>
      <c r="AX29" s="27" t="b">
        <f aca="false">FALSE()</f>
        <v>0</v>
      </c>
      <c r="AY29" s="27" t="b">
        <f aca="false">FALSE()</f>
        <v>0</v>
      </c>
      <c r="AZ29" s="27" t="b">
        <f aca="false">FALSE()</f>
        <v>0</v>
      </c>
      <c r="BA29" s="27" t="b">
        <f aca="false">FALSE()</f>
        <v>0</v>
      </c>
      <c r="BB29" s="1"/>
      <c r="BC29" s="1"/>
      <c r="BD29" s="1"/>
      <c r="BE29" s="27" t="b">
        <f aca="false">FALSE()</f>
        <v>0</v>
      </c>
      <c r="BF29" s="1"/>
      <c r="BG29" s="1"/>
      <c r="BH29" s="1"/>
      <c r="BI29" s="1"/>
      <c r="BJ29" s="1"/>
      <c r="BK29" s="1"/>
      <c r="BL29" s="1"/>
      <c r="BM29" s="1"/>
      <c r="BN29" s="1"/>
      <c r="BO29" s="1"/>
      <c r="BP29" s="1"/>
      <c r="BQ29" s="1" t="s">
        <v>103</v>
      </c>
      <c r="BR29" s="1" t="s">
        <v>103</v>
      </c>
      <c r="BS29" s="1"/>
      <c r="BT29" s="1"/>
      <c r="BU29" s="1"/>
      <c r="BV29" s="1"/>
      <c r="BW29" s="1"/>
      <c r="BX29" s="1"/>
      <c r="BY29" s="27" t="b">
        <f aca="false">TRUE()</f>
        <v>1</v>
      </c>
      <c r="BZ29" s="1"/>
      <c r="CA29" s="1"/>
      <c r="CB29" s="1"/>
      <c r="CC29" s="1"/>
      <c r="CD29" s="1"/>
      <c r="CE29" s="1"/>
      <c r="CF29" s="1"/>
      <c r="CG29" s="1"/>
      <c r="CH29" s="1"/>
      <c r="CI29" s="1"/>
    </row>
    <row r="30" customFormat="false" ht="24" hidden="false" customHeight="true" outlineLevel="0" collapsed="false">
      <c r="A30" s="1"/>
      <c r="B30" s="1" t="n">
        <v>1123469</v>
      </c>
      <c r="C30" s="25" t="n">
        <v>43041</v>
      </c>
      <c r="D30" s="1" t="n">
        <v>34</v>
      </c>
      <c r="E30" s="26" t="s">
        <v>346</v>
      </c>
      <c r="F30" s="1"/>
      <c r="G30" s="1"/>
      <c r="H30" s="1"/>
      <c r="I30" s="1"/>
      <c r="J30" s="1"/>
      <c r="K30" s="1"/>
      <c r="L30" s="1"/>
      <c r="M30" s="1"/>
      <c r="N30" s="1"/>
      <c r="O30" s="1"/>
      <c r="P30" s="1"/>
      <c r="Q30" s="1"/>
      <c r="R30" s="27" t="b">
        <f aca="false">TRUE()</f>
        <v>1</v>
      </c>
      <c r="S30" s="1"/>
      <c r="T30" s="1"/>
      <c r="U30" s="1"/>
      <c r="V30" s="1"/>
      <c r="W30" s="1"/>
      <c r="X30" s="1"/>
      <c r="Y30" s="1"/>
      <c r="Z30" s="1" t="s">
        <v>87</v>
      </c>
      <c r="AA30" s="1" t="s">
        <v>87</v>
      </c>
      <c r="AB30" s="1" t="s">
        <v>87</v>
      </c>
      <c r="AC30" s="1" t="s">
        <v>87</v>
      </c>
      <c r="AD30" s="1"/>
      <c r="AE30" s="1"/>
      <c r="AF30" s="1"/>
      <c r="AG30" s="1"/>
      <c r="AH30" s="1"/>
      <c r="AI30" s="1"/>
      <c r="AJ30" s="1"/>
      <c r="AK30" s="1"/>
      <c r="AL30" s="1"/>
      <c r="AM30" s="27" t="b">
        <f aca="false">FALSE()</f>
        <v>0</v>
      </c>
      <c r="AN30" s="27" t="b">
        <f aca="false">FALSE()</f>
        <v>0</v>
      </c>
      <c r="AO30" s="1" t="s">
        <v>107</v>
      </c>
      <c r="AP30" s="30" t="s">
        <v>345</v>
      </c>
      <c r="AQ30" s="1" t="s">
        <v>107</v>
      </c>
      <c r="AR30" s="30" t="s">
        <v>345</v>
      </c>
      <c r="AS30" s="1"/>
      <c r="AT30" s="1" t="s">
        <v>133</v>
      </c>
      <c r="AU30" s="1"/>
      <c r="AV30" s="1" t="s">
        <v>150</v>
      </c>
      <c r="AW30" s="1"/>
      <c r="AX30" s="27" t="b">
        <f aca="false">TRUE()</f>
        <v>1</v>
      </c>
      <c r="AY30" s="27" t="b">
        <f aca="false">TRUE()</f>
        <v>1</v>
      </c>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31" t="b">
        <f aca="false">TRUE()</f>
        <v>1</v>
      </c>
      <c r="BZ30" s="1"/>
      <c r="CA30" s="1"/>
      <c r="CB30" s="1"/>
      <c r="CC30" s="1"/>
      <c r="CD30" s="1"/>
      <c r="CE30" s="1"/>
      <c r="CF30" s="1"/>
      <c r="CG30" s="1"/>
      <c r="CH30" s="1"/>
      <c r="CI30" s="1"/>
    </row>
    <row r="31" customFormat="false" ht="322.5" hidden="false" customHeight="false" outlineLevel="0" collapsed="false">
      <c r="A31" s="1"/>
      <c r="B31" s="1" t="n">
        <v>1123469</v>
      </c>
      <c r="C31" s="25" t="n">
        <v>43069</v>
      </c>
      <c r="D31" s="1" t="n">
        <v>34</v>
      </c>
      <c r="E31" s="26" t="s">
        <v>347</v>
      </c>
      <c r="F31" s="1"/>
      <c r="G31" s="1"/>
      <c r="H31" s="1"/>
      <c r="I31" s="1"/>
      <c r="J31" s="1"/>
      <c r="K31" s="1"/>
      <c r="L31" s="1"/>
      <c r="M31" s="1"/>
      <c r="N31" s="1"/>
      <c r="O31" s="1"/>
      <c r="P31" s="1"/>
      <c r="Q31" s="1"/>
      <c r="R31" s="1"/>
      <c r="S31" s="1"/>
      <c r="T31" s="1"/>
      <c r="U31" s="1"/>
      <c r="V31" s="1"/>
      <c r="W31" s="1"/>
      <c r="X31" s="1"/>
      <c r="Y31" s="1"/>
      <c r="Z31" s="1" t="s">
        <v>87</v>
      </c>
      <c r="AA31" s="1" t="s">
        <v>87</v>
      </c>
      <c r="AB31" s="1" t="s">
        <v>87</v>
      </c>
      <c r="AC31" s="1" t="s">
        <v>87</v>
      </c>
      <c r="AD31" s="1"/>
      <c r="AE31" s="1"/>
      <c r="AF31" s="1"/>
      <c r="AG31" s="1"/>
      <c r="AH31" s="1"/>
      <c r="AI31" s="1"/>
      <c r="AJ31" s="1"/>
      <c r="AK31" s="1"/>
      <c r="AL31" s="1"/>
      <c r="AM31" s="27" t="b">
        <f aca="false">FALSE()</f>
        <v>0</v>
      </c>
      <c r="AN31" s="27" t="b">
        <f aca="false">FALSE()</f>
        <v>0</v>
      </c>
      <c r="AO31" s="1" t="s">
        <v>107</v>
      </c>
      <c r="AP31" s="30" t="s">
        <v>345</v>
      </c>
      <c r="AQ31" s="1" t="s">
        <v>107</v>
      </c>
      <c r="AR31" s="30" t="s">
        <v>345</v>
      </c>
      <c r="AS31" s="1"/>
      <c r="AT31" s="1" t="s">
        <v>133</v>
      </c>
      <c r="AU31" s="1" t="s">
        <v>206</v>
      </c>
      <c r="AV31" s="1" t="s">
        <v>133</v>
      </c>
      <c r="AW31" s="1" t="s">
        <v>206</v>
      </c>
      <c r="AX31" s="27" t="b">
        <f aca="false">TRUE()</f>
        <v>1</v>
      </c>
      <c r="AY31" s="27" t="b">
        <f aca="false">FALSE()</f>
        <v>0</v>
      </c>
      <c r="AZ31" s="1"/>
      <c r="BA31" s="1"/>
      <c r="BB31" s="1"/>
      <c r="BC31" s="1"/>
      <c r="BD31" s="1"/>
      <c r="BE31" s="1"/>
      <c r="BF31" s="1"/>
      <c r="BG31" s="1"/>
      <c r="BH31" s="1"/>
      <c r="BI31" s="1"/>
      <c r="BJ31" s="1"/>
      <c r="BK31" s="1"/>
      <c r="BL31" s="1"/>
      <c r="BM31" s="1"/>
      <c r="BN31" s="1"/>
      <c r="BO31" s="1"/>
      <c r="BP31" s="1"/>
      <c r="BQ31" s="1" t="s">
        <v>103</v>
      </c>
      <c r="BR31" s="1" t="s">
        <v>103</v>
      </c>
      <c r="BS31" s="1"/>
      <c r="BT31" s="1"/>
      <c r="BU31" s="1"/>
      <c r="BV31" s="1"/>
      <c r="BW31" s="1"/>
      <c r="BX31" s="1"/>
      <c r="BY31" s="27" t="b">
        <f aca="false">TRUE()</f>
        <v>1</v>
      </c>
      <c r="BZ31" s="1"/>
      <c r="CA31" s="1"/>
      <c r="CB31" s="1"/>
      <c r="CC31" s="1"/>
      <c r="CD31" s="1"/>
      <c r="CE31" s="1"/>
      <c r="CF31" s="1"/>
      <c r="CG31" s="1"/>
      <c r="CH31" s="1"/>
      <c r="CI31" s="1"/>
    </row>
    <row r="32" customFormat="false" ht="306" hidden="false" customHeight="false" outlineLevel="0" collapsed="false">
      <c r="A32" s="1"/>
      <c r="B32" s="1" t="n">
        <v>1123469</v>
      </c>
      <c r="C32" s="25" t="n">
        <v>43089</v>
      </c>
      <c r="D32" s="1" t="n">
        <v>35</v>
      </c>
      <c r="E32" s="26" t="s">
        <v>348</v>
      </c>
      <c r="F32" s="1"/>
      <c r="G32" s="1"/>
      <c r="H32" s="1"/>
      <c r="I32" s="1"/>
      <c r="J32" s="1"/>
      <c r="K32" s="1"/>
      <c r="L32" s="1"/>
      <c r="M32" s="1"/>
      <c r="N32" s="1"/>
      <c r="O32" s="1"/>
      <c r="P32" s="1"/>
      <c r="Q32" s="27" t="b">
        <f aca="false">TRUE()</f>
        <v>1</v>
      </c>
      <c r="R32" s="1"/>
      <c r="S32" s="1"/>
      <c r="T32" s="1"/>
      <c r="U32" s="1"/>
      <c r="V32" s="1"/>
      <c r="W32" s="1"/>
      <c r="X32" s="1"/>
      <c r="Y32" s="1"/>
      <c r="Z32" s="1"/>
      <c r="AA32" s="1"/>
      <c r="AB32" s="1"/>
      <c r="AC32" s="1"/>
      <c r="AD32" s="1"/>
      <c r="AE32" s="1"/>
      <c r="AF32" s="1"/>
      <c r="AG32" s="1"/>
      <c r="AH32" s="1"/>
      <c r="AI32" s="1"/>
      <c r="AJ32" s="1"/>
      <c r="AK32" s="1"/>
      <c r="AL32" s="1"/>
      <c r="AM32" s="27" t="b">
        <f aca="false">FALSE()</f>
        <v>0</v>
      </c>
      <c r="AN32" s="27" t="b">
        <f aca="false">FALSE()</f>
        <v>0</v>
      </c>
      <c r="AO32" s="1" t="s">
        <v>107</v>
      </c>
      <c r="AP32" s="30" t="s">
        <v>345</v>
      </c>
      <c r="AQ32" s="1" t="s">
        <v>107</v>
      </c>
      <c r="AR32" s="30" t="s">
        <v>345</v>
      </c>
      <c r="AS32" s="1"/>
      <c r="AT32" s="1" t="s">
        <v>133</v>
      </c>
      <c r="AU32" s="1" t="s">
        <v>206</v>
      </c>
      <c r="AV32" s="1" t="s">
        <v>133</v>
      </c>
      <c r="AW32" s="1" t="s">
        <v>206</v>
      </c>
      <c r="AX32" s="27" t="b">
        <f aca="false">TRUE()</f>
        <v>1</v>
      </c>
      <c r="AY32" s="1"/>
      <c r="AZ32" s="1"/>
      <c r="BA32" s="1"/>
      <c r="BB32" s="1"/>
      <c r="BC32" s="1"/>
      <c r="BD32" s="1"/>
      <c r="BE32" s="1"/>
      <c r="BF32" s="1"/>
      <c r="BG32" s="1"/>
      <c r="BH32" s="1"/>
      <c r="BI32" s="1"/>
      <c r="BJ32" s="1"/>
      <c r="BK32" s="1"/>
      <c r="BL32" s="1"/>
      <c r="BM32" s="1"/>
      <c r="BN32" s="1"/>
      <c r="BO32" s="1"/>
      <c r="BP32" s="1"/>
      <c r="BQ32" s="1"/>
      <c r="BR32" s="1"/>
      <c r="BS32" s="31" t="b">
        <f aca="false">TRUE()</f>
        <v>1</v>
      </c>
      <c r="BT32" s="1"/>
      <c r="BU32" s="1"/>
      <c r="BV32" s="1"/>
      <c r="BW32" s="1"/>
      <c r="BX32" s="1"/>
      <c r="BY32" s="27" t="b">
        <f aca="false">TRUE()</f>
        <v>1</v>
      </c>
      <c r="BZ32" s="1"/>
      <c r="CA32" s="1"/>
      <c r="CB32" s="1"/>
      <c r="CC32" s="1"/>
      <c r="CD32" s="1"/>
      <c r="CE32" s="1"/>
      <c r="CF32" s="1"/>
      <c r="CG32" s="1"/>
      <c r="CH32" s="1"/>
      <c r="CI32" s="1"/>
    </row>
    <row r="33" customFormat="false" ht="185.25" hidden="false" customHeight="true" outlineLevel="0" collapsed="false">
      <c r="A33" s="1"/>
      <c r="B33" s="1" t="n">
        <v>1123469</v>
      </c>
      <c r="C33" s="25" t="n">
        <v>43111</v>
      </c>
      <c r="D33" s="1" t="n">
        <v>36</v>
      </c>
      <c r="E33" s="26" t="s">
        <v>349</v>
      </c>
      <c r="F33" s="1"/>
      <c r="G33" s="1"/>
      <c r="H33" s="1"/>
      <c r="I33" s="1"/>
      <c r="J33" s="1"/>
      <c r="K33" s="1"/>
      <c r="L33" s="1"/>
      <c r="M33" s="1"/>
      <c r="N33" s="1"/>
      <c r="O33" s="1"/>
      <c r="P33" s="1"/>
      <c r="Q33" s="1"/>
      <c r="R33" s="27" t="b">
        <f aca="false">TRUE()</f>
        <v>1</v>
      </c>
      <c r="S33" s="1"/>
      <c r="T33" s="1"/>
      <c r="U33" s="1"/>
      <c r="V33" s="1"/>
      <c r="W33" s="1"/>
      <c r="X33" s="1"/>
      <c r="Y33" s="1"/>
      <c r="Z33" s="1"/>
      <c r="AA33" s="1"/>
      <c r="AB33" s="1"/>
      <c r="AC33" s="1"/>
      <c r="AD33" s="1"/>
      <c r="AE33" s="1"/>
      <c r="AF33" s="1"/>
      <c r="AG33" s="1"/>
      <c r="AH33" s="1"/>
      <c r="AI33" s="1"/>
      <c r="AJ33" s="1"/>
      <c r="AK33" s="1"/>
      <c r="AL33" s="1"/>
      <c r="AM33" s="1"/>
      <c r="AN33" s="1"/>
      <c r="AO33" s="1"/>
      <c r="AP33" s="30"/>
      <c r="AQ33" s="1"/>
      <c r="AR33" s="30"/>
      <c r="AS33" s="1"/>
      <c r="AT33" s="1"/>
      <c r="AU33" s="1"/>
      <c r="AV33" s="1"/>
      <c r="AW33" s="1"/>
      <c r="AX33" s="1"/>
      <c r="AY33" s="1"/>
      <c r="AZ33" s="1"/>
      <c r="BA33" s="1"/>
      <c r="BB33" s="1"/>
      <c r="BC33" s="1"/>
      <c r="BD33" s="1"/>
      <c r="BE33" s="1"/>
      <c r="BF33" s="1"/>
      <c r="BG33" s="1"/>
      <c r="BH33" s="1"/>
      <c r="BI33" s="1"/>
      <c r="BJ33" s="1"/>
      <c r="BK33" s="1"/>
      <c r="BL33" s="1"/>
      <c r="BM33" s="1"/>
      <c r="BN33" s="1"/>
      <c r="BO33" s="1"/>
      <c r="BP33" s="1"/>
      <c r="BQ33" s="1" t="s">
        <v>103</v>
      </c>
      <c r="BR33" s="1" t="s">
        <v>103</v>
      </c>
      <c r="BS33" s="1"/>
      <c r="BT33" s="1"/>
      <c r="BU33" s="1"/>
      <c r="BV33" s="1"/>
      <c r="BW33" s="30" t="s">
        <v>350</v>
      </c>
      <c r="BX33" s="30" t="s">
        <v>350</v>
      </c>
      <c r="BY33" s="1"/>
      <c r="BZ33" s="1"/>
      <c r="CA33" s="1"/>
      <c r="CB33" s="1"/>
      <c r="CC33" s="1"/>
      <c r="CD33" s="1"/>
      <c r="CE33" s="1"/>
      <c r="CF33" s="27" t="b">
        <f aca="false">TRUE()</f>
        <v>1</v>
      </c>
      <c r="CG33" s="27" t="b">
        <f aca="false">TRUE()</f>
        <v>1</v>
      </c>
      <c r="CH33" s="1"/>
      <c r="CI33" s="1"/>
    </row>
    <row r="34" customFormat="false" ht="15.75" hidden="false" customHeight="false" outlineLevel="0" collapsed="false">
      <c r="A34" s="1"/>
      <c r="B34" s="1" t="n">
        <v>1123469</v>
      </c>
      <c r="C34" s="25" t="n">
        <v>43139</v>
      </c>
      <c r="D34" s="1" t="n">
        <v>37</v>
      </c>
      <c r="E34" s="1" t="s">
        <v>351</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30"/>
      <c r="AQ34" s="1"/>
      <c r="AR34" s="30"/>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31" t="b">
        <f aca="false">TRUE()</f>
        <v>1</v>
      </c>
      <c r="CI34" s="1"/>
    </row>
    <row r="35" customFormat="false" ht="15.75" hidden="false" customHeight="false" outlineLevel="0" collapsed="false">
      <c r="A35" s="1"/>
      <c r="B35" s="1" t="n">
        <v>1123469</v>
      </c>
      <c r="C35" s="25" t="n">
        <v>43145</v>
      </c>
      <c r="D35" s="1" t="n">
        <v>37</v>
      </c>
      <c r="E35" s="1" t="s">
        <v>352</v>
      </c>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30"/>
      <c r="AQ35" s="1"/>
      <c r="AR35" s="30"/>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t="s">
        <v>224</v>
      </c>
      <c r="BX35" s="1"/>
      <c r="BY35" s="1"/>
      <c r="BZ35" s="1"/>
      <c r="CA35" s="1"/>
      <c r="CB35" s="1"/>
      <c r="CC35" s="1"/>
      <c r="CD35" s="1"/>
      <c r="CE35" s="1"/>
      <c r="CF35" s="1"/>
      <c r="CG35" s="1"/>
      <c r="CH35" s="1"/>
      <c r="CI35" s="1"/>
    </row>
    <row r="36" customFormat="false" ht="15.75" hidden="false" customHeight="false" outlineLevel="0" collapsed="false">
      <c r="A36" s="1"/>
      <c r="B36" s="1" t="n">
        <v>1123469</v>
      </c>
      <c r="C36" s="25" t="n">
        <v>43196</v>
      </c>
      <c r="D36" s="1" t="n">
        <v>39</v>
      </c>
      <c r="E36" s="1" t="s">
        <v>353</v>
      </c>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30"/>
      <c r="AQ36" s="1"/>
      <c r="AR36" s="30"/>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15.75" hidden="false" customHeight="false" outlineLevel="0" collapsed="false">
      <c r="A37" s="1"/>
      <c r="B37" s="1" t="n">
        <v>1123469</v>
      </c>
      <c r="C37" s="25" t="n">
        <v>43241</v>
      </c>
      <c r="D37" s="1" t="n">
        <v>40</v>
      </c>
      <c r="E37" s="1" t="s">
        <v>354</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30"/>
      <c r="AQ37" s="1"/>
      <c r="AR37" s="30"/>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15.75" hidden="false" customHeight="false" outlineLevel="0" collapsed="false">
      <c r="A38" s="1"/>
      <c r="B38" s="1" t="n">
        <v>1123469</v>
      </c>
      <c r="C38" s="25" t="n">
        <v>43280</v>
      </c>
      <c r="D38" s="1" t="n">
        <v>41</v>
      </c>
      <c r="E38" s="1" t="s">
        <v>355</v>
      </c>
      <c r="F38" s="1"/>
      <c r="G38" s="1"/>
      <c r="H38" s="1"/>
      <c r="I38" s="1"/>
      <c r="J38" s="1"/>
      <c r="K38" s="27" t="b">
        <f aca="false">TRUE()</f>
        <v>1</v>
      </c>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30"/>
      <c r="AQ38" s="1"/>
      <c r="AR38" s="30"/>
      <c r="AS38" s="1" t="s">
        <v>168</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31" t="b">
        <f aca="false">TRUE()</f>
        <v>1</v>
      </c>
      <c r="CG38" s="1"/>
      <c r="CH38" s="1"/>
      <c r="CI38" s="27" t="b">
        <f aca="false">TRUE()</f>
        <v>1</v>
      </c>
    </row>
    <row r="39" customFormat="false" ht="118.5" hidden="false" customHeight="false" outlineLevel="0" collapsed="false">
      <c r="A39" s="1"/>
      <c r="B39" s="1" t="n">
        <v>1123469</v>
      </c>
      <c r="C39" s="25" t="n">
        <v>44168</v>
      </c>
      <c r="D39" s="1" t="n">
        <v>71</v>
      </c>
      <c r="E39" s="26" t="s">
        <v>356</v>
      </c>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30"/>
      <c r="AQ39" s="1"/>
      <c r="AR39" s="30"/>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31" t="b">
        <f aca="false">TRUE()</f>
        <v>1</v>
      </c>
    </row>
    <row r="40" customFormat="false" ht="15.75" hidden="false" customHeight="false" outlineLevel="0" collapsed="false">
      <c r="A40" s="1"/>
      <c r="B40" s="1" t="n">
        <v>1123469</v>
      </c>
      <c r="C40" s="25" t="n">
        <v>44180</v>
      </c>
      <c r="D40" s="1" t="n">
        <v>71</v>
      </c>
      <c r="E40" s="1" t="s">
        <v>357</v>
      </c>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30"/>
      <c r="AQ40" s="1"/>
      <c r="AR40" s="30"/>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t="s">
        <v>224</v>
      </c>
      <c r="BX40" s="1"/>
      <c r="BY40" s="1"/>
      <c r="BZ40" s="1"/>
      <c r="CA40" s="1"/>
      <c r="CB40" s="1"/>
      <c r="CC40" s="1"/>
      <c r="CD40" s="1"/>
      <c r="CE40" s="1"/>
      <c r="CF40" s="1"/>
      <c r="CG40" s="1"/>
      <c r="CH40" s="1"/>
      <c r="CI40" s="1"/>
    </row>
    <row r="41" customFormat="false" ht="15.75" hidden="false" customHeight="false" outlineLevel="0" collapsed="false">
      <c r="A41" s="1"/>
      <c r="B41" s="1" t="n">
        <v>1123469</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30"/>
      <c r="AQ41" s="1"/>
      <c r="AR41" s="30"/>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t="n">
        <v>1123469</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30"/>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t="n">
        <v>1123469</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30"/>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t="n">
        <v>1123469</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30"/>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t="n">
        <v>1123469</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30"/>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t="n">
        <v>1123469</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30"/>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1123469</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30"/>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1123469</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30"/>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1123469</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30"/>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1123469</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30"/>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1123469</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30"/>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1123469</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30"/>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t="n">
        <v>1123469</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t="n">
        <v>1123469</v>
      </c>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t="n">
        <v>1123469</v>
      </c>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t="n">
        <v>1123469</v>
      </c>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t="n">
        <v>1123469</v>
      </c>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t="n">
        <v>1123469</v>
      </c>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t="n">
        <v>1123469</v>
      </c>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t="n">
        <v>1123469</v>
      </c>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t="n">
        <v>1123469</v>
      </c>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t="n">
        <v>1123469</v>
      </c>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t="n">
        <v>1123469</v>
      </c>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t="n">
        <v>1123469</v>
      </c>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t="n">
        <v>1123469</v>
      </c>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t="n">
        <v>1123469</v>
      </c>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t="n">
        <v>1123469</v>
      </c>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t="n">
        <v>1123469</v>
      </c>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t="n">
        <v>1123469</v>
      </c>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t="n">
        <v>1123469</v>
      </c>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t="n">
        <v>1123469</v>
      </c>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t="n">
        <v>1123469</v>
      </c>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t="n">
        <v>1123469</v>
      </c>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t="n">
        <v>1123469</v>
      </c>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t="n">
        <v>1123469</v>
      </c>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t="n">
        <v>1123469</v>
      </c>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t="n">
        <v>1123469</v>
      </c>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t="n">
        <v>1123469</v>
      </c>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t="n">
        <v>1123469</v>
      </c>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t="n">
        <v>1123469</v>
      </c>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7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7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7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7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7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7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7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7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7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row r="99" customFormat="false" ht="15.75" hidden="false" customHeight="false" outlineLevel="0" collapsed="false">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row>
  </sheetData>
  <dataValidations count="27">
    <dataValidation allowBlank="true" errorStyle="stop" operator="between" showDropDown="false" showErrorMessage="true" showInputMessage="true" sqref="AD2:AD99" type="list">
      <formula1>list!$B$25:$E$25</formula1>
      <formula2>0</formula2>
    </dataValidation>
    <dataValidation allowBlank="true" errorStyle="stop" operator="between" showDropDown="false" showErrorMessage="true" showInputMessage="true" sqref="BY2:CI99" type="list">
      <formula1>list!$B$72:$C$72</formula1>
      <formula2>0</formula2>
    </dataValidation>
    <dataValidation allowBlank="true" errorStyle="stop" operator="between" showDropDown="false" showErrorMessage="true" showInputMessage="true" sqref="BW2:BX32 BW34:BX99" type="list">
      <formula1>list!$B$70:$F$70</formula1>
      <formula2>0</formula2>
    </dataValidation>
    <dataValidation allowBlank="true" errorStyle="stop" operator="between" showDropDown="false" showErrorMessage="true" showInputMessage="true" sqref="BV2:BV99" type="list">
      <formula1>list!$B$69:$C$69</formula1>
      <formula2>0</formula2>
    </dataValidation>
    <dataValidation allowBlank="true" errorStyle="stop" operator="between" showDropDown="false" showErrorMessage="true" showInputMessage="true" sqref="BU2:BU99" type="list">
      <formula1>list!$B$68:$G$68</formula1>
      <formula2>0</formula2>
    </dataValidation>
    <dataValidation allowBlank="true" errorStyle="stop" operator="between" showDropDown="false" showErrorMessage="true" showInputMessage="true" sqref="BR2:BR99" type="list">
      <formula1>list!$B$65:$F$65</formula1>
      <formula2>0</formula2>
    </dataValidation>
    <dataValidation allowBlank="true" errorStyle="stop" operator="between" showDropDown="false" showErrorMessage="true" showInputMessage="true" sqref="BQ2:BQ99" type="list">
      <formula1>list!$B$64:$E$64</formula1>
      <formula2>0</formula2>
    </dataValidation>
    <dataValidation allowBlank="true" errorStyle="stop" operator="between" showDropDown="false" showErrorMessage="true" showInputMessage="true" sqref="BB2:BB99" type="list">
      <formula1>list!$B$49:$P$49</formula1>
      <formula2>0</formula2>
    </dataValidation>
    <dataValidation allowBlank="true" errorStyle="stop" operator="between" showDropDown="false" showErrorMessage="true" showInputMessage="true" sqref="AX2:BA99 BC2:BP99 BS2:BT99" type="list">
      <formula1>list!$B$50:$C$50</formula1>
      <formula2>0</formula2>
    </dataValidation>
    <dataValidation allowBlank="true" errorStyle="stop" operator="between" showDropDown="false" showErrorMessage="true" showInputMessage="true" sqref="AU2:AU99 AW2:AW99" type="list">
      <formula1>list!$B$42:$Z$42</formula1>
      <formula2>0</formula2>
    </dataValidation>
    <dataValidation allowBlank="true" errorStyle="stop" operator="between" showDropDown="false" showErrorMessage="true" showInputMessage="true" sqref="AM2:AN99" type="list">
      <formula1>list!$B$34:$C$34</formula1>
      <formula2>0</formula2>
    </dataValidation>
    <dataValidation allowBlank="true" errorStyle="stop" operator="between" showDropDown="false" showErrorMessage="true" showInputMessage="true" sqref="AL2:AL99" type="list">
      <formula1>list!$B$33:$H$33</formula1>
      <formula2>0</formula2>
    </dataValidation>
    <dataValidation allowBlank="true" errorStyle="stop" operator="between" showDropDown="false" showErrorMessage="true" showInputMessage="true" sqref="AF2:AK99" type="list">
      <formula1>list!$B$27:$C$27</formula1>
      <formula2>0</formula2>
    </dataValidation>
    <dataValidation allowBlank="true" errorStyle="stop" operator="between" showDropDown="false" showErrorMessage="true" showInputMessage="true" sqref="AE2:AE99" type="list">
      <formula1>list!$B$26:$E$26</formula1>
      <formula2>0</formula2>
    </dataValidation>
    <dataValidation allowBlank="true" errorStyle="stop" operator="between" showDropDown="false" showErrorMessage="true" showInputMessage="true" sqref="Z2:AC99" type="list">
      <formula1>list!$B$21:$M$21</formula1>
      <formula2>0</formula2>
    </dataValidation>
    <dataValidation allowBlank="true" errorStyle="stop" operator="between" showDropDown="false" showErrorMessage="true" showInputMessage="true" sqref="V2:W99" type="list">
      <formula1>list!$B$17:$J$17</formula1>
      <formula2>0</formula2>
    </dataValidation>
    <dataValidation allowBlank="true" errorStyle="stop" operator="between" showDropDown="false" showErrorMessage="true" showInputMessage="true" sqref="G2:U99" type="list">
      <formula1>list!$B$2:$C$2</formula1>
      <formula2>0</formula2>
    </dataValidation>
    <dataValidation allowBlank="true" errorStyle="stop" operator="between" showDropDown="false" showErrorMessage="true" showInputMessage="true" sqref="AO2:AO99 AQ2:AQ99" type="list">
      <formula1>list!$B$36:$G$36</formula1>
      <formula2>0</formula2>
    </dataValidation>
    <dataValidation allowBlank="true" errorStyle="stop" operator="between" showDropDown="false" showErrorMessage="true" showInputMessage="true" sqref="AS2:AT2 AS3:AS99" type="list">
      <formula1>list!$B$40:$I$40</formula1>
      <formula2>0</formula2>
    </dataValidation>
    <dataValidation allowBlank="true" errorStyle="stop" operator="between" showDropDown="false" showErrorMessage="true" showInputMessage="true" sqref="X2:Y2 X3:X99" type="list">
      <formula1>list!$B$19:$D$19</formula1>
      <formula2>0</formula2>
    </dataValidation>
    <dataValidation allowBlank="true" errorStyle="stop" operator="between" showDropDown="false" showErrorMessage="true" showInputMessage="true" sqref="Y3:Y99" type="list">
      <formula1>list!$B$20:$I$20</formula1>
      <formula2>0</formula2>
    </dataValidation>
    <dataValidation allowBlank="true" errorStyle="stop" operator="between" showDropDown="false" showErrorMessage="true" showInputMessage="true" sqref="AV2:AV99 AT3:AT99" type="list">
      <formula1>list!$B$41:$F$41</formula1>
      <formula2>0</formula2>
    </dataValidation>
    <dataValidation allowBlank="true" errorStyle="stop" operator="between" showDropDown="false" showErrorMessage="true" showInputMessage="true" sqref="AP2 AR2 AP12" type="list">
      <formula1>list!$B$37:$Q$37</formula1>
      <formula2>0</formula2>
    </dataValidation>
    <dataValidation allowBlank="true" errorStyle="stop" operator="between" showDropDown="false" showErrorMessage="true" showInputMessage="true" sqref="AR93:AR99" type="list">
      <formula1>list!$B$37:$O$37</formula1>
      <formula2>0</formula2>
    </dataValidation>
    <dataValidation allowBlank="true" errorStyle="stop" operator="between" showDropDown="false" showErrorMessage="true" showInputMessage="true" sqref="AP3:AP11 AR3:AR28 AP13:AP28 AP42:AP93 AR53:AR92 AP94:AP99" type="list">
      <formula1>list!$B$37:$P$37</formula1>
      <formula2>0</formula2>
    </dataValidation>
    <dataValidation allowBlank="true" errorStyle="stop" operator="between" showDropDown="false" showErrorMessage="true" showInputMessage="true" sqref="AP29:AP41 AR29:AR52" type="list">
      <formula1>list!$B$37:$T$37</formula1>
      <formula2>0</formula2>
    </dataValidation>
    <dataValidation allowBlank="true" errorStyle="stop" operator="between" showDropDown="false" showErrorMessage="true" showInputMessage="true" sqref="BW33:BX33" type="list">
      <formula1>list!$B$70:$G$70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50"/>
    <pageSetUpPr fitToPage="false"/>
  </sheetPr>
  <dimension ref="A1:CI98"/>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JU35" activePane="bottomRight" state="frozen"/>
      <selection pane="topLeft" activeCell="A1" activeCellId="0" sqref="A1"/>
      <selection pane="topRight" activeCell="JU1" activeCellId="0" sqref="JU1"/>
      <selection pane="bottomLeft" activeCell="A35" activeCellId="0" sqref="A35"/>
      <selection pane="bottomRight" activeCell="CG67" activeCellId="0" sqref="CG67"/>
    </sheetView>
  </sheetViews>
  <sheetFormatPr defaultColWidth="8.8710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6" min="6" style="0" width="3.16"/>
    <col collapsed="false" customWidth="true" hidden="false" outlineLevel="0" max="31" min="31" style="0" width="10.83"/>
    <col collapsed="false" customWidth="true" hidden="false" outlineLevel="0" max="42" min="42" style="0" width="12.16"/>
    <col collapsed="false" customWidth="true" hidden="false" outlineLevel="0" max="44" min="44" style="0" width="12.16"/>
    <col collapsed="false" customWidth="true" hidden="false" outlineLevel="0" max="45" min="45" style="0" width="24.33"/>
    <col collapsed="false" customWidth="true" hidden="false" outlineLevel="0" max="46" min="46" style="0" width="11.33"/>
    <col collapsed="false" customWidth="true" hidden="false" outlineLevel="0" max="48" min="48" style="0" width="11.33"/>
    <col collapsed="false" customWidth="true" hidden="false" outlineLevel="0" max="73" min="73" style="0" width="22"/>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55" hidden="false" customHeight="false" outlineLevel="0" collapsed="false">
      <c r="A2" s="1"/>
      <c r="B2" s="1" t="n">
        <v>1124063</v>
      </c>
      <c r="C2" s="25" t="n">
        <v>42102</v>
      </c>
      <c r="D2" s="1" t="n">
        <v>0</v>
      </c>
      <c r="E2" s="26" t="s">
        <v>358</v>
      </c>
      <c r="F2" s="1"/>
      <c r="G2" s="1"/>
      <c r="H2" s="1"/>
      <c r="I2" s="1"/>
      <c r="J2" s="1"/>
      <c r="K2" s="1"/>
      <c r="L2" s="1"/>
      <c r="M2" s="1"/>
      <c r="N2" s="1"/>
      <c r="O2" s="1"/>
      <c r="P2" s="1"/>
      <c r="Q2" s="1"/>
      <c r="R2" s="1"/>
      <c r="S2" s="1"/>
      <c r="T2" s="1"/>
      <c r="U2" s="1"/>
      <c r="V2" s="1"/>
      <c r="W2" s="1"/>
      <c r="X2" s="1"/>
      <c r="Y2" s="1"/>
      <c r="Z2" s="1" t="s">
        <v>128</v>
      </c>
      <c r="AA2" s="1" t="s">
        <v>128</v>
      </c>
      <c r="AB2" s="1" t="s">
        <v>128</v>
      </c>
      <c r="AC2" s="1" t="s">
        <v>128</v>
      </c>
      <c r="AD2" s="1" t="s">
        <v>182</v>
      </c>
      <c r="AE2" s="1" t="s">
        <v>113</v>
      </c>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220.5" hidden="false" customHeight="false" outlineLevel="0" collapsed="false">
      <c r="A3" s="1"/>
      <c r="B3" s="1" t="n">
        <v>1124063</v>
      </c>
      <c r="C3" s="25" t="n">
        <v>42229</v>
      </c>
      <c r="D3" s="1" t="n">
        <v>4</v>
      </c>
      <c r="E3" s="26" t="s">
        <v>359</v>
      </c>
      <c r="F3" s="1"/>
      <c r="G3" s="1"/>
      <c r="H3" s="1"/>
      <c r="I3" s="1"/>
      <c r="J3" s="1"/>
      <c r="K3" s="31" t="b">
        <f aca="false">TRUE()</f>
        <v>1</v>
      </c>
      <c r="L3" s="1"/>
      <c r="M3" s="31" t="b">
        <f aca="false">TRUE()</f>
        <v>1</v>
      </c>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67.5" hidden="false" customHeight="false" outlineLevel="0" collapsed="false">
      <c r="A4" s="1"/>
      <c r="B4" s="1" t="n">
        <v>1124063</v>
      </c>
      <c r="C4" s="25" t="n">
        <v>42235</v>
      </c>
      <c r="D4" s="1" t="n">
        <v>4</v>
      </c>
      <c r="E4" s="26" t="s">
        <v>360</v>
      </c>
      <c r="F4" s="1"/>
      <c r="G4" s="1"/>
      <c r="H4" s="1"/>
      <c r="I4" s="1"/>
      <c r="J4" s="1"/>
      <c r="K4" s="31" t="b">
        <f aca="false">TRUE()</f>
        <v>1</v>
      </c>
      <c r="L4" s="1"/>
      <c r="M4" s="31" t="b">
        <f aca="false">TRUE()</f>
        <v>1</v>
      </c>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02" hidden="false" customHeight="false" outlineLevel="0" collapsed="false">
      <c r="A5" s="1"/>
      <c r="B5" s="1" t="n">
        <v>1124063</v>
      </c>
      <c r="C5" s="25" t="n">
        <v>42237</v>
      </c>
      <c r="D5" s="1" t="n">
        <v>4</v>
      </c>
      <c r="E5" s="26" t="s">
        <v>361</v>
      </c>
      <c r="F5" s="1"/>
      <c r="G5" s="1"/>
      <c r="H5" s="1"/>
      <c r="I5" s="1"/>
      <c r="J5" s="1"/>
      <c r="K5" s="1"/>
      <c r="L5" s="1"/>
      <c r="M5" s="1"/>
      <c r="N5" s="1"/>
      <c r="O5" s="1"/>
      <c r="P5" s="1"/>
      <c r="Q5" s="1"/>
      <c r="R5" s="1"/>
      <c r="S5" s="1"/>
      <c r="T5" s="31" t="b">
        <f aca="false">TRUE()</f>
        <v>1</v>
      </c>
      <c r="U5" s="1"/>
      <c r="V5" s="1"/>
      <c r="W5" s="1"/>
      <c r="X5" s="1"/>
      <c r="Y5" s="1"/>
      <c r="Z5" s="1"/>
      <c r="AA5" s="1"/>
      <c r="AB5" s="1"/>
      <c r="AC5" s="1"/>
      <c r="AD5" s="1"/>
      <c r="AE5" s="1"/>
      <c r="AF5" s="1"/>
      <c r="AG5" s="1"/>
      <c r="AH5" s="1"/>
      <c r="AI5" s="1"/>
      <c r="AJ5" s="1"/>
      <c r="AK5" s="1"/>
      <c r="AL5" s="1"/>
      <c r="AM5" s="1"/>
      <c r="AN5" s="1"/>
      <c r="AO5" s="1"/>
      <c r="AP5" s="1" t="s">
        <v>91</v>
      </c>
      <c r="AQ5" s="1"/>
      <c r="AR5" s="1" t="s">
        <v>91</v>
      </c>
      <c r="AS5" s="1"/>
      <c r="AT5" s="1"/>
      <c r="AU5" s="1"/>
      <c r="AV5" s="1"/>
      <c r="AW5" s="1"/>
      <c r="AX5" s="1"/>
      <c r="AY5" s="1"/>
      <c r="AZ5" s="1"/>
      <c r="BA5" s="1"/>
      <c r="BB5" s="1"/>
      <c r="BC5" s="1"/>
      <c r="BD5" s="1"/>
      <c r="BE5" s="1"/>
      <c r="BF5" s="1"/>
      <c r="BG5" s="1"/>
      <c r="BH5" s="1"/>
      <c r="BI5" s="1"/>
      <c r="BJ5" s="1"/>
      <c r="BK5" s="1"/>
      <c r="BL5" s="1"/>
      <c r="BM5" s="1"/>
      <c r="BN5" s="1"/>
      <c r="BO5" s="1"/>
      <c r="BP5" s="1"/>
      <c r="BQ5" s="1"/>
      <c r="BR5" s="1"/>
      <c r="BS5" s="1"/>
      <c r="BT5" s="27" t="b">
        <f aca="false">TRUE()</f>
        <v>1</v>
      </c>
      <c r="BU5" s="1" t="s">
        <v>153</v>
      </c>
      <c r="BV5" s="31" t="b">
        <f aca="false">TRUE()</f>
        <v>1</v>
      </c>
      <c r="BW5" s="1"/>
      <c r="BX5" s="1"/>
      <c r="BY5" s="1"/>
      <c r="BZ5" s="1"/>
      <c r="CA5" s="1"/>
      <c r="CB5" s="1"/>
      <c r="CC5" s="1"/>
      <c r="CD5" s="1"/>
      <c r="CE5" s="1"/>
      <c r="CF5" s="1"/>
      <c r="CG5" s="1"/>
      <c r="CH5" s="1"/>
      <c r="CI5" s="1"/>
    </row>
    <row r="6" customFormat="false" ht="67.5" hidden="false" customHeight="false" outlineLevel="0" collapsed="false">
      <c r="A6" s="1"/>
      <c r="B6" s="1" t="n">
        <v>1124063</v>
      </c>
      <c r="C6" s="25" t="n">
        <v>42250</v>
      </c>
      <c r="D6" s="1" t="n">
        <v>5</v>
      </c>
      <c r="E6" s="26" t="s">
        <v>362</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31" t="b">
        <f aca="false">TRUE()</f>
        <v>1</v>
      </c>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27" t="b">
        <f aca="false">TRUE()</f>
        <v>1</v>
      </c>
      <c r="BU6" s="1" t="s">
        <v>153</v>
      </c>
      <c r="BV6" s="31" t="b">
        <f aca="false">TRUE()</f>
        <v>1</v>
      </c>
      <c r="BW6" s="1"/>
      <c r="BX6" s="1"/>
      <c r="BY6" s="1"/>
      <c r="BZ6" s="1"/>
      <c r="CA6" s="1"/>
      <c r="CB6" s="1"/>
      <c r="CC6" s="1"/>
      <c r="CD6" s="1"/>
      <c r="CE6" s="1"/>
      <c r="CF6" s="1"/>
      <c r="CG6" s="1"/>
      <c r="CH6" s="1"/>
      <c r="CI6" s="1"/>
    </row>
    <row r="7" customFormat="false" ht="51" hidden="false" customHeight="false" outlineLevel="0" collapsed="false">
      <c r="A7" s="1"/>
      <c r="B7" s="1" t="n">
        <v>1124063</v>
      </c>
      <c r="C7" s="25" t="n">
        <v>42264</v>
      </c>
      <c r="D7" s="1" t="n">
        <v>5</v>
      </c>
      <c r="E7" s="26" t="s">
        <v>363</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31" t="b">
        <f aca="false">TRUE()</f>
        <v>1</v>
      </c>
      <c r="BU7" s="1" t="s">
        <v>174</v>
      </c>
      <c r="BV7" s="1"/>
      <c r="BW7" s="1"/>
      <c r="BX7" s="1"/>
      <c r="BY7" s="1"/>
      <c r="BZ7" s="1"/>
      <c r="CA7" s="1"/>
      <c r="CB7" s="1"/>
      <c r="CC7" s="1"/>
      <c r="CD7" s="1"/>
      <c r="CE7" s="1"/>
      <c r="CF7" s="1"/>
      <c r="CG7" s="1"/>
      <c r="CH7" s="1"/>
      <c r="CI7" s="1"/>
    </row>
    <row r="8" customFormat="false" ht="135.75" hidden="false" customHeight="false" outlineLevel="0" collapsed="false">
      <c r="A8" s="1"/>
      <c r="B8" s="1" t="n">
        <v>1124063</v>
      </c>
      <c r="C8" s="25" t="n">
        <v>42313</v>
      </c>
      <c r="D8" s="1" t="n">
        <v>7</v>
      </c>
      <c r="E8" s="26" t="s">
        <v>364</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31" t="b">
        <f aca="false">TRUE()</f>
        <v>1</v>
      </c>
      <c r="AN8" s="27" t="b">
        <f aca="false">TRUE()</f>
        <v>1</v>
      </c>
      <c r="AO8" s="1" t="s">
        <v>96</v>
      </c>
      <c r="AP8" s="1" t="s">
        <v>131</v>
      </c>
      <c r="AQ8" s="1" t="s">
        <v>96</v>
      </c>
      <c r="AR8" s="1" t="s">
        <v>131</v>
      </c>
      <c r="AS8" s="1" t="s">
        <v>132</v>
      </c>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row>
    <row r="9" customFormat="false" ht="51" hidden="false" customHeight="false" outlineLevel="0" collapsed="false">
      <c r="A9" s="1"/>
      <c r="B9" s="1" t="n">
        <v>1124063</v>
      </c>
      <c r="C9" s="25" t="n">
        <v>42324</v>
      </c>
      <c r="D9" s="1" t="n">
        <v>7</v>
      </c>
      <c r="E9" s="26" t="s">
        <v>365</v>
      </c>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31" t="b">
        <f aca="false">TRUE()</f>
        <v>1</v>
      </c>
      <c r="BU9" s="1" t="s">
        <v>90</v>
      </c>
      <c r="BV9" s="1"/>
      <c r="BW9" s="1"/>
      <c r="BX9" s="1"/>
      <c r="BY9" s="1"/>
      <c r="BZ9" s="1"/>
      <c r="CA9" s="1"/>
      <c r="CB9" s="1"/>
      <c r="CC9" s="1"/>
      <c r="CD9" s="1"/>
      <c r="CE9" s="1"/>
      <c r="CF9" s="1"/>
      <c r="CG9" s="1"/>
      <c r="CH9" s="1"/>
      <c r="CI9" s="1"/>
    </row>
    <row r="10" customFormat="false" ht="153" hidden="false" customHeight="false" outlineLevel="0" collapsed="false">
      <c r="A10" s="1"/>
      <c r="B10" s="1" t="n">
        <v>1124063</v>
      </c>
      <c r="C10" s="25" t="n">
        <v>42373</v>
      </c>
      <c r="D10" s="1" t="n">
        <v>9</v>
      </c>
      <c r="E10" s="26" t="s">
        <v>366</v>
      </c>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31" t="b">
        <f aca="false">TRUE()</f>
        <v>1</v>
      </c>
      <c r="AN10" s="27" t="b">
        <f aca="false">TRUE()</f>
        <v>1</v>
      </c>
      <c r="AO10" s="1" t="s">
        <v>96</v>
      </c>
      <c r="AP10" s="1" t="s">
        <v>367</v>
      </c>
      <c r="AQ10" s="1" t="s">
        <v>96</v>
      </c>
      <c r="AR10" s="1" t="s">
        <v>152</v>
      </c>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row>
    <row r="11" customFormat="false" ht="67.5" hidden="false" customHeight="false" outlineLevel="0" collapsed="false">
      <c r="A11" s="1"/>
      <c r="B11" s="1" t="n">
        <v>1124063</v>
      </c>
      <c r="C11" s="25" t="n">
        <v>42375</v>
      </c>
      <c r="D11" s="1" t="n">
        <v>9</v>
      </c>
      <c r="E11" s="26" t="s">
        <v>368</v>
      </c>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31" t="b">
        <f aca="false">TRUE()</f>
        <v>1</v>
      </c>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27" t="b">
        <f aca="false">TRUE()</f>
        <v>1</v>
      </c>
      <c r="BU11" s="1" t="s">
        <v>153</v>
      </c>
      <c r="BV11" s="31" t="b">
        <f aca="false">TRUE()</f>
        <v>1</v>
      </c>
      <c r="BW11" s="1"/>
      <c r="BX11" s="1"/>
      <c r="BY11" s="1"/>
      <c r="BZ11" s="1"/>
      <c r="CA11" s="1"/>
      <c r="CB11" s="1"/>
      <c r="CC11" s="1"/>
      <c r="CD11" s="1"/>
      <c r="CE11" s="1"/>
      <c r="CF11" s="1"/>
      <c r="CG11" s="1"/>
      <c r="CH11" s="1"/>
      <c r="CI11" s="1"/>
    </row>
    <row r="12" customFormat="false" ht="16.5" hidden="false" customHeight="false" outlineLevel="0" collapsed="false">
      <c r="A12" s="1"/>
      <c r="B12" s="1" t="n">
        <v>1124063</v>
      </c>
      <c r="C12" s="25" t="n">
        <v>42422</v>
      </c>
      <c r="D12" s="1" t="n">
        <v>10</v>
      </c>
      <c r="E12" s="26" t="s">
        <v>369</v>
      </c>
      <c r="F12" s="1"/>
      <c r="G12" s="1"/>
      <c r="H12" s="31" t="b">
        <f aca="false">TRUE()</f>
        <v>1</v>
      </c>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306" hidden="false" customHeight="false" outlineLevel="0" collapsed="false">
      <c r="A13" s="1"/>
      <c r="B13" s="1" t="n">
        <v>1124063</v>
      </c>
      <c r="C13" s="25" t="n">
        <v>42440</v>
      </c>
      <c r="D13" s="1" t="n">
        <v>11</v>
      </c>
      <c r="E13" s="26" t="s">
        <v>370</v>
      </c>
      <c r="F13" s="1"/>
      <c r="G13" s="1"/>
      <c r="H13" s="1"/>
      <c r="I13" s="1"/>
      <c r="J13" s="1"/>
      <c r="K13" s="31" t="b">
        <f aca="false">TRUE()</f>
        <v>1</v>
      </c>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27" t="b">
        <f aca="false">TRUE()</f>
        <v>1</v>
      </c>
      <c r="AN13" s="27" t="b">
        <f aca="false">TRUE()</f>
        <v>1</v>
      </c>
      <c r="AO13" s="1" t="s">
        <v>96</v>
      </c>
      <c r="AP13" s="1" t="s">
        <v>167</v>
      </c>
      <c r="AQ13" s="1" t="s">
        <v>96</v>
      </c>
      <c r="AR13" s="1" t="s">
        <v>164</v>
      </c>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row>
    <row r="14" customFormat="false" ht="288.75" hidden="false" customHeight="false" outlineLevel="0" collapsed="false">
      <c r="A14" s="1"/>
      <c r="B14" s="1" t="n">
        <v>1124063</v>
      </c>
      <c r="C14" s="25" t="n">
        <v>42474</v>
      </c>
      <c r="D14" s="1" t="n">
        <v>12</v>
      </c>
      <c r="E14" s="26" t="s">
        <v>371</v>
      </c>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31" t="b">
        <f aca="false">TRUE()</f>
        <v>1</v>
      </c>
      <c r="AN14" s="27" t="b">
        <f aca="false">TRUE()</f>
        <v>1</v>
      </c>
      <c r="AO14" s="1" t="s">
        <v>96</v>
      </c>
      <c r="AP14" s="1" t="s">
        <v>97</v>
      </c>
      <c r="AQ14" s="1" t="s">
        <v>96</v>
      </c>
      <c r="AR14" s="1" t="s">
        <v>97</v>
      </c>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27" t="b">
        <f aca="false">TRUE()</f>
        <v>1</v>
      </c>
      <c r="BU14" s="1" t="s">
        <v>153</v>
      </c>
      <c r="BV14" s="31" t="b">
        <f aca="false">TRUE()</f>
        <v>1</v>
      </c>
      <c r="BW14" s="1"/>
      <c r="BX14" s="1"/>
      <c r="BY14" s="1"/>
      <c r="BZ14" s="1"/>
      <c r="CA14" s="1"/>
      <c r="CB14" s="1"/>
      <c r="CC14" s="1"/>
      <c r="CD14" s="1"/>
      <c r="CE14" s="1"/>
      <c r="CF14" s="1"/>
      <c r="CG14" s="1"/>
      <c r="CH14" s="1"/>
      <c r="CI14" s="1"/>
    </row>
    <row r="15" customFormat="false" ht="408" hidden="false" customHeight="true" outlineLevel="0" collapsed="false">
      <c r="A15" s="1"/>
      <c r="B15" s="1" t="n">
        <v>1124063</v>
      </c>
      <c r="C15" s="25" t="n">
        <v>42509</v>
      </c>
      <c r="D15" s="1" t="n">
        <v>13</v>
      </c>
      <c r="E15" s="26" t="s">
        <v>372</v>
      </c>
      <c r="F15" s="1"/>
      <c r="G15" s="1"/>
      <c r="H15" s="1"/>
      <c r="I15" s="1"/>
      <c r="J15" s="1"/>
      <c r="K15" s="1"/>
      <c r="L15" s="1"/>
      <c r="M15" s="1"/>
      <c r="N15" s="1"/>
      <c r="O15" s="31" t="b">
        <f aca="false">TRUE()</f>
        <v>1</v>
      </c>
      <c r="P15" s="1"/>
      <c r="Q15" s="1"/>
      <c r="R15" s="1"/>
      <c r="S15" s="27" t="b">
        <f aca="false">TRUE()</f>
        <v>1</v>
      </c>
      <c r="T15" s="1"/>
      <c r="U15" s="1"/>
      <c r="V15" s="1"/>
      <c r="W15" s="1"/>
      <c r="X15" s="1"/>
      <c r="Y15" s="1"/>
      <c r="Z15" s="1"/>
      <c r="AA15" s="1"/>
      <c r="AB15" s="1"/>
      <c r="AC15" s="1"/>
      <c r="AD15" s="1"/>
      <c r="AE15" s="1"/>
      <c r="AF15" s="1"/>
      <c r="AG15" s="1"/>
      <c r="AH15" s="1"/>
      <c r="AI15" s="1"/>
      <c r="AJ15" s="1"/>
      <c r="AK15" s="1"/>
      <c r="AL15" s="1"/>
      <c r="AM15" s="27" t="b">
        <f aca="false">TRUE()</f>
        <v>1</v>
      </c>
      <c r="AN15" s="27" t="b">
        <f aca="false">TRUE()</f>
        <v>1</v>
      </c>
      <c r="AO15" s="1" t="s">
        <v>107</v>
      </c>
      <c r="AP15" s="1" t="s">
        <v>164</v>
      </c>
      <c r="AQ15" s="1" t="s">
        <v>122</v>
      </c>
      <c r="AR15" s="1" t="s">
        <v>97</v>
      </c>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31" t="b">
        <f aca="false">TRUE()</f>
        <v>1</v>
      </c>
      <c r="CB15" s="1"/>
      <c r="CC15" s="1"/>
      <c r="CD15" s="1"/>
      <c r="CE15" s="1"/>
      <c r="CF15" s="1"/>
      <c r="CG15" s="1"/>
      <c r="CH15" s="1"/>
      <c r="CI15" s="1"/>
    </row>
    <row r="16" customFormat="false" ht="118.5" hidden="false" customHeight="false" outlineLevel="0" collapsed="false">
      <c r="A16" s="1"/>
      <c r="B16" s="1" t="n">
        <v>1124063</v>
      </c>
      <c r="C16" s="25" t="n">
        <v>42544</v>
      </c>
      <c r="D16" s="1" t="n">
        <v>14</v>
      </c>
      <c r="E16" s="26" t="s">
        <v>373</v>
      </c>
      <c r="F16" s="1"/>
      <c r="G16" s="1"/>
      <c r="H16" s="1"/>
      <c r="I16" s="1"/>
      <c r="J16" s="1"/>
      <c r="K16" s="1"/>
      <c r="L16" s="1"/>
      <c r="M16" s="1"/>
      <c r="N16" s="1"/>
      <c r="O16" s="31" t="b">
        <f aca="false">TRUE()</f>
        <v>1</v>
      </c>
      <c r="P16" s="1"/>
      <c r="Q16" s="1"/>
      <c r="R16" s="1"/>
      <c r="S16" s="27" t="b">
        <f aca="false">TRUE()</f>
        <v>1</v>
      </c>
      <c r="T16" s="1"/>
      <c r="U16" s="1"/>
      <c r="V16" s="1"/>
      <c r="W16" s="1"/>
      <c r="X16" s="1"/>
      <c r="Y16" s="1"/>
      <c r="Z16" s="1"/>
      <c r="AA16" s="1"/>
      <c r="AB16" s="1"/>
      <c r="AC16" s="1"/>
      <c r="AD16" s="1"/>
      <c r="AE16" s="1"/>
      <c r="AF16" s="1"/>
      <c r="AG16" s="1"/>
      <c r="AH16" s="1"/>
      <c r="AI16" s="1"/>
      <c r="AJ16" s="1"/>
      <c r="AK16" s="1"/>
      <c r="AL16" s="1"/>
      <c r="AM16" s="27" t="b">
        <f aca="false">FALSE()</f>
        <v>0</v>
      </c>
      <c r="AN16" s="27" t="b">
        <f aca="false">FALSE()</f>
        <v>0</v>
      </c>
      <c r="AO16" s="1" t="s">
        <v>107</v>
      </c>
      <c r="AP16" s="1" t="s">
        <v>164</v>
      </c>
      <c r="AQ16" s="1" t="s">
        <v>122</v>
      </c>
      <c r="AR16" s="1" t="s">
        <v>97</v>
      </c>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31" t="b">
        <f aca="false">TRUE()</f>
        <v>1</v>
      </c>
      <c r="CB16" s="1"/>
      <c r="CC16" s="1"/>
      <c r="CD16" s="1"/>
      <c r="CE16" s="1"/>
      <c r="CF16" s="1"/>
      <c r="CG16" s="1"/>
      <c r="CH16" s="1"/>
      <c r="CI16" s="1"/>
    </row>
    <row r="17" customFormat="false" ht="67.5" hidden="false" customHeight="false" outlineLevel="0" collapsed="false">
      <c r="A17" s="1"/>
      <c r="B17" s="1" t="n">
        <v>1124063</v>
      </c>
      <c r="C17" s="25" t="n">
        <v>42563</v>
      </c>
      <c r="D17" s="1" t="n">
        <v>15</v>
      </c>
      <c r="E17" s="26" t="s">
        <v>374</v>
      </c>
      <c r="F17" s="1"/>
      <c r="G17" s="1"/>
      <c r="H17" s="1"/>
      <c r="I17" s="1"/>
      <c r="J17" s="1"/>
      <c r="K17" s="1"/>
      <c r="L17" s="1"/>
      <c r="M17" s="1"/>
      <c r="N17" s="1"/>
      <c r="O17" s="31" t="b">
        <f aca="false">TRUE()</f>
        <v>1</v>
      </c>
      <c r="P17" s="1"/>
      <c r="Q17" s="1"/>
      <c r="R17" s="1"/>
      <c r="S17" s="27" t="b">
        <f aca="false">TRUE()</f>
        <v>1</v>
      </c>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27" t="b">
        <f aca="false">TRUE()</f>
        <v>1</v>
      </c>
      <c r="BU17" s="1" t="s">
        <v>90</v>
      </c>
      <c r="BV17" s="1"/>
      <c r="BW17" s="1"/>
      <c r="BX17" s="1"/>
      <c r="BY17" s="1"/>
      <c r="BZ17" s="1"/>
      <c r="CA17" s="1"/>
      <c r="CB17" s="1"/>
      <c r="CC17" s="1"/>
      <c r="CD17" s="1"/>
      <c r="CE17" s="1"/>
      <c r="CF17" s="1"/>
      <c r="CG17" s="1"/>
      <c r="CH17" s="1"/>
      <c r="CI17" s="1"/>
    </row>
    <row r="18" customFormat="false" ht="153" hidden="false" customHeight="false" outlineLevel="0" collapsed="false">
      <c r="A18" s="1"/>
      <c r="B18" s="1" t="n">
        <v>1124063</v>
      </c>
      <c r="C18" s="25" t="n">
        <v>42604</v>
      </c>
      <c r="D18" s="1" t="n">
        <v>16</v>
      </c>
      <c r="E18" s="26" t="s">
        <v>375</v>
      </c>
      <c r="F18" s="1"/>
      <c r="G18" s="1"/>
      <c r="H18" s="1"/>
      <c r="I18" s="1"/>
      <c r="J18" s="1"/>
      <c r="K18" s="1"/>
      <c r="L18" s="1"/>
      <c r="M18" s="1"/>
      <c r="N18" s="1"/>
      <c r="O18" s="31" t="b">
        <f aca="false">TRUE()</f>
        <v>1</v>
      </c>
      <c r="P18" s="1"/>
      <c r="Q18" s="1"/>
      <c r="R18" s="1"/>
      <c r="S18" s="27" t="b">
        <f aca="false">TRUE()</f>
        <v>1</v>
      </c>
      <c r="T18" s="1"/>
      <c r="U18" s="1"/>
      <c r="V18" s="1"/>
      <c r="W18" s="1" t="s">
        <v>163</v>
      </c>
      <c r="X18" s="1"/>
      <c r="Y18" s="1"/>
      <c r="Z18" s="1"/>
      <c r="AA18" s="1"/>
      <c r="AB18" s="1"/>
      <c r="AC18" s="1"/>
      <c r="AD18" s="1"/>
      <c r="AE18" s="1"/>
      <c r="AF18" s="1"/>
      <c r="AG18" s="1"/>
      <c r="AH18" s="1"/>
      <c r="AI18" s="1"/>
      <c r="AJ18" s="1"/>
      <c r="AK18" s="1"/>
      <c r="AL18" s="1"/>
      <c r="AM18" s="27" t="b">
        <f aca="false">FALSE()</f>
        <v>0</v>
      </c>
      <c r="AN18" s="27" t="b">
        <f aca="false">FALSE()</f>
        <v>0</v>
      </c>
      <c r="AO18" s="1" t="s">
        <v>107</v>
      </c>
      <c r="AP18" s="1" t="s">
        <v>164</v>
      </c>
      <c r="AQ18" s="1" t="s">
        <v>122</v>
      </c>
      <c r="AR18" s="1" t="s">
        <v>97</v>
      </c>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27" t="b">
        <f aca="false">TRUE()</f>
        <v>1</v>
      </c>
      <c r="CA18" s="31" t="b">
        <f aca="false">TRUE()</f>
        <v>1</v>
      </c>
      <c r="CB18" s="1"/>
      <c r="CC18" s="1"/>
      <c r="CD18" s="1"/>
      <c r="CE18" s="1"/>
      <c r="CF18" s="1"/>
      <c r="CG18" s="1"/>
      <c r="CH18" s="1"/>
      <c r="CI18" s="1"/>
    </row>
    <row r="19" customFormat="false" ht="186.75" hidden="false" customHeight="false" outlineLevel="0" collapsed="false">
      <c r="A19" s="1"/>
      <c r="B19" s="1" t="n">
        <v>1124063</v>
      </c>
      <c r="C19" s="25" t="n">
        <v>42635</v>
      </c>
      <c r="D19" s="1" t="n">
        <v>17</v>
      </c>
      <c r="E19" s="26" t="s">
        <v>376</v>
      </c>
      <c r="F19" s="1"/>
      <c r="G19" s="1"/>
      <c r="H19" s="1"/>
      <c r="I19" s="1"/>
      <c r="J19" s="1"/>
      <c r="K19" s="1"/>
      <c r="L19" s="1"/>
      <c r="M19" s="1"/>
      <c r="N19" s="1"/>
      <c r="O19" s="31" t="b">
        <f aca="false">TRUE()</f>
        <v>1</v>
      </c>
      <c r="P19" s="1"/>
      <c r="Q19" s="1"/>
      <c r="R19" s="1"/>
      <c r="S19" s="27" t="b">
        <f aca="false">TRUE()</f>
        <v>1</v>
      </c>
      <c r="T19" s="1"/>
      <c r="U19" s="1"/>
      <c r="V19" s="1"/>
      <c r="W19" s="1" t="s">
        <v>163</v>
      </c>
      <c r="X19" s="1"/>
      <c r="Y19" s="1"/>
      <c r="Z19" s="1"/>
      <c r="AA19" s="1"/>
      <c r="AB19" s="1"/>
      <c r="AC19" s="1"/>
      <c r="AD19" s="1"/>
      <c r="AE19" s="1"/>
      <c r="AF19" s="1"/>
      <c r="AG19" s="1"/>
      <c r="AH19" s="1"/>
      <c r="AI19" s="1"/>
      <c r="AJ19" s="1"/>
      <c r="AK19" s="1"/>
      <c r="AL19" s="1"/>
      <c r="AM19" s="27" t="b">
        <f aca="false">FALSE()</f>
        <v>0</v>
      </c>
      <c r="AN19" s="27" t="b">
        <f aca="false">FALSE()</f>
        <v>0</v>
      </c>
      <c r="AO19" s="1" t="s">
        <v>107</v>
      </c>
      <c r="AP19" s="1" t="s">
        <v>164</v>
      </c>
      <c r="AQ19" s="1" t="s">
        <v>122</v>
      </c>
      <c r="AR19" s="1" t="s">
        <v>97</v>
      </c>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27" t="b">
        <f aca="false">TRUE()</f>
        <v>1</v>
      </c>
      <c r="CA19" s="31" t="b">
        <f aca="false">TRUE()</f>
        <v>1</v>
      </c>
      <c r="CB19" s="1"/>
      <c r="CC19" s="1"/>
      <c r="CD19" s="1"/>
      <c r="CE19" s="1"/>
      <c r="CF19" s="1"/>
      <c r="CG19" s="1"/>
      <c r="CH19" s="1"/>
      <c r="CI19" s="1"/>
    </row>
    <row r="20" customFormat="false" ht="153" hidden="false" customHeight="false" outlineLevel="0" collapsed="false">
      <c r="A20" s="1"/>
      <c r="B20" s="1" t="n">
        <v>1124063</v>
      </c>
      <c r="C20" s="25" t="n">
        <v>42670</v>
      </c>
      <c r="D20" s="1" t="n">
        <v>18</v>
      </c>
      <c r="E20" s="26" t="s">
        <v>377</v>
      </c>
      <c r="F20" s="1"/>
      <c r="G20" s="1"/>
      <c r="H20" s="1"/>
      <c r="I20" s="1"/>
      <c r="J20" s="1"/>
      <c r="K20" s="1"/>
      <c r="L20" s="1"/>
      <c r="M20" s="1"/>
      <c r="N20" s="1"/>
      <c r="O20" s="31" t="b">
        <f aca="false">TRUE()</f>
        <v>1</v>
      </c>
      <c r="P20" s="1"/>
      <c r="Q20" s="27" t="b">
        <f aca="false">TRUE()</f>
        <v>1</v>
      </c>
      <c r="R20" s="1"/>
      <c r="S20" s="1"/>
      <c r="T20" s="1"/>
      <c r="U20" s="1"/>
      <c r="V20" s="1"/>
      <c r="W20" s="1"/>
      <c r="X20" s="1"/>
      <c r="Y20" s="1"/>
      <c r="Z20" s="1"/>
      <c r="AA20" s="1"/>
      <c r="AB20" s="1"/>
      <c r="AC20" s="1"/>
      <c r="AD20" s="1"/>
      <c r="AE20" s="1"/>
      <c r="AF20" s="1"/>
      <c r="AG20" s="1"/>
      <c r="AH20" s="1"/>
      <c r="AI20" s="1"/>
      <c r="AJ20" s="1"/>
      <c r="AK20" s="1"/>
      <c r="AL20" s="1"/>
      <c r="AM20" s="27" t="b">
        <f aca="false">FALSE()</f>
        <v>0</v>
      </c>
      <c r="AN20" s="27" t="b">
        <f aca="false">TRUE()</f>
        <v>1</v>
      </c>
      <c r="AO20" s="1" t="s">
        <v>107</v>
      </c>
      <c r="AP20" s="1" t="s">
        <v>164</v>
      </c>
      <c r="AQ20" s="1" t="s">
        <v>96</v>
      </c>
      <c r="AR20" s="1" t="s">
        <v>97</v>
      </c>
      <c r="AS20" s="1" t="s">
        <v>168</v>
      </c>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27" t="b">
        <f aca="false">TRUE()</f>
        <v>1</v>
      </c>
      <c r="BU20" s="1" t="s">
        <v>153</v>
      </c>
      <c r="BV20" s="27" t="b">
        <f aca="false">TRUE()</f>
        <v>1</v>
      </c>
      <c r="BW20" s="1"/>
      <c r="BX20" s="1"/>
      <c r="BY20" s="1"/>
      <c r="BZ20" s="1"/>
      <c r="CA20" s="1"/>
      <c r="CB20" s="31" t="b">
        <f aca="false">TRUE()</f>
        <v>1</v>
      </c>
      <c r="CC20" s="1"/>
      <c r="CD20" s="1"/>
      <c r="CE20" s="1"/>
      <c r="CF20" s="1"/>
      <c r="CG20" s="1"/>
      <c r="CH20" s="1"/>
      <c r="CI20" s="1"/>
    </row>
    <row r="21" customFormat="false" ht="118.5" hidden="false" customHeight="false" outlineLevel="0" collapsed="false">
      <c r="A21" s="1"/>
      <c r="B21" s="1" t="n">
        <v>1124063</v>
      </c>
      <c r="C21" s="25" t="n">
        <v>42712</v>
      </c>
      <c r="D21" s="1" t="n">
        <v>20</v>
      </c>
      <c r="E21" s="26" t="s">
        <v>378</v>
      </c>
      <c r="F21" s="1"/>
      <c r="G21" s="1"/>
      <c r="H21" s="1"/>
      <c r="I21" s="1"/>
      <c r="J21" s="1"/>
      <c r="K21" s="1"/>
      <c r="L21" s="1"/>
      <c r="M21" s="1"/>
      <c r="N21" s="1"/>
      <c r="O21" s="31" t="b">
        <f aca="false">TRUE()</f>
        <v>1</v>
      </c>
      <c r="P21" s="1"/>
      <c r="Q21" s="1"/>
      <c r="R21" s="1"/>
      <c r="S21" s="1"/>
      <c r="T21" s="1"/>
      <c r="U21" s="1"/>
      <c r="V21" s="1"/>
      <c r="W21" s="1"/>
      <c r="X21" s="1"/>
      <c r="Y21" s="1"/>
      <c r="Z21" s="1"/>
      <c r="AA21" s="1"/>
      <c r="AB21" s="1"/>
      <c r="AC21" s="1"/>
      <c r="AD21" s="1"/>
      <c r="AE21" s="1" t="s">
        <v>113</v>
      </c>
      <c r="AF21" s="1"/>
      <c r="AG21" s="1"/>
      <c r="AH21" s="1"/>
      <c r="AI21" s="1"/>
      <c r="AJ21" s="1"/>
      <c r="AK21" s="1"/>
      <c r="AL21" s="1"/>
      <c r="AM21" s="27" t="b">
        <f aca="false">FALSE()</f>
        <v>0</v>
      </c>
      <c r="AN21" s="27" t="b">
        <f aca="false">FALSE()</f>
        <v>0</v>
      </c>
      <c r="AO21" s="1" t="s">
        <v>107</v>
      </c>
      <c r="AP21" s="1" t="s">
        <v>164</v>
      </c>
      <c r="AQ21" s="1" t="s">
        <v>96</v>
      </c>
      <c r="AR21" s="1" t="s">
        <v>97</v>
      </c>
      <c r="AS21" s="1" t="s">
        <v>168</v>
      </c>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31" t="b">
        <f aca="false">TRUE()</f>
        <v>1</v>
      </c>
      <c r="CC21" s="1"/>
      <c r="CD21" s="1"/>
      <c r="CE21" s="1"/>
      <c r="CF21" s="1"/>
      <c r="CG21" s="1"/>
      <c r="CH21" s="1"/>
      <c r="CI21" s="1"/>
    </row>
    <row r="22" customFormat="false" ht="135.75" hidden="false" customHeight="false" outlineLevel="0" collapsed="false">
      <c r="A22" s="1"/>
      <c r="B22" s="1" t="n">
        <v>1124063</v>
      </c>
      <c r="C22" s="25" t="n">
        <v>42761</v>
      </c>
      <c r="D22" s="1" t="n">
        <v>21</v>
      </c>
      <c r="E22" s="26" t="s">
        <v>379</v>
      </c>
      <c r="F22" s="1"/>
      <c r="G22" s="1"/>
      <c r="H22" s="1"/>
      <c r="I22" s="1"/>
      <c r="J22" s="1"/>
      <c r="K22" s="1"/>
      <c r="L22" s="1"/>
      <c r="M22" s="1"/>
      <c r="N22" s="1"/>
      <c r="O22" s="31" t="b">
        <f aca="false">TRUE()</f>
        <v>1</v>
      </c>
      <c r="P22" s="1"/>
      <c r="Q22" s="1"/>
      <c r="R22" s="1"/>
      <c r="S22" s="1"/>
      <c r="T22" s="1"/>
      <c r="U22" s="1"/>
      <c r="V22" s="1"/>
      <c r="W22" s="1"/>
      <c r="X22" s="1"/>
      <c r="Y22" s="1"/>
      <c r="Z22" s="1"/>
      <c r="AA22" s="1"/>
      <c r="AB22" s="1"/>
      <c r="AC22" s="1"/>
      <c r="AD22" s="1"/>
      <c r="AE22" s="1" t="s">
        <v>113</v>
      </c>
      <c r="AF22" s="1"/>
      <c r="AG22" s="1"/>
      <c r="AH22" s="1"/>
      <c r="AI22" s="1"/>
      <c r="AJ22" s="1"/>
      <c r="AK22" s="1"/>
      <c r="AL22" s="1"/>
      <c r="AM22" s="27" t="b">
        <f aca="false">FALSE()</f>
        <v>0</v>
      </c>
      <c r="AN22" s="27" t="b">
        <f aca="false">FALSE()</f>
        <v>0</v>
      </c>
      <c r="AO22" s="1" t="s">
        <v>107</v>
      </c>
      <c r="AP22" s="1" t="s">
        <v>164</v>
      </c>
      <c r="AQ22" s="1" t="s">
        <v>96</v>
      </c>
      <c r="AR22" s="1" t="s">
        <v>97</v>
      </c>
      <c r="AS22" s="1" t="s">
        <v>168</v>
      </c>
      <c r="AT22" s="1" t="s">
        <v>150</v>
      </c>
      <c r="AU22" s="1"/>
      <c r="AV22" s="1" t="s">
        <v>150</v>
      </c>
      <c r="AW22" s="1"/>
      <c r="AX22" s="1"/>
      <c r="AY22" s="31" t="b">
        <f aca="false">TRUE()</f>
        <v>1</v>
      </c>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row>
    <row r="23" customFormat="false" ht="169.5" hidden="false" customHeight="false" outlineLevel="0" collapsed="false">
      <c r="A23" s="1"/>
      <c r="B23" s="1" t="n">
        <v>1124063</v>
      </c>
      <c r="C23" s="25" t="n">
        <v>42815</v>
      </c>
      <c r="D23" s="1" t="n">
        <v>23</v>
      </c>
      <c r="E23" s="26" t="s">
        <v>380</v>
      </c>
      <c r="F23" s="1"/>
      <c r="G23" s="1"/>
      <c r="H23" s="1"/>
      <c r="I23" s="1"/>
      <c r="J23" s="1"/>
      <c r="K23" s="1"/>
      <c r="L23" s="1"/>
      <c r="M23" s="1"/>
      <c r="N23" s="1"/>
      <c r="O23" s="31" t="b">
        <f aca="false">TRUE()</f>
        <v>1</v>
      </c>
      <c r="P23" s="1"/>
      <c r="Q23" s="27" t="b">
        <f aca="false">TRUE()</f>
        <v>1</v>
      </c>
      <c r="R23" s="1"/>
      <c r="S23" s="1"/>
      <c r="T23" s="1"/>
      <c r="U23" s="1"/>
      <c r="V23" s="1"/>
      <c r="W23" s="1"/>
      <c r="X23" s="1"/>
      <c r="Y23" s="1"/>
      <c r="Z23" s="1" t="s">
        <v>128</v>
      </c>
      <c r="AA23" s="1"/>
      <c r="AB23" s="1" t="s">
        <v>87</v>
      </c>
      <c r="AC23" s="1"/>
      <c r="AD23" s="1"/>
      <c r="AE23" s="1"/>
      <c r="AF23" s="1"/>
      <c r="AG23" s="1"/>
      <c r="AH23" s="1"/>
      <c r="AI23" s="1"/>
      <c r="AJ23" s="1"/>
      <c r="AK23" s="1"/>
      <c r="AL23" s="1"/>
      <c r="AM23" s="27" t="b">
        <f aca="false">FALSE()</f>
        <v>0</v>
      </c>
      <c r="AN23" s="27" t="b">
        <f aca="false">FALSE()</f>
        <v>0</v>
      </c>
      <c r="AO23" s="1" t="s">
        <v>107</v>
      </c>
      <c r="AP23" s="1" t="s">
        <v>164</v>
      </c>
      <c r="AQ23" s="1" t="s">
        <v>96</v>
      </c>
      <c r="AR23" s="1" t="s">
        <v>97</v>
      </c>
      <c r="AS23" s="1" t="s">
        <v>105</v>
      </c>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31" t="b">
        <f aca="false">TRUE()</f>
        <v>1</v>
      </c>
      <c r="CC23" s="1"/>
      <c r="CD23" s="1"/>
      <c r="CE23" s="1"/>
      <c r="CF23" s="1"/>
      <c r="CG23" s="1"/>
      <c r="CH23" s="1"/>
      <c r="CI23" s="1"/>
    </row>
    <row r="24" customFormat="false" ht="186.75" hidden="false" customHeight="false" outlineLevel="0" collapsed="false">
      <c r="A24" s="1"/>
      <c r="B24" s="1" t="n">
        <v>1124063</v>
      </c>
      <c r="C24" s="25" t="n">
        <v>42838</v>
      </c>
      <c r="D24" s="1" t="n">
        <v>24</v>
      </c>
      <c r="E24" s="26" t="s">
        <v>381</v>
      </c>
      <c r="F24" s="1"/>
      <c r="G24" s="1"/>
      <c r="H24" s="1"/>
      <c r="I24" s="1"/>
      <c r="J24" s="1"/>
      <c r="K24" s="1"/>
      <c r="L24" s="1"/>
      <c r="M24" s="1"/>
      <c r="N24" s="1"/>
      <c r="O24" s="31" t="b">
        <f aca="false">TRUE()</f>
        <v>1</v>
      </c>
      <c r="P24" s="1"/>
      <c r="Q24" s="1"/>
      <c r="R24" s="27" t="b">
        <f aca="false">TRUE()</f>
        <v>1</v>
      </c>
      <c r="S24" s="1"/>
      <c r="T24" s="1"/>
      <c r="U24" s="1"/>
      <c r="V24" s="1"/>
      <c r="W24" s="1"/>
      <c r="X24" s="1"/>
      <c r="Y24" s="1"/>
      <c r="Z24" s="1"/>
      <c r="AA24" s="1"/>
      <c r="AB24" s="1"/>
      <c r="AC24" s="1"/>
      <c r="AD24" s="1"/>
      <c r="AE24" s="1"/>
      <c r="AF24" s="1"/>
      <c r="AG24" s="1"/>
      <c r="AH24" s="1"/>
      <c r="AI24" s="1"/>
      <c r="AJ24" s="1"/>
      <c r="AK24" s="1"/>
      <c r="AL24" s="1"/>
      <c r="AM24" s="27" t="b">
        <f aca="false">FALSE()</f>
        <v>0</v>
      </c>
      <c r="AN24" s="27" t="b">
        <f aca="false">FALSE()</f>
        <v>0</v>
      </c>
      <c r="AO24" s="1" t="s">
        <v>107</v>
      </c>
      <c r="AP24" s="1" t="s">
        <v>164</v>
      </c>
      <c r="AQ24" s="1" t="s">
        <v>96</v>
      </c>
      <c r="AR24" s="1" t="s">
        <v>97</v>
      </c>
      <c r="AS24" s="1" t="s">
        <v>105</v>
      </c>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27" t="b">
        <f aca="false">TRUE()</f>
        <v>1</v>
      </c>
      <c r="BZ24" s="1"/>
      <c r="CA24" s="1"/>
      <c r="CB24" s="31" t="b">
        <f aca="false">TRUE()</f>
        <v>1</v>
      </c>
      <c r="CC24" s="1"/>
      <c r="CD24" s="1"/>
      <c r="CE24" s="1"/>
      <c r="CF24" s="1"/>
      <c r="CG24" s="1"/>
      <c r="CH24" s="1"/>
      <c r="CI24" s="1"/>
    </row>
    <row r="25" customFormat="false" ht="135.75" hidden="false" customHeight="false" outlineLevel="0" collapsed="false">
      <c r="A25" s="1"/>
      <c r="B25" s="1" t="n">
        <v>1124063</v>
      </c>
      <c r="C25" s="25" t="n">
        <v>42873</v>
      </c>
      <c r="D25" s="1" t="n">
        <v>25</v>
      </c>
      <c r="E25" s="26" t="s">
        <v>382</v>
      </c>
      <c r="F25" s="1"/>
      <c r="G25" s="31" t="b">
        <f aca="false">TRUE()</f>
        <v>1</v>
      </c>
      <c r="H25" s="1"/>
      <c r="I25" s="1"/>
      <c r="J25" s="1"/>
      <c r="K25" s="1"/>
      <c r="L25" s="1"/>
      <c r="M25" s="1"/>
      <c r="N25" s="1"/>
      <c r="O25" s="27" t="b">
        <f aca="false">FALSE()</f>
        <v>0</v>
      </c>
      <c r="P25" s="1"/>
      <c r="Q25" s="1"/>
      <c r="R25" s="1"/>
      <c r="S25" s="1"/>
      <c r="T25" s="1"/>
      <c r="U25" s="1"/>
      <c r="V25" s="1"/>
      <c r="W25" s="1"/>
      <c r="X25" s="1"/>
      <c r="Y25" s="1"/>
      <c r="Z25" s="1"/>
      <c r="AA25" s="1"/>
      <c r="AB25" s="1"/>
      <c r="AC25" s="1"/>
      <c r="AD25" s="1"/>
      <c r="AE25" s="1"/>
      <c r="AF25" s="1"/>
      <c r="AG25" s="1"/>
      <c r="AH25" s="1"/>
      <c r="AI25" s="1"/>
      <c r="AJ25" s="1"/>
      <c r="AK25" s="1"/>
      <c r="AL25" s="1"/>
      <c r="AM25" s="27" t="b">
        <f aca="false">TRUE()</f>
        <v>1</v>
      </c>
      <c r="AN25" s="27" t="b">
        <f aca="false">TRUE()</f>
        <v>1</v>
      </c>
      <c r="AO25" s="1" t="s">
        <v>96</v>
      </c>
      <c r="AP25" s="1" t="s">
        <v>167</v>
      </c>
      <c r="AQ25" s="1" t="s">
        <v>96</v>
      </c>
      <c r="AR25" s="1" t="s">
        <v>164</v>
      </c>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237.75" hidden="false" customHeight="false" outlineLevel="0" collapsed="false">
      <c r="A26" s="1"/>
      <c r="B26" s="1" t="n">
        <v>1124063</v>
      </c>
      <c r="C26" s="25" t="n">
        <v>42901</v>
      </c>
      <c r="D26" s="1" t="n">
        <v>26</v>
      </c>
      <c r="E26" s="26" t="s">
        <v>383</v>
      </c>
      <c r="F26" s="1"/>
      <c r="G26" s="1"/>
      <c r="H26" s="1"/>
      <c r="I26" s="1"/>
      <c r="J26" s="1"/>
      <c r="K26" s="1"/>
      <c r="L26" s="1"/>
      <c r="M26" s="1"/>
      <c r="N26" s="1"/>
      <c r="O26" s="31" t="b">
        <f aca="false">TRUE()</f>
        <v>1</v>
      </c>
      <c r="P26" s="1"/>
      <c r="Q26" s="1"/>
      <c r="R26" s="1"/>
      <c r="S26" s="1"/>
      <c r="T26" s="1"/>
      <c r="U26" s="1"/>
      <c r="V26" s="1"/>
      <c r="W26" s="1"/>
      <c r="X26" s="1"/>
      <c r="Y26" s="1"/>
      <c r="Z26" s="1"/>
      <c r="AA26" s="1" t="s">
        <v>87</v>
      </c>
      <c r="AB26" s="1"/>
      <c r="AC26" s="1"/>
      <c r="AD26" s="1"/>
      <c r="AE26" s="1"/>
      <c r="AF26" s="1"/>
      <c r="AG26" s="1"/>
      <c r="AH26" s="1"/>
      <c r="AI26" s="1"/>
      <c r="AJ26" s="1"/>
      <c r="AK26" s="1"/>
      <c r="AL26" s="1"/>
      <c r="AM26" s="27" t="b">
        <f aca="false">TRUE()</f>
        <v>1</v>
      </c>
      <c r="AN26" s="27" t="b">
        <f aca="false">TRUE()</f>
        <v>1</v>
      </c>
      <c r="AO26" s="1" t="s">
        <v>96</v>
      </c>
      <c r="AP26" s="1" t="s">
        <v>97</v>
      </c>
      <c r="AQ26" s="1" t="s">
        <v>96</v>
      </c>
      <c r="AR26" s="1" t="s">
        <v>97</v>
      </c>
      <c r="AS26" s="1" t="s">
        <v>105</v>
      </c>
      <c r="AT26" s="1"/>
      <c r="AU26" s="1"/>
      <c r="AV26" s="1" t="s">
        <v>384</v>
      </c>
      <c r="AW26" s="1"/>
      <c r="AX26" s="1"/>
      <c r="AY26" s="1"/>
      <c r="AZ26" s="1"/>
      <c r="BA26" s="31" t="b">
        <f aca="false">TRUE()</f>
        <v>1</v>
      </c>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51" hidden="false" customHeight="false" outlineLevel="0" collapsed="false">
      <c r="A27" s="1"/>
      <c r="B27" s="1" t="n">
        <v>1124063</v>
      </c>
      <c r="C27" s="25" t="n">
        <v>42937</v>
      </c>
      <c r="D27" s="1" t="n">
        <v>27</v>
      </c>
      <c r="E27" s="26" t="s">
        <v>385</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31" t="b">
        <f aca="false">TRUE()</f>
        <v>1</v>
      </c>
      <c r="BU27" s="1" t="s">
        <v>153</v>
      </c>
      <c r="BV27" s="31" t="b">
        <f aca="false">TRUE()</f>
        <v>1</v>
      </c>
      <c r="BW27" s="1"/>
      <c r="BX27" s="1"/>
      <c r="BY27" s="1"/>
      <c r="BZ27" s="1"/>
      <c r="CA27" s="1"/>
      <c r="CB27" s="1"/>
      <c r="CC27" s="1"/>
      <c r="CD27" s="1"/>
      <c r="CE27" s="1"/>
      <c r="CF27" s="1"/>
      <c r="CG27" s="1"/>
      <c r="CH27" s="1"/>
      <c r="CI27" s="1"/>
    </row>
    <row r="28" customFormat="false" ht="135.75" hidden="false" customHeight="false" outlineLevel="0" collapsed="false">
      <c r="A28" s="1"/>
      <c r="B28" s="1" t="n">
        <v>1124063</v>
      </c>
      <c r="C28" s="25" t="n">
        <v>42944</v>
      </c>
      <c r="D28" s="1" t="n">
        <v>27</v>
      </c>
      <c r="E28" s="26" t="s">
        <v>386</v>
      </c>
      <c r="F28" s="1"/>
      <c r="G28" s="1"/>
      <c r="H28" s="1"/>
      <c r="I28" s="1"/>
      <c r="J28" s="1"/>
      <c r="K28" s="1"/>
      <c r="L28" s="1"/>
      <c r="M28" s="1"/>
      <c r="N28" s="1"/>
      <c r="O28" s="31" t="b">
        <f aca="false">TRUE()</f>
        <v>1</v>
      </c>
      <c r="P28" s="1"/>
      <c r="Q28" s="1"/>
      <c r="R28" s="1"/>
      <c r="S28" s="1"/>
      <c r="T28" s="1"/>
      <c r="U28" s="1"/>
      <c r="V28" s="1"/>
      <c r="W28" s="1"/>
      <c r="X28" s="1"/>
      <c r="Y28" s="1"/>
      <c r="Z28" s="1"/>
      <c r="AA28" s="1"/>
      <c r="AB28" s="1"/>
      <c r="AC28" s="1"/>
      <c r="AD28" s="1"/>
      <c r="AE28" s="1"/>
      <c r="AF28" s="1"/>
      <c r="AG28" s="1"/>
      <c r="AH28" s="1"/>
      <c r="AI28" s="1"/>
      <c r="AJ28" s="1"/>
      <c r="AK28" s="1"/>
      <c r="AL28" s="1"/>
      <c r="AM28" s="27" t="b">
        <f aca="false">TRUE()</f>
        <v>1</v>
      </c>
      <c r="AN28" s="27" t="b">
        <f aca="false">FALSE()</f>
        <v>0</v>
      </c>
      <c r="AO28" s="1" t="s">
        <v>96</v>
      </c>
      <c r="AP28" s="1" t="s">
        <v>167</v>
      </c>
      <c r="AQ28" s="1" t="s">
        <v>96</v>
      </c>
      <c r="AR28" s="1" t="s">
        <v>97</v>
      </c>
      <c r="AS28" s="1" t="s">
        <v>105</v>
      </c>
      <c r="AT28" s="1"/>
      <c r="AU28" s="1"/>
      <c r="AV28" s="1" t="s">
        <v>384</v>
      </c>
      <c r="AW28" s="1" t="s">
        <v>387</v>
      </c>
      <c r="AX28" s="1"/>
      <c r="AY28" s="1"/>
      <c r="AZ28" s="1"/>
      <c r="BA28" s="31" t="b">
        <f aca="false">TRUE()</f>
        <v>1</v>
      </c>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row>
    <row r="29" customFormat="false" ht="153" hidden="false" customHeight="false" outlineLevel="0" collapsed="false">
      <c r="A29" s="1"/>
      <c r="B29" s="1" t="n">
        <v>1124063</v>
      </c>
      <c r="C29" s="25" t="n">
        <v>42968</v>
      </c>
      <c r="D29" s="1" t="n">
        <v>28</v>
      </c>
      <c r="E29" s="26" t="s">
        <v>388</v>
      </c>
      <c r="F29" s="1"/>
      <c r="G29" s="1"/>
      <c r="H29" s="1"/>
      <c r="I29" s="1"/>
      <c r="J29" s="1"/>
      <c r="K29" s="1"/>
      <c r="L29" s="1"/>
      <c r="M29" s="1"/>
      <c r="N29" s="1"/>
      <c r="O29" s="31" t="b">
        <f aca="false">TRUE()</f>
        <v>1</v>
      </c>
      <c r="P29" s="1"/>
      <c r="Q29" s="1"/>
      <c r="R29" s="1"/>
      <c r="S29" s="1"/>
      <c r="T29" s="1"/>
      <c r="U29" s="1"/>
      <c r="V29" s="1"/>
      <c r="W29" s="1"/>
      <c r="X29" s="1"/>
      <c r="Y29" s="1"/>
      <c r="Z29" s="1"/>
      <c r="AA29" s="1"/>
      <c r="AB29" s="1"/>
      <c r="AC29" s="1"/>
      <c r="AD29" s="1"/>
      <c r="AE29" s="1"/>
      <c r="AF29" s="1"/>
      <c r="AG29" s="1"/>
      <c r="AH29" s="1"/>
      <c r="AI29" s="1"/>
      <c r="AJ29" s="1"/>
      <c r="AK29" s="1"/>
      <c r="AL29" s="1"/>
      <c r="AM29" s="27" t="b">
        <f aca="false">TRUE()</f>
        <v>1</v>
      </c>
      <c r="AN29" s="27" t="b">
        <f aca="false">TRUE()</f>
        <v>1</v>
      </c>
      <c r="AO29" s="1" t="s">
        <v>96</v>
      </c>
      <c r="AP29" s="1" t="s">
        <v>160</v>
      </c>
      <c r="AQ29" s="1" t="s">
        <v>122</v>
      </c>
      <c r="AR29" s="1" t="s">
        <v>97</v>
      </c>
      <c r="AS29" s="1" t="s">
        <v>105</v>
      </c>
      <c r="AT29" s="1"/>
      <c r="AU29" s="1"/>
      <c r="AV29" s="1" t="s">
        <v>384</v>
      </c>
      <c r="AW29" s="1" t="s">
        <v>387</v>
      </c>
      <c r="AX29" s="1"/>
      <c r="AY29" s="1"/>
      <c r="AZ29" s="1"/>
      <c r="BA29" s="31" t="b">
        <f aca="false">TRUE()</f>
        <v>1</v>
      </c>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169.5" hidden="false" customHeight="false" outlineLevel="0" collapsed="false">
      <c r="A30" s="1"/>
      <c r="B30" s="1" t="n">
        <v>1124063</v>
      </c>
      <c r="C30" s="25" t="n">
        <v>42992</v>
      </c>
      <c r="D30" s="1" t="n">
        <v>29</v>
      </c>
      <c r="E30" s="26" t="s">
        <v>389</v>
      </c>
      <c r="F30" s="1"/>
      <c r="G30" s="1"/>
      <c r="H30" s="1"/>
      <c r="I30" s="1"/>
      <c r="J30" s="1"/>
      <c r="K30" s="1"/>
      <c r="L30" s="1"/>
      <c r="M30" s="1"/>
      <c r="N30" s="1"/>
      <c r="O30" s="31" t="b">
        <f aca="false">TRUE()</f>
        <v>1</v>
      </c>
      <c r="P30" s="1"/>
      <c r="Q30" s="1"/>
      <c r="R30" s="1"/>
      <c r="S30" s="1"/>
      <c r="T30" s="1"/>
      <c r="U30" s="1"/>
      <c r="V30" s="1"/>
      <c r="W30" s="1"/>
      <c r="X30" s="1"/>
      <c r="Y30" s="1"/>
      <c r="Z30" s="1"/>
      <c r="AA30" s="1"/>
      <c r="AB30" s="1"/>
      <c r="AC30" s="1"/>
      <c r="AD30" s="1"/>
      <c r="AE30" s="1"/>
      <c r="AF30" s="1"/>
      <c r="AG30" s="1"/>
      <c r="AH30" s="1"/>
      <c r="AI30" s="1"/>
      <c r="AJ30" s="1"/>
      <c r="AK30" s="1"/>
      <c r="AL30" s="1"/>
      <c r="AM30" s="27" t="b">
        <f aca="false">TRUE()</f>
        <v>1</v>
      </c>
      <c r="AN30" s="27" t="b">
        <f aca="false">FALSE()</f>
        <v>0</v>
      </c>
      <c r="AO30" s="1" t="s">
        <v>122</v>
      </c>
      <c r="AP30" s="1" t="s">
        <v>97</v>
      </c>
      <c r="AQ30" s="1" t="s">
        <v>122</v>
      </c>
      <c r="AR30" s="1" t="s">
        <v>97</v>
      </c>
      <c r="AS30" s="1" t="s">
        <v>105</v>
      </c>
      <c r="AT30" s="1"/>
      <c r="AU30" s="1"/>
      <c r="AV30" s="1" t="s">
        <v>384</v>
      </c>
      <c r="AW30" s="1" t="s">
        <v>387</v>
      </c>
      <c r="AX30" s="1"/>
      <c r="AY30" s="1"/>
      <c r="AZ30" s="1"/>
      <c r="BA30" s="31" t="b">
        <f aca="false">TRUE()</f>
        <v>1</v>
      </c>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84.75" hidden="false" customHeight="false" outlineLevel="0" collapsed="false">
      <c r="A31" s="1"/>
      <c r="B31" s="1" t="n">
        <v>1124063</v>
      </c>
      <c r="C31" s="25" t="n">
        <v>43073</v>
      </c>
      <c r="D31" s="1" t="n">
        <v>32</v>
      </c>
      <c r="E31" s="26" t="s">
        <v>390</v>
      </c>
      <c r="F31" s="1"/>
      <c r="G31" s="1"/>
      <c r="H31" s="1"/>
      <c r="I31" s="1"/>
      <c r="J31" s="1"/>
      <c r="K31" s="1"/>
      <c r="L31" s="1"/>
      <c r="M31" s="1"/>
      <c r="N31" s="1"/>
      <c r="O31" s="1" t="b">
        <f aca="false">TRUE()</f>
        <v>1</v>
      </c>
      <c r="P31" s="1"/>
      <c r="Q31" s="27" t="b">
        <f aca="false">TRUE()</f>
        <v>1</v>
      </c>
      <c r="R31" s="27" t="b">
        <f aca="false">TRUE()</f>
        <v>1</v>
      </c>
      <c r="S31" s="1"/>
      <c r="T31" s="1"/>
      <c r="U31" s="1"/>
      <c r="V31" s="1"/>
      <c r="W31" s="1"/>
      <c r="X31" s="1"/>
      <c r="Y31" s="1"/>
      <c r="Z31" s="1"/>
      <c r="AA31" s="1"/>
      <c r="AB31" s="1"/>
      <c r="AC31" s="1"/>
      <c r="AD31" s="1"/>
      <c r="AE31" s="1"/>
      <c r="AF31" s="1"/>
      <c r="AG31" s="1"/>
      <c r="AH31" s="1"/>
      <c r="AI31" s="1"/>
      <c r="AJ31" s="1"/>
      <c r="AK31" s="1"/>
      <c r="AL31" s="1"/>
      <c r="AM31" s="27" t="b">
        <f aca="false">FALSE()</f>
        <v>0</v>
      </c>
      <c r="AN31" s="27" t="b">
        <f aca="false">FALSE()</f>
        <v>0</v>
      </c>
      <c r="AO31" s="1" t="s">
        <v>122</v>
      </c>
      <c r="AP31" s="1" t="s">
        <v>97</v>
      </c>
      <c r="AQ31" s="1" t="s">
        <v>122</v>
      </c>
      <c r="AR31" s="1" t="s">
        <v>97</v>
      </c>
      <c r="AS31" s="1" t="s">
        <v>105</v>
      </c>
      <c r="AT31" s="1"/>
      <c r="AU31" s="1"/>
      <c r="AV31" s="1" t="s">
        <v>384</v>
      </c>
      <c r="AW31" s="1" t="s">
        <v>387</v>
      </c>
      <c r="AX31" s="1"/>
      <c r="AY31" s="1"/>
      <c r="AZ31" s="1"/>
      <c r="BA31" s="1" t="b">
        <f aca="false">TRUE()</f>
        <v>1</v>
      </c>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6.5" hidden="false" customHeight="false" outlineLevel="0" collapsed="false">
      <c r="A32" s="1"/>
      <c r="B32" s="1" t="n">
        <v>1124063</v>
      </c>
      <c r="C32" s="25" t="n">
        <v>43129</v>
      </c>
      <c r="D32" s="1" t="n">
        <v>33</v>
      </c>
      <c r="E32" s="26" t="s">
        <v>391</v>
      </c>
      <c r="F32" s="1"/>
      <c r="G32" s="27" t="b">
        <f aca="false">TRUE()</f>
        <v>1</v>
      </c>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409.5" hidden="false" customHeight="false" outlineLevel="0" collapsed="false">
      <c r="A33" s="1"/>
      <c r="B33" s="1" t="n">
        <v>1124063</v>
      </c>
      <c r="C33" s="25" t="n">
        <v>43263</v>
      </c>
      <c r="D33" s="1" t="n">
        <v>38</v>
      </c>
      <c r="E33" s="26" t="s">
        <v>392</v>
      </c>
      <c r="F33" s="1"/>
      <c r="G33" s="1"/>
      <c r="H33" s="1"/>
      <c r="I33" s="1"/>
      <c r="J33" s="1"/>
      <c r="K33" s="1"/>
      <c r="L33" s="1"/>
      <c r="M33" s="1"/>
      <c r="N33" s="1"/>
      <c r="O33" s="1" t="b">
        <f aca="false">FALSE()</f>
        <v>0</v>
      </c>
      <c r="P33" s="1"/>
      <c r="Q33" s="1"/>
      <c r="R33" s="1"/>
      <c r="S33" s="1"/>
      <c r="T33" s="1"/>
      <c r="U33" s="1"/>
      <c r="V33" s="1"/>
      <c r="W33" s="1"/>
      <c r="X33" s="1"/>
      <c r="Y33" s="1"/>
      <c r="Z33" s="1" t="s">
        <v>87</v>
      </c>
      <c r="AA33" s="1" t="s">
        <v>87</v>
      </c>
      <c r="AB33" s="1" t="s">
        <v>87</v>
      </c>
      <c r="AC33" s="1" t="s">
        <v>87</v>
      </c>
      <c r="AD33" s="1"/>
      <c r="AE33" s="1"/>
      <c r="AF33" s="1"/>
      <c r="AG33" s="1"/>
      <c r="AH33" s="1"/>
      <c r="AI33" s="1"/>
      <c r="AJ33" s="1"/>
      <c r="AK33" s="1"/>
      <c r="AL33" s="1"/>
      <c r="AM33" s="27" t="b">
        <f aca="false">FALSE()</f>
        <v>0</v>
      </c>
      <c r="AN33" s="27" t="b">
        <f aca="false">FALSE()</f>
        <v>0</v>
      </c>
      <c r="AO33" s="1" t="s">
        <v>122</v>
      </c>
      <c r="AP33" s="1" t="s">
        <v>97</v>
      </c>
      <c r="AQ33" s="1" t="s">
        <v>122</v>
      </c>
      <c r="AR33" s="1" t="s">
        <v>97</v>
      </c>
      <c r="AS33" s="1" t="s">
        <v>168</v>
      </c>
      <c r="AT33" s="1"/>
      <c r="AU33" s="1"/>
      <c r="AV33" s="1"/>
      <c r="AW33" s="1"/>
      <c r="AX33" s="1"/>
      <c r="AY33" s="1"/>
      <c r="AZ33" s="1"/>
      <c r="BA33" s="1"/>
      <c r="BB33" s="1"/>
      <c r="BC33" s="1"/>
      <c r="BD33" s="1"/>
      <c r="BE33" s="1"/>
      <c r="BF33" s="1"/>
      <c r="BG33" s="1"/>
      <c r="BH33" s="1"/>
      <c r="BI33" s="1"/>
      <c r="BJ33" s="1"/>
      <c r="BK33" s="1"/>
      <c r="BL33" s="1"/>
      <c r="BM33" s="1"/>
      <c r="BN33" s="1"/>
      <c r="BO33" s="1"/>
      <c r="BP33" s="1"/>
      <c r="BQ33" s="1" t="s">
        <v>135</v>
      </c>
      <c r="BR33" s="1"/>
      <c r="BS33" s="1"/>
      <c r="BT33" s="1"/>
      <c r="BU33" s="1"/>
      <c r="BV33" s="1"/>
      <c r="BW33" s="1"/>
      <c r="BX33" s="1"/>
      <c r="BY33" s="1"/>
      <c r="BZ33" s="1"/>
      <c r="CA33" s="1"/>
      <c r="CB33" s="1"/>
      <c r="CC33" s="1"/>
      <c r="CD33" s="1"/>
      <c r="CE33" s="1"/>
      <c r="CF33" s="1"/>
      <c r="CG33" s="1"/>
      <c r="CH33" s="1"/>
      <c r="CI33" s="1"/>
    </row>
    <row r="34" customFormat="false" ht="409.5" hidden="false" customHeight="false" outlineLevel="0" collapsed="false">
      <c r="A34" s="1"/>
      <c r="B34" s="1" t="n">
        <v>1124063</v>
      </c>
      <c r="C34" s="25" t="n">
        <v>43298</v>
      </c>
      <c r="D34" s="1" t="n">
        <v>39</v>
      </c>
      <c r="E34" s="26" t="s">
        <v>393</v>
      </c>
      <c r="F34" s="1"/>
      <c r="G34" s="1"/>
      <c r="H34" s="1"/>
      <c r="I34" s="1"/>
      <c r="J34" s="1"/>
      <c r="K34" s="1"/>
      <c r="L34" s="1"/>
      <c r="M34" s="1"/>
      <c r="N34" s="1"/>
      <c r="O34" s="1"/>
      <c r="P34" s="1"/>
      <c r="Q34" s="1"/>
      <c r="R34" s="1"/>
      <c r="S34" s="1"/>
      <c r="T34" s="1"/>
      <c r="U34" s="1"/>
      <c r="V34" s="1"/>
      <c r="W34" s="1"/>
      <c r="X34" s="1"/>
      <c r="Y34" s="1"/>
      <c r="Z34" s="1" t="s">
        <v>87</v>
      </c>
      <c r="AA34" s="1" t="s">
        <v>128</v>
      </c>
      <c r="AB34" s="1" t="s">
        <v>87</v>
      </c>
      <c r="AC34" s="1" t="s">
        <v>128</v>
      </c>
      <c r="AD34" s="1" t="s">
        <v>112</v>
      </c>
      <c r="AE34" s="1" t="s">
        <v>112</v>
      </c>
      <c r="AF34" s="1"/>
      <c r="AG34" s="1"/>
      <c r="AH34" s="1"/>
      <c r="AI34" s="1"/>
      <c r="AJ34" s="1"/>
      <c r="AK34" s="1"/>
      <c r="AL34" s="1"/>
      <c r="AM34" s="27" t="b">
        <f aca="false">FALSE()</f>
        <v>0</v>
      </c>
      <c r="AN34" s="27" t="b">
        <f aca="false">FALSE()</f>
        <v>0</v>
      </c>
      <c r="AO34" s="1" t="s">
        <v>122</v>
      </c>
      <c r="AP34" s="1" t="s">
        <v>97</v>
      </c>
      <c r="AQ34" s="1" t="s">
        <v>122</v>
      </c>
      <c r="AR34" s="1" t="s">
        <v>97</v>
      </c>
      <c r="AS34" s="1" t="s">
        <v>168</v>
      </c>
      <c r="AT34" s="1"/>
      <c r="AU34" s="1"/>
      <c r="AV34" s="1"/>
      <c r="AW34" s="1"/>
      <c r="AX34" s="1"/>
      <c r="AY34" s="1"/>
      <c r="AZ34" s="1"/>
      <c r="BA34" s="1"/>
      <c r="BB34" s="1"/>
      <c r="BC34" s="1"/>
      <c r="BD34" s="1"/>
      <c r="BE34" s="1"/>
      <c r="BF34" s="1"/>
      <c r="BG34" s="1"/>
      <c r="BH34" s="1"/>
      <c r="BI34" s="1"/>
      <c r="BJ34" s="1"/>
      <c r="BK34" s="1"/>
      <c r="BL34" s="1"/>
      <c r="BM34" s="1"/>
      <c r="BN34" s="1"/>
      <c r="BO34" s="1"/>
      <c r="BP34" s="1"/>
      <c r="BQ34" s="1" t="s">
        <v>135</v>
      </c>
      <c r="BR34" s="1" t="s">
        <v>103</v>
      </c>
      <c r="BS34" s="1"/>
      <c r="BT34" s="1"/>
      <c r="BU34" s="1"/>
      <c r="BV34" s="1"/>
      <c r="BW34" s="1"/>
      <c r="BX34" s="1"/>
      <c r="BY34" s="1"/>
      <c r="BZ34" s="1"/>
      <c r="CA34" s="1"/>
      <c r="CB34" s="1"/>
      <c r="CC34" s="1"/>
      <c r="CD34" s="1"/>
      <c r="CE34" s="1"/>
      <c r="CF34" s="1"/>
      <c r="CG34" s="1"/>
      <c r="CH34" s="1"/>
      <c r="CI34" s="1"/>
    </row>
    <row r="35" customFormat="false" ht="409.5" hidden="false" customHeight="false" outlineLevel="0" collapsed="false">
      <c r="A35" s="1"/>
      <c r="B35" s="1" t="n">
        <v>1124063</v>
      </c>
      <c r="C35" s="25" t="n">
        <v>43333</v>
      </c>
      <c r="D35" s="1" t="n">
        <v>40</v>
      </c>
      <c r="E35" s="26" t="s">
        <v>394</v>
      </c>
      <c r="F35" s="1"/>
      <c r="G35" s="1"/>
      <c r="H35" s="1"/>
      <c r="I35" s="1"/>
      <c r="J35" s="1"/>
      <c r="K35" s="1"/>
      <c r="L35" s="1"/>
      <c r="M35" s="1"/>
      <c r="N35" s="1"/>
      <c r="O35" s="31" t="b">
        <f aca="false">TRUE()</f>
        <v>1</v>
      </c>
      <c r="P35" s="1"/>
      <c r="Q35" s="1"/>
      <c r="R35" s="1"/>
      <c r="S35" s="1"/>
      <c r="T35" s="1"/>
      <c r="U35" s="1"/>
      <c r="V35" s="1"/>
      <c r="W35" s="1"/>
      <c r="X35" s="1"/>
      <c r="Y35" s="1"/>
      <c r="Z35" s="1" t="s">
        <v>115</v>
      </c>
      <c r="AA35" s="1" t="s">
        <v>128</v>
      </c>
      <c r="AB35" s="1" t="s">
        <v>115</v>
      </c>
      <c r="AC35" s="1" t="s">
        <v>128</v>
      </c>
      <c r="AD35" s="1" t="s">
        <v>112</v>
      </c>
      <c r="AE35" s="1" t="s">
        <v>112</v>
      </c>
      <c r="AF35" s="1"/>
      <c r="AG35" s="1"/>
      <c r="AH35" s="1"/>
      <c r="AI35" s="1"/>
      <c r="AJ35" s="1"/>
      <c r="AK35" s="1"/>
      <c r="AL35" s="1"/>
      <c r="AM35" s="27" t="b">
        <f aca="false">FALSE()</f>
        <v>0</v>
      </c>
      <c r="AN35" s="27" t="b">
        <f aca="false">FALSE()</f>
        <v>0</v>
      </c>
      <c r="AO35" s="1" t="s">
        <v>122</v>
      </c>
      <c r="AP35" s="1" t="s">
        <v>97</v>
      </c>
      <c r="AQ35" s="1" t="s">
        <v>122</v>
      </c>
      <c r="AR35" s="1" t="s">
        <v>97</v>
      </c>
      <c r="AS35" s="1" t="s">
        <v>168</v>
      </c>
      <c r="AT35" s="1"/>
      <c r="AU35" s="1"/>
      <c r="AV35" s="1"/>
      <c r="AW35" s="1"/>
      <c r="AX35" s="1"/>
      <c r="AY35" s="1"/>
      <c r="AZ35" s="1"/>
      <c r="BA35" s="1"/>
      <c r="BB35" s="1"/>
      <c r="BC35" s="1"/>
      <c r="BD35" s="1"/>
      <c r="BE35" s="1"/>
      <c r="BF35" s="1"/>
      <c r="BG35" s="1"/>
      <c r="BH35" s="1"/>
      <c r="BI35" s="1"/>
      <c r="BJ35" s="1"/>
      <c r="BK35" s="1"/>
      <c r="BL35" s="1"/>
      <c r="BM35" s="1"/>
      <c r="BN35" s="1"/>
      <c r="BO35" s="1"/>
      <c r="BP35" s="1"/>
      <c r="BQ35" s="1" t="s">
        <v>135</v>
      </c>
      <c r="BR35" s="1" t="s">
        <v>103</v>
      </c>
      <c r="BS35" s="1"/>
      <c r="BT35" s="1"/>
      <c r="BU35" s="1"/>
      <c r="BV35" s="1"/>
      <c r="BW35" s="1"/>
      <c r="BX35" s="1"/>
      <c r="BY35" s="1"/>
      <c r="BZ35" s="1"/>
      <c r="CA35" s="1"/>
      <c r="CB35" s="1"/>
      <c r="CC35" s="1"/>
      <c r="CD35" s="1"/>
      <c r="CE35" s="1"/>
      <c r="CF35" s="1"/>
      <c r="CG35" s="1"/>
      <c r="CH35" s="1"/>
      <c r="CI35" s="1"/>
    </row>
    <row r="36" customFormat="false" ht="409.5" hidden="false" customHeight="false" outlineLevel="0" collapsed="false">
      <c r="A36" s="1"/>
      <c r="B36" s="1" t="n">
        <v>1124063</v>
      </c>
      <c r="C36" s="25" t="n">
        <v>43336</v>
      </c>
      <c r="D36" s="1" t="n">
        <v>40</v>
      </c>
      <c r="E36" s="26" t="s">
        <v>395</v>
      </c>
      <c r="F36" s="1"/>
      <c r="G36" s="1"/>
      <c r="H36" s="1"/>
      <c r="I36" s="1"/>
      <c r="J36" s="1"/>
      <c r="K36" s="1"/>
      <c r="L36" s="1"/>
      <c r="M36" s="1"/>
      <c r="N36" s="1"/>
      <c r="O36" s="1"/>
      <c r="P36" s="1"/>
      <c r="Q36" s="1"/>
      <c r="R36" s="31" t="b">
        <f aca="false">TRUE()</f>
        <v>1</v>
      </c>
      <c r="S36" s="27" t="b">
        <f aca="false">FALSE()</f>
        <v>0</v>
      </c>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t="s">
        <v>103</v>
      </c>
      <c r="BR36" s="1" t="s">
        <v>103</v>
      </c>
      <c r="BS36" s="1"/>
      <c r="BT36" s="1"/>
      <c r="BU36" s="1"/>
      <c r="BV36" s="1"/>
      <c r="BW36" s="1"/>
      <c r="BX36" s="1"/>
      <c r="BY36" s="1"/>
      <c r="BZ36" s="1"/>
      <c r="CA36" s="1"/>
      <c r="CB36" s="1"/>
      <c r="CC36" s="1"/>
      <c r="CD36" s="1"/>
      <c r="CE36" s="1"/>
      <c r="CF36" s="27" t="b">
        <f aca="false">TRUE()</f>
        <v>1</v>
      </c>
      <c r="CG36" s="31" t="b">
        <f aca="false">TRUE()</f>
        <v>1</v>
      </c>
      <c r="CH36" s="1"/>
      <c r="CI36" s="1"/>
    </row>
    <row r="37" customFormat="false" ht="355.5" hidden="false" customHeight="false" outlineLevel="0" collapsed="false">
      <c r="A37" s="1"/>
      <c r="B37" s="1" t="n">
        <v>1124063</v>
      </c>
      <c r="C37" s="25" t="n">
        <v>43343</v>
      </c>
      <c r="D37" s="1" t="n">
        <v>40</v>
      </c>
      <c r="E37" s="26" t="s">
        <v>396</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t="s">
        <v>138</v>
      </c>
      <c r="BX37" s="1" t="s">
        <v>138</v>
      </c>
      <c r="BY37" s="1"/>
      <c r="BZ37" s="1"/>
      <c r="CA37" s="1"/>
      <c r="CB37" s="1"/>
      <c r="CC37" s="1"/>
      <c r="CD37" s="1"/>
      <c r="CE37" s="1"/>
      <c r="CF37" s="1"/>
      <c r="CG37" s="1"/>
      <c r="CH37" s="1"/>
      <c r="CI37" s="1"/>
    </row>
    <row r="38" customFormat="false" ht="15.75" hidden="false" customHeight="false" outlineLevel="0" collapsed="false">
      <c r="A38" s="1"/>
      <c r="B38" s="1" t="n">
        <v>1124063</v>
      </c>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15.75" hidden="false" customHeight="false" outlineLevel="0" collapsed="false">
      <c r="A39" s="1"/>
      <c r="B39" s="1" t="n">
        <v>1124063</v>
      </c>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customFormat="false" ht="15.75" hidden="false" customHeight="false" outlineLevel="0" collapsed="false">
      <c r="A40" s="1"/>
      <c r="B40" s="1" t="n">
        <v>1124063</v>
      </c>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row>
    <row r="41" customFormat="false" ht="15.75" hidden="false" customHeight="false" outlineLevel="0" collapsed="false">
      <c r="A41" s="1"/>
      <c r="B41" s="1" t="n">
        <v>1124063</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row>
    <row r="42" customFormat="false" ht="15.75" hidden="false" customHeight="false" outlineLevel="0" collapsed="false">
      <c r="A42" s="1"/>
      <c r="B42" s="1" t="n">
        <v>1124063</v>
      </c>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row>
    <row r="43" customFormat="false" ht="15.75" hidden="false" customHeight="false" outlineLevel="0" collapsed="false">
      <c r="A43" s="1"/>
      <c r="B43" s="1" t="n">
        <v>1124063</v>
      </c>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row>
    <row r="44" customFormat="false" ht="15.75" hidden="false" customHeight="false" outlineLevel="0" collapsed="false">
      <c r="A44" s="1"/>
      <c r="B44" s="1" t="n">
        <v>1124063</v>
      </c>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row>
    <row r="45" customFormat="false" ht="15.75" hidden="false" customHeight="false" outlineLevel="0" collapsed="false">
      <c r="A45" s="1"/>
      <c r="B45" s="1" t="n">
        <v>1124063</v>
      </c>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row>
    <row r="46" customFormat="false" ht="15.75" hidden="false" customHeight="false" outlineLevel="0" collapsed="false">
      <c r="A46" s="1"/>
      <c r="B46" s="1" t="n">
        <v>1124063</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1124063</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1124063</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1124063</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1124063</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1124063</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1124063</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row r="90" customFormat="false" ht="15.75" hidden="false" customHeight="false" outlineLevel="0" collapsed="false">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row>
    <row r="91" customFormat="false" ht="15.75" hidden="false" customHeight="false" outlineLevel="0" collapsed="false">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row>
    <row r="92" customFormat="false" ht="15.75" hidden="false" customHeight="false" outlineLevel="0" collapsed="false">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row>
    <row r="93" customFormat="false" ht="15.75" hidden="false" customHeight="false" outlineLevel="0" collapsed="false">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row>
    <row r="94" customFormat="false" ht="15.75" hidden="false" customHeight="false" outlineLevel="0" collapsed="false">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row>
    <row r="95" customFormat="false" ht="15.75" hidden="false" customHeight="false" outlineLevel="0" collapsed="false">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row>
    <row r="96" customFormat="false" ht="15.75" hidden="false" customHeight="false" outlineLevel="0" collapsed="false">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row>
    <row r="97" customFormat="false" ht="15.75" hidden="false" customHeight="false" outlineLevel="0" collapsed="false">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row>
    <row r="98" customFormat="false" ht="15.75" hidden="false" customHeight="false" outlineLevel="0" collapsed="false">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row>
  </sheetData>
  <dataValidations count="25">
    <dataValidation allowBlank="true" errorStyle="stop" operator="between" showDropDown="false" showErrorMessage="true" showInputMessage="true" sqref="AD2:AD98" type="list">
      <formula1>list!$B$25:$E$25</formula1>
      <formula2>0</formula2>
    </dataValidation>
    <dataValidation allowBlank="true" errorStyle="stop" operator="between" showDropDown="false" showErrorMessage="true" showInputMessage="true" sqref="BY2:CI98" type="list">
      <formula1>list!$B$72:$C$72</formula1>
      <formula2>0</formula2>
    </dataValidation>
    <dataValidation allowBlank="true" errorStyle="stop" operator="between" showDropDown="false" showErrorMessage="true" showInputMessage="true" sqref="BW2:BX98" type="list">
      <formula1>list!$B$70:$F$70</formula1>
      <formula2>0</formula2>
    </dataValidation>
    <dataValidation allowBlank="true" errorStyle="stop" operator="between" showDropDown="false" showErrorMessage="true" showInputMessage="true" sqref="BV2:BV98" type="list">
      <formula1>list!$B$69:$C$69</formula1>
      <formula2>0</formula2>
    </dataValidation>
    <dataValidation allowBlank="true" errorStyle="stop" operator="between" showDropDown="false" showErrorMessage="true" showInputMessage="true" sqref="BU2:BU98" type="list">
      <formula1>list!$B$68:$G$68</formula1>
      <formula2>0</formula2>
    </dataValidation>
    <dataValidation allowBlank="true" errorStyle="stop" operator="between" showDropDown="false" showErrorMessage="true" showInputMessage="true" sqref="BR2:BR98" type="list">
      <formula1>list!$B$65:$F$65</formula1>
      <formula2>0</formula2>
    </dataValidation>
    <dataValidation allowBlank="true" errorStyle="stop" operator="between" showDropDown="false" showErrorMessage="true" showInputMessage="true" sqref="BQ2:BQ98" type="list">
      <formula1>list!$B$64:$E$64</formula1>
      <formula2>0</formula2>
    </dataValidation>
    <dataValidation allowBlank="true" errorStyle="stop" operator="between" showDropDown="false" showErrorMessage="true" showInputMessage="true" sqref="BB2:BB98" type="list">
      <formula1>list!$B$49:$P$49</formula1>
      <formula2>0</formula2>
    </dataValidation>
    <dataValidation allowBlank="true" errorStyle="stop" operator="between" showDropDown="false" showErrorMessage="true" showInputMessage="true" sqref="AX2:BA98 BC2:BP98 BS2:BT98" type="list">
      <formula1>list!$B$50:$C$50</formula1>
      <formula2>0</formula2>
    </dataValidation>
    <dataValidation allowBlank="true" errorStyle="stop" operator="between" showDropDown="false" showErrorMessage="true" showInputMessage="true" sqref="AU2:AU98 AW2:AW98" type="list">
      <formula1>list!$B$42:$Z$42</formula1>
      <formula2>0</formula2>
    </dataValidation>
    <dataValidation allowBlank="true" errorStyle="stop" operator="between" showDropDown="false" showErrorMessage="true" showInputMessage="true" sqref="AM2:AN98" type="list">
      <formula1>list!$B$34:$C$34</formula1>
      <formula2>0</formula2>
    </dataValidation>
    <dataValidation allowBlank="true" errorStyle="stop" operator="between" showDropDown="false" showErrorMessage="true" showInputMessage="true" sqref="AL2:AL98" type="list">
      <formula1>list!$B$33:$H$33</formula1>
      <formula2>0</formula2>
    </dataValidation>
    <dataValidation allowBlank="true" errorStyle="stop" operator="between" showDropDown="false" showErrorMessage="true" showInputMessage="true" sqref="AF2:AK98" type="list">
      <formula1>list!$B$27:$C$27</formula1>
      <formula2>0</formula2>
    </dataValidation>
    <dataValidation allowBlank="true" errorStyle="stop" operator="between" showDropDown="false" showErrorMessage="true" showInputMessage="true" sqref="AE2:AE98" type="list">
      <formula1>list!$B$26:$E$26</formula1>
      <formula2>0</formula2>
    </dataValidation>
    <dataValidation allowBlank="true" errorStyle="stop" operator="between" showDropDown="false" showErrorMessage="true" showInputMessage="true" sqref="Z2:AC98" type="list">
      <formula1>list!$B$21:$M$21</formula1>
      <formula2>0</formula2>
    </dataValidation>
    <dataValidation allowBlank="true" errorStyle="stop" operator="between" showDropDown="false" showErrorMessage="true" showInputMessage="true" sqref="V2:W98" type="list">
      <formula1>list!$B$17:$J$17</formula1>
      <formula2>0</formula2>
    </dataValidation>
    <dataValidation allowBlank="true" errorStyle="stop" operator="between" showDropDown="false" showErrorMessage="true" showInputMessage="true" sqref="G2:U98" type="list">
      <formula1>list!$B$2:$C$2</formula1>
      <formula2>0</formula2>
    </dataValidation>
    <dataValidation allowBlank="true" errorStyle="stop" operator="between" showDropDown="false" showErrorMessage="true" showInputMessage="true" sqref="AO2:AO98 AQ2:AQ98" type="list">
      <formula1>list!$B$36:$G$36</formula1>
      <formula2>0</formula2>
    </dataValidation>
    <dataValidation allowBlank="true" errorStyle="stop" operator="between" showDropDown="false" showErrorMessage="true" showInputMessage="true" sqref="AS2:AT37 AS38:AS98" type="list">
      <formula1>list!$B$40:$I$40</formula1>
      <formula2>0</formula2>
    </dataValidation>
    <dataValidation allowBlank="true" errorStyle="stop" operator="between" showDropDown="false" showErrorMessage="true" showInputMessage="true" sqref="X2:Y37 X38:X98" type="list">
      <formula1>list!$B$19:$D$19</formula1>
      <formula2>0</formula2>
    </dataValidation>
    <dataValidation allowBlank="true" errorStyle="stop" operator="between" showDropDown="false" showErrorMessage="true" showInputMessage="true" sqref="AV2:AV98 AT38:AT98" type="list">
      <formula1>list!$B$41:$F$41</formula1>
      <formula2>0</formula2>
    </dataValidation>
    <dataValidation allowBlank="true" errorStyle="stop" operator="between" showDropDown="false" showErrorMessage="true" showInputMessage="true" sqref="AP2:AP37 AR2:AR37" type="list">
      <formula1>list!$B$37:$T$37</formula1>
      <formula2>0</formula2>
    </dataValidation>
    <dataValidation allowBlank="true" errorStyle="stop" operator="between" showDropDown="false" showErrorMessage="true" showInputMessage="true" sqref="AP38:AP92 AR38:AR91 AP93:AP98" type="list">
      <formula1>list!$B$37:$P$37</formula1>
      <formula2>0</formula2>
    </dataValidation>
    <dataValidation allowBlank="true" errorStyle="stop" operator="between" showDropDown="false" showErrorMessage="true" showInputMessage="true" sqref="AR92:AR98" type="list">
      <formula1>list!$B$37:$O$37</formula1>
      <formula2>0</formula2>
    </dataValidation>
    <dataValidation allowBlank="true" errorStyle="stop" operator="between" showDropDown="false" showErrorMessage="true" showInputMessage="true" sqref="Y38:Y98" type="list">
      <formula1>list!$B$20:$I$20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92D050"/>
    <pageSetUpPr fitToPage="false"/>
  </sheetPr>
  <dimension ref="A1:CI89"/>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AD38" activePane="bottomRight" state="frozen"/>
      <selection pane="topLeft" activeCell="A1" activeCellId="0" sqref="A1"/>
      <selection pane="topRight" activeCell="AD1" activeCellId="0" sqref="AD1"/>
      <selection pane="bottomLeft" activeCell="A38" activeCellId="0" sqref="A38"/>
      <selection pane="bottomRight" activeCell="D38" activeCellId="0" sqref="D38"/>
    </sheetView>
  </sheetViews>
  <sheetFormatPr defaultColWidth="8.87109375" defaultRowHeight="15.75" zeroHeight="false" outlineLevelRow="0" outlineLevelCol="0"/>
  <cols>
    <col collapsed="false" customWidth="true" hidden="false" outlineLevel="0" max="3" min="3" style="0" width="10.17"/>
    <col collapsed="false" customWidth="true" hidden="false" outlineLevel="0" max="5" min="5" style="0" width="36"/>
    <col collapsed="false" customWidth="true" hidden="false" outlineLevel="0" max="6" min="6" style="0" width="1.67"/>
    <col collapsed="false" customWidth="true" hidden="false" outlineLevel="0" max="28" min="28" style="0" width="12.33"/>
    <col collapsed="false" customWidth="true" hidden="false" outlineLevel="0" max="38" min="38" style="0" width="21.16"/>
    <col collapsed="false" customWidth="true" hidden="false" outlineLevel="0" max="42" min="42" style="0" width="12.16"/>
    <col collapsed="false" customWidth="true" hidden="false" outlineLevel="0" max="44" min="44" style="0" width="12.16"/>
    <col collapsed="false" customWidth="true" hidden="false" outlineLevel="0" max="45" min="45" style="0" width="24.33"/>
  </cols>
  <sheetData>
    <row r="1" customFormat="false" ht="225" hidden="false" customHeight="fals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306" hidden="false" customHeight="false" outlineLevel="0" collapsed="false">
      <c r="A2" s="1"/>
      <c r="B2" s="1" t="n">
        <v>337044</v>
      </c>
      <c r="C2" s="25" t="n">
        <v>41964</v>
      </c>
      <c r="D2" s="1" t="n">
        <v>0</v>
      </c>
      <c r="E2" s="26" t="s">
        <v>397</v>
      </c>
      <c r="F2" s="1"/>
      <c r="G2" s="1"/>
      <c r="H2" s="1"/>
      <c r="I2" s="1"/>
      <c r="J2" s="1"/>
      <c r="K2" s="1"/>
      <c r="L2" s="1"/>
      <c r="M2" s="1"/>
      <c r="N2" s="1"/>
      <c r="O2" s="1"/>
      <c r="P2" s="1"/>
      <c r="Q2" s="1"/>
      <c r="R2" s="1"/>
      <c r="S2" s="1"/>
      <c r="T2" s="1"/>
      <c r="U2" s="1"/>
      <c r="V2" s="1"/>
      <c r="W2" s="1"/>
      <c r="X2" s="1"/>
      <c r="Y2" s="1"/>
      <c r="Z2" s="1" t="s">
        <v>87</v>
      </c>
      <c r="AA2" s="1" t="s">
        <v>87</v>
      </c>
      <c r="AB2" s="1" t="s">
        <v>87</v>
      </c>
      <c r="AC2" s="1" t="s">
        <v>87</v>
      </c>
      <c r="AD2" s="1" t="s">
        <v>182</v>
      </c>
      <c r="AE2" s="1" t="s">
        <v>113</v>
      </c>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row>
    <row r="3" customFormat="false" ht="204" hidden="false" customHeight="false" outlineLevel="0" collapsed="false">
      <c r="A3" s="1"/>
      <c r="B3" s="1" t="n">
        <v>337044</v>
      </c>
      <c r="C3" s="25" t="n">
        <v>42097</v>
      </c>
      <c r="D3" s="1" t="n">
        <v>4</v>
      </c>
      <c r="E3" s="26" t="s">
        <v>398</v>
      </c>
      <c r="F3" s="1"/>
      <c r="G3" s="1"/>
      <c r="H3" s="1"/>
      <c r="I3" s="1"/>
      <c r="J3" s="1"/>
      <c r="K3" s="27" t="b">
        <f aca="false">TRUE()</f>
        <v>1</v>
      </c>
      <c r="L3" s="1"/>
      <c r="M3" s="27" t="b">
        <f aca="false">TRUE()</f>
        <v>1</v>
      </c>
      <c r="N3" s="1"/>
      <c r="O3" s="1"/>
      <c r="P3" s="1"/>
      <c r="Q3" s="1"/>
      <c r="R3" s="1"/>
      <c r="S3" s="1"/>
      <c r="T3" s="1"/>
      <c r="U3" s="1"/>
      <c r="V3" s="1"/>
      <c r="W3" s="1"/>
      <c r="X3" s="1"/>
      <c r="Y3" s="1"/>
      <c r="Z3" s="1"/>
      <c r="AA3" s="1"/>
      <c r="AB3" s="1"/>
      <c r="AC3" s="1"/>
      <c r="AD3" s="1"/>
      <c r="AE3" s="1"/>
      <c r="AF3" s="1"/>
      <c r="AG3" s="1"/>
      <c r="AH3" s="1"/>
      <c r="AI3" s="1"/>
      <c r="AJ3" s="1"/>
      <c r="AK3" s="1"/>
      <c r="AL3" s="1" t="s">
        <v>230</v>
      </c>
      <c r="AM3" s="1"/>
      <c r="AN3" s="1"/>
      <c r="AO3" s="1" t="s">
        <v>101</v>
      </c>
      <c r="AP3" s="1" t="s">
        <v>91</v>
      </c>
      <c r="AQ3" s="1" t="s">
        <v>101</v>
      </c>
      <c r="AR3" s="1" t="s">
        <v>91</v>
      </c>
      <c r="AS3" s="1"/>
      <c r="AT3" s="1"/>
      <c r="AU3" s="1"/>
      <c r="AV3" s="1"/>
      <c r="AW3" s="1"/>
      <c r="AX3" s="1"/>
      <c r="AY3" s="1"/>
      <c r="AZ3" s="1"/>
      <c r="BA3" s="1"/>
      <c r="BB3" s="1"/>
      <c r="BC3" s="27" t="b">
        <f aca="false">TRUE()</f>
        <v>1</v>
      </c>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row>
    <row r="4" customFormat="false" ht="84.75" hidden="false" customHeight="false" outlineLevel="0" collapsed="false">
      <c r="A4" s="1"/>
      <c r="B4" s="1" t="n">
        <v>337044</v>
      </c>
      <c r="C4" s="25" t="n">
        <v>42153</v>
      </c>
      <c r="D4" s="1" t="n">
        <v>6</v>
      </c>
      <c r="E4" s="26" t="s">
        <v>399</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27" t="b">
        <f aca="false">TRUE()</f>
        <v>1</v>
      </c>
      <c r="AN4" s="27" t="b">
        <f aca="false">FALSE()</f>
        <v>0</v>
      </c>
      <c r="AO4" s="1" t="s">
        <v>96</v>
      </c>
      <c r="AP4" s="1" t="s">
        <v>152</v>
      </c>
      <c r="AQ4" s="1" t="s">
        <v>101</v>
      </c>
      <c r="AR4" s="1" t="s">
        <v>91</v>
      </c>
      <c r="AS4" s="1"/>
      <c r="AT4" s="1"/>
      <c r="AU4" s="1"/>
      <c r="AV4" s="1"/>
      <c r="AW4" s="1"/>
      <c r="AX4" s="1"/>
      <c r="AY4" s="1"/>
      <c r="AZ4" s="1"/>
      <c r="BA4" s="1"/>
      <c r="BB4" s="1"/>
      <c r="BC4" s="27" t="b">
        <f aca="false">TRUE()</f>
        <v>1</v>
      </c>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row>
    <row r="5" customFormat="false" ht="153" hidden="false" customHeight="false" outlineLevel="0" collapsed="false">
      <c r="A5" s="1"/>
      <c r="B5" s="1" t="n">
        <v>337044</v>
      </c>
      <c r="C5" s="25" t="n">
        <v>42202</v>
      </c>
      <c r="D5" s="1" t="n">
        <v>7</v>
      </c>
      <c r="E5" s="26" t="s">
        <v>400</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27" t="b">
        <f aca="false">TRUE()</f>
        <v>1</v>
      </c>
      <c r="AN5" s="27" t="b">
        <f aca="false">FALSE()</f>
        <v>0</v>
      </c>
      <c r="AO5" s="1" t="s">
        <v>101</v>
      </c>
      <c r="AP5" s="1" t="s">
        <v>167</v>
      </c>
      <c r="AQ5" s="1" t="s">
        <v>101</v>
      </c>
      <c r="AR5" s="1" t="s">
        <v>91</v>
      </c>
      <c r="AS5" s="1" t="s">
        <v>102</v>
      </c>
      <c r="AT5" s="1"/>
      <c r="AU5" s="1"/>
      <c r="AV5" s="1"/>
      <c r="AW5" s="1"/>
      <c r="AX5" s="1"/>
      <c r="AY5" s="1"/>
      <c r="AZ5" s="1"/>
      <c r="BA5" s="1"/>
      <c r="BB5" s="1"/>
      <c r="BC5" s="27" t="b">
        <f aca="false">TRUE()</f>
        <v>1</v>
      </c>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row>
    <row r="6" customFormat="false" ht="153" hidden="false" customHeight="false" outlineLevel="0" collapsed="false">
      <c r="A6" s="1"/>
      <c r="B6" s="1" t="n">
        <v>337044</v>
      </c>
      <c r="C6" s="25" t="n">
        <v>42237</v>
      </c>
      <c r="D6" s="1" t="n">
        <v>9</v>
      </c>
      <c r="E6" s="26" t="s">
        <v>401</v>
      </c>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27" t="b">
        <f aca="false">TRUE()</f>
        <v>1</v>
      </c>
      <c r="AN6" s="27" t="b">
        <f aca="false">TRUE()</f>
        <v>1</v>
      </c>
      <c r="AO6" s="1" t="s">
        <v>101</v>
      </c>
      <c r="AP6" s="1" t="s">
        <v>160</v>
      </c>
      <c r="AQ6" s="1" t="s">
        <v>101</v>
      </c>
      <c r="AR6" s="1" t="s">
        <v>152</v>
      </c>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row>
    <row r="7" customFormat="false" ht="102" hidden="false" customHeight="false" outlineLevel="0" collapsed="false">
      <c r="A7" s="1"/>
      <c r="B7" s="1" t="n">
        <v>337044</v>
      </c>
      <c r="C7" s="25" t="n">
        <v>42258</v>
      </c>
      <c r="D7" s="1" t="n">
        <v>9</v>
      </c>
      <c r="E7" s="26" t="s">
        <v>402</v>
      </c>
      <c r="F7" s="1"/>
      <c r="G7" s="1"/>
      <c r="H7" s="1"/>
      <c r="I7" s="1"/>
      <c r="J7" s="1"/>
      <c r="K7" s="1"/>
      <c r="L7" s="1"/>
      <c r="M7" s="1"/>
      <c r="N7" s="1"/>
      <c r="O7" s="1"/>
      <c r="P7" s="1"/>
      <c r="Q7" s="1"/>
      <c r="R7" s="1"/>
      <c r="S7" s="1"/>
      <c r="T7" s="27" t="b">
        <f aca="false">TRUE()</f>
        <v>1</v>
      </c>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row>
    <row r="8" customFormat="false" ht="153" hidden="false" customHeight="false" outlineLevel="0" collapsed="false">
      <c r="A8" s="1"/>
      <c r="B8" s="1" t="n">
        <v>337044</v>
      </c>
      <c r="C8" s="25" t="n">
        <v>42271</v>
      </c>
      <c r="D8" s="1" t="n">
        <v>10</v>
      </c>
      <c r="E8" s="26" t="s">
        <v>403</v>
      </c>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27" t="b">
        <f aca="false">TRUE()</f>
        <v>1</v>
      </c>
      <c r="AN8" s="27" t="b">
        <f aca="false">TRUE()</f>
        <v>1</v>
      </c>
      <c r="AO8" s="1" t="s">
        <v>107</v>
      </c>
      <c r="AP8" s="1" t="s">
        <v>160</v>
      </c>
      <c r="AQ8" s="1"/>
      <c r="AR8" s="1" t="s">
        <v>164</v>
      </c>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27" t="b">
        <f aca="false">TRUE()</f>
        <v>1</v>
      </c>
      <c r="CB8" s="1"/>
      <c r="CC8" s="1"/>
      <c r="CD8" s="27" t="b">
        <f aca="false">TRUE()</f>
        <v>1</v>
      </c>
      <c r="CE8" s="1"/>
      <c r="CF8" s="1"/>
      <c r="CG8" s="1"/>
      <c r="CH8" s="1"/>
      <c r="CI8" s="1"/>
    </row>
    <row r="9" customFormat="false" ht="67.5" hidden="false" customHeight="false" outlineLevel="0" collapsed="false">
      <c r="A9" s="1"/>
      <c r="B9" s="1" t="n">
        <v>337044</v>
      </c>
      <c r="C9" s="25" t="n">
        <v>42313</v>
      </c>
      <c r="D9" s="1" t="n">
        <v>11</v>
      </c>
      <c r="E9" s="26" t="s">
        <v>404</v>
      </c>
      <c r="F9" s="1"/>
      <c r="G9" s="1"/>
      <c r="H9" s="1"/>
      <c r="I9" s="1"/>
      <c r="J9" s="1"/>
      <c r="K9" s="1"/>
      <c r="L9" s="1"/>
      <c r="M9" s="1"/>
      <c r="N9" s="1"/>
      <c r="O9" s="1"/>
      <c r="P9" s="1"/>
      <c r="Q9" s="1"/>
      <c r="R9" s="1"/>
      <c r="S9" s="27" t="b">
        <f aca="false">TRUE()</f>
        <v>1</v>
      </c>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row>
    <row r="10" customFormat="false" ht="169.5" hidden="false" customHeight="false" outlineLevel="0" collapsed="false">
      <c r="A10" s="1"/>
      <c r="B10" s="1" t="n">
        <v>337044</v>
      </c>
      <c r="C10" s="25" t="n">
        <v>42321</v>
      </c>
      <c r="D10" s="1" t="n">
        <v>11</v>
      </c>
      <c r="E10" s="26" t="s">
        <v>405</v>
      </c>
      <c r="F10" s="1"/>
      <c r="G10" s="1"/>
      <c r="H10" s="1"/>
      <c r="I10" s="1"/>
      <c r="J10" s="1"/>
      <c r="K10" s="1"/>
      <c r="L10" s="1"/>
      <c r="M10" s="1"/>
      <c r="N10" s="1"/>
      <c r="O10" s="27" t="b">
        <f aca="false">TRUE()</f>
        <v>1</v>
      </c>
      <c r="P10" s="1"/>
      <c r="Q10" s="1"/>
      <c r="R10" s="1"/>
      <c r="S10" s="27" t="b">
        <f aca="false">TRUE()</f>
        <v>1</v>
      </c>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t="s">
        <v>406</v>
      </c>
      <c r="AT10" s="1"/>
      <c r="AU10" s="1"/>
      <c r="AV10" s="1"/>
      <c r="AW10" s="1"/>
      <c r="AX10" s="1"/>
      <c r="AY10" s="1"/>
      <c r="AZ10" s="1"/>
      <c r="BA10" s="1"/>
      <c r="BB10" s="1"/>
      <c r="BC10" s="1"/>
      <c r="BD10" s="27" t="b">
        <f aca="false">TRUE()</f>
        <v>1</v>
      </c>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row>
    <row r="11" customFormat="false" ht="204" hidden="false" customHeight="false" outlineLevel="0" collapsed="false">
      <c r="A11" s="1"/>
      <c r="B11" s="1" t="n">
        <v>337044</v>
      </c>
      <c r="C11" s="25" t="n">
        <v>42349</v>
      </c>
      <c r="D11" s="1" t="n">
        <v>12</v>
      </c>
      <c r="E11" s="26" t="s">
        <v>407</v>
      </c>
      <c r="F11" s="1"/>
      <c r="G11" s="1"/>
      <c r="H11" s="1"/>
      <c r="I11" s="1"/>
      <c r="J11" s="1"/>
      <c r="K11" s="1"/>
      <c r="L11" s="1"/>
      <c r="M11" s="1"/>
      <c r="N11" s="1"/>
      <c r="O11" s="27" t="b">
        <f aca="false">TRUE()</f>
        <v>1</v>
      </c>
      <c r="P11" s="1"/>
      <c r="Q11" s="1"/>
      <c r="R11" s="1"/>
      <c r="S11" s="1"/>
      <c r="T11" s="1"/>
      <c r="U11" s="1"/>
      <c r="V11" s="1"/>
      <c r="W11" s="1"/>
      <c r="X11" s="1"/>
      <c r="Y11" s="1"/>
      <c r="Z11" s="1" t="s">
        <v>115</v>
      </c>
      <c r="AA11" s="1" t="s">
        <v>87</v>
      </c>
      <c r="AB11" s="1" t="s">
        <v>193</v>
      </c>
      <c r="AC11" s="1" t="s">
        <v>87</v>
      </c>
      <c r="AD11" s="1" t="s">
        <v>182</v>
      </c>
      <c r="AE11" s="1" t="s">
        <v>113</v>
      </c>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row>
    <row r="12" customFormat="false" ht="118.5" hidden="false" customHeight="false" outlineLevel="0" collapsed="false">
      <c r="A12" s="1"/>
      <c r="B12" s="1" t="n">
        <v>337044</v>
      </c>
      <c r="C12" s="25" t="n">
        <v>42355</v>
      </c>
      <c r="D12" s="1" t="n">
        <v>12</v>
      </c>
      <c r="E12" s="26" t="s">
        <v>408</v>
      </c>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7" t="b">
        <f aca="false">TRUE()</f>
        <v>1</v>
      </c>
      <c r="AL12" s="1"/>
      <c r="AM12" s="27" t="b">
        <f aca="false">FALSE()</f>
        <v>0</v>
      </c>
      <c r="AN12" s="27" t="b">
        <f aca="false">FALSE()</f>
        <v>0</v>
      </c>
      <c r="AO12" s="1" t="s">
        <v>107</v>
      </c>
      <c r="AP12" s="1" t="s">
        <v>160</v>
      </c>
      <c r="AQ12" s="1" t="s">
        <v>107</v>
      </c>
      <c r="AR12" s="1" t="s">
        <v>164</v>
      </c>
      <c r="AS12" s="1"/>
      <c r="AT12" s="1"/>
      <c r="AU12" s="1"/>
      <c r="AV12" s="1"/>
      <c r="AW12" s="1"/>
      <c r="AX12" s="1"/>
      <c r="AY12" s="1"/>
      <c r="AZ12" s="1"/>
      <c r="BA12" s="1"/>
      <c r="BB12" s="1"/>
      <c r="BC12" s="1"/>
      <c r="BD12" s="27" t="b">
        <f aca="false">TRUE()</f>
        <v>1</v>
      </c>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row>
    <row r="13" customFormat="false" ht="204" hidden="false" customHeight="false" outlineLevel="0" collapsed="false">
      <c r="A13" s="1"/>
      <c r="B13" s="1" t="n">
        <v>337044</v>
      </c>
      <c r="C13" s="25" t="n">
        <v>42412</v>
      </c>
      <c r="D13" s="1" t="n">
        <v>14</v>
      </c>
      <c r="E13" s="26" t="s">
        <v>409</v>
      </c>
      <c r="F13" s="1"/>
      <c r="G13" s="1"/>
      <c r="H13" s="1"/>
      <c r="I13" s="1"/>
      <c r="J13" s="1"/>
      <c r="K13" s="1"/>
      <c r="L13" s="1"/>
      <c r="M13" s="1"/>
      <c r="N13" s="1"/>
      <c r="O13" s="27" t="b">
        <f aca="false">TRUE()</f>
        <v>1</v>
      </c>
      <c r="P13" s="1"/>
      <c r="Q13" s="1"/>
      <c r="R13" s="1"/>
      <c r="S13" s="1"/>
      <c r="T13" s="1"/>
      <c r="U13" s="1"/>
      <c r="V13" s="1"/>
      <c r="W13" s="1"/>
      <c r="X13" s="1"/>
      <c r="Y13" s="1"/>
      <c r="Z13" s="1"/>
      <c r="AA13" s="1"/>
      <c r="AB13" s="1"/>
      <c r="AC13" s="1"/>
      <c r="AD13" s="1"/>
      <c r="AE13" s="1" t="s">
        <v>112</v>
      </c>
      <c r="AF13" s="1"/>
      <c r="AG13" s="1"/>
      <c r="AH13" s="1"/>
      <c r="AI13" s="1"/>
      <c r="AJ13" s="1"/>
      <c r="AK13" s="1"/>
      <c r="AL13" s="1"/>
      <c r="AM13" s="1"/>
      <c r="AN13" s="1"/>
      <c r="AO13" s="1"/>
      <c r="AP13" s="1"/>
      <c r="AQ13" s="1"/>
      <c r="AR13" s="1"/>
      <c r="AS13" s="1" t="s">
        <v>102</v>
      </c>
      <c r="AT13" s="1"/>
      <c r="AU13" s="1"/>
      <c r="AV13" s="1"/>
      <c r="AW13" s="1"/>
      <c r="AX13" s="1"/>
      <c r="AY13" s="1"/>
      <c r="AZ13" s="1"/>
      <c r="BA13" s="1"/>
      <c r="BB13" s="1"/>
      <c r="BC13" s="1"/>
      <c r="BD13" s="27" t="b">
        <f aca="false">TRUE()</f>
        <v>1</v>
      </c>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27" t="b">
        <f aca="false">TRUE()</f>
        <v>1</v>
      </c>
      <c r="CE13" s="1"/>
      <c r="CF13" s="1"/>
      <c r="CG13" s="1"/>
      <c r="CH13" s="1"/>
      <c r="CI13" s="1"/>
    </row>
    <row r="14" customFormat="false" ht="220.5" hidden="false" customHeight="false" outlineLevel="0" collapsed="false">
      <c r="A14" s="1"/>
      <c r="B14" s="1" t="n">
        <v>337044</v>
      </c>
      <c r="C14" s="25" t="n">
        <v>42447</v>
      </c>
      <c r="D14" s="1" t="n">
        <v>15</v>
      </c>
      <c r="E14" s="26" t="s">
        <v>410</v>
      </c>
      <c r="F14" s="1"/>
      <c r="G14" s="1"/>
      <c r="H14" s="1"/>
      <c r="I14" s="1"/>
      <c r="J14" s="1"/>
      <c r="K14" s="1"/>
      <c r="L14" s="1"/>
      <c r="M14" s="1"/>
      <c r="N14" s="1"/>
      <c r="O14" s="27" t="b">
        <f aca="false">TRUE()</f>
        <v>1</v>
      </c>
      <c r="P14" s="1"/>
      <c r="Q14" s="1"/>
      <c r="R14" s="1"/>
      <c r="S14" s="1"/>
      <c r="T14" s="1"/>
      <c r="U14" s="1"/>
      <c r="V14" s="1"/>
      <c r="W14" s="1"/>
      <c r="X14" s="1"/>
      <c r="Y14" s="1"/>
      <c r="Z14" s="1"/>
      <c r="AA14" s="1"/>
      <c r="AB14" s="1"/>
      <c r="AC14" s="1"/>
      <c r="AD14" s="1" t="s">
        <v>182</v>
      </c>
      <c r="AE14" s="1" t="s">
        <v>113</v>
      </c>
      <c r="AF14" s="1"/>
      <c r="AG14" s="1"/>
      <c r="AH14" s="1"/>
      <c r="AI14" s="1"/>
      <c r="AJ14" s="1"/>
      <c r="AK14" s="1"/>
      <c r="AL14" s="1"/>
      <c r="AM14" s="1"/>
      <c r="AN14" s="1"/>
      <c r="AO14" s="1"/>
      <c r="AP14" s="1"/>
      <c r="AQ14" s="1"/>
      <c r="AR14" s="1"/>
      <c r="AS14" s="1" t="s">
        <v>102</v>
      </c>
      <c r="AT14" s="1"/>
      <c r="AU14" s="1"/>
      <c r="AV14" s="1"/>
      <c r="AW14" s="1"/>
      <c r="AX14" s="1"/>
      <c r="AY14" s="1"/>
      <c r="AZ14" s="1"/>
      <c r="BA14" s="1"/>
      <c r="BB14" s="1"/>
      <c r="BC14" s="1"/>
      <c r="BD14" s="27" t="b">
        <f aca="false">TRUE()</f>
        <v>1</v>
      </c>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27" t="b">
        <f aca="false">TRUE()</f>
        <v>1</v>
      </c>
      <c r="CE14" s="1"/>
      <c r="CF14" s="1"/>
      <c r="CG14" s="1"/>
      <c r="CH14" s="1"/>
      <c r="CI14" s="1"/>
    </row>
    <row r="15" customFormat="false" ht="33.75" hidden="false" customHeight="false" outlineLevel="0" collapsed="false">
      <c r="A15" s="1"/>
      <c r="B15" s="1" t="n">
        <v>337044</v>
      </c>
      <c r="C15" s="25" t="n">
        <v>42459</v>
      </c>
      <c r="D15" s="1" t="n">
        <v>16</v>
      </c>
      <c r="E15" s="26" t="s">
        <v>411</v>
      </c>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27" t="b">
        <f aca="false">TRUE()</f>
        <v>1</v>
      </c>
      <c r="BU15" s="1" t="s">
        <v>90</v>
      </c>
      <c r="BV15" s="1"/>
      <c r="BW15" s="1"/>
      <c r="BX15" s="1"/>
      <c r="BY15" s="1"/>
      <c r="BZ15" s="1"/>
      <c r="CA15" s="1"/>
      <c r="CB15" s="1"/>
      <c r="CC15" s="1"/>
      <c r="CD15" s="1"/>
      <c r="CE15" s="1"/>
      <c r="CF15" s="1"/>
      <c r="CG15" s="1"/>
      <c r="CH15" s="1"/>
      <c r="CI15" s="1"/>
    </row>
    <row r="16" customFormat="false" ht="153" hidden="false" customHeight="false" outlineLevel="0" collapsed="false">
      <c r="A16" s="1"/>
      <c r="B16" s="1" t="n">
        <v>337044</v>
      </c>
      <c r="C16" s="25" t="n">
        <v>42482</v>
      </c>
      <c r="D16" s="1" t="n">
        <v>17</v>
      </c>
      <c r="E16" s="26" t="s">
        <v>412</v>
      </c>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t="s">
        <v>102</v>
      </c>
      <c r="AT16" s="1"/>
      <c r="AU16" s="1"/>
      <c r="AV16" s="1"/>
      <c r="AW16" s="1"/>
      <c r="AX16" s="1"/>
      <c r="AY16" s="1"/>
      <c r="AZ16" s="1"/>
      <c r="BA16" s="1"/>
      <c r="BB16" s="1"/>
      <c r="BC16" s="1"/>
      <c r="BD16" s="27" t="b">
        <f aca="false">TRUE()</f>
        <v>1</v>
      </c>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27" t="b">
        <f aca="false">TRUE()</f>
        <v>1</v>
      </c>
      <c r="CE16" s="1"/>
      <c r="CF16" s="1"/>
      <c r="CG16" s="1"/>
      <c r="CH16" s="1"/>
      <c r="CI16" s="1"/>
    </row>
    <row r="17" customFormat="false" ht="67.5" hidden="false" customHeight="false" outlineLevel="0" collapsed="false">
      <c r="A17" s="1"/>
      <c r="B17" s="1" t="n">
        <v>337044</v>
      </c>
      <c r="C17" s="25" t="n">
        <v>42517</v>
      </c>
      <c r="D17" s="1" t="n">
        <v>18</v>
      </c>
      <c r="E17" s="26" t="s">
        <v>413</v>
      </c>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27" t="b">
        <f aca="false">TRUE()</f>
        <v>1</v>
      </c>
      <c r="AL17" s="1"/>
      <c r="AM17" s="1"/>
      <c r="AN17" s="1"/>
      <c r="AO17" s="1"/>
      <c r="AP17" s="1"/>
      <c r="AQ17" s="1"/>
      <c r="AR17" s="1"/>
      <c r="AS17" s="1" t="s">
        <v>102</v>
      </c>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27" t="b">
        <f aca="false">TRUE()</f>
        <v>1</v>
      </c>
      <c r="CE17" s="1"/>
      <c r="CF17" s="1"/>
      <c r="CG17" s="1"/>
      <c r="CH17" s="1"/>
      <c r="CI17" s="1"/>
    </row>
    <row r="18" customFormat="false" ht="204" hidden="false" customHeight="false" outlineLevel="0" collapsed="false">
      <c r="A18" s="1"/>
      <c r="B18" s="1" t="n">
        <v>337044</v>
      </c>
      <c r="C18" s="25" t="n">
        <v>42566</v>
      </c>
      <c r="D18" s="1" t="n">
        <v>19</v>
      </c>
      <c r="E18" s="26" t="s">
        <v>414</v>
      </c>
      <c r="F18" s="1"/>
      <c r="G18" s="1"/>
      <c r="H18" s="1"/>
      <c r="I18" s="1"/>
      <c r="J18" s="1"/>
      <c r="K18" s="1"/>
      <c r="L18" s="1"/>
      <c r="M18" s="1"/>
      <c r="N18" s="1"/>
      <c r="O18" s="1"/>
      <c r="P18" s="1"/>
      <c r="Q18" s="1"/>
      <c r="R18" s="1"/>
      <c r="S18" s="1"/>
      <c r="T18" s="1"/>
      <c r="U18" s="1"/>
      <c r="V18" s="1"/>
      <c r="W18" s="1"/>
      <c r="X18" s="1"/>
      <c r="Y18" s="1"/>
      <c r="Z18" s="1" t="s">
        <v>128</v>
      </c>
      <c r="AA18" s="1"/>
      <c r="AB18" s="1" t="s">
        <v>128</v>
      </c>
      <c r="AC18" s="1"/>
      <c r="AD18" s="1"/>
      <c r="AE18" s="1"/>
      <c r="AF18" s="1"/>
      <c r="AG18" s="1"/>
      <c r="AH18" s="1"/>
      <c r="AI18" s="1"/>
      <c r="AJ18" s="1"/>
      <c r="AK18" s="1"/>
      <c r="AL18" s="1"/>
      <c r="AM18" s="1"/>
      <c r="AN18" s="1"/>
      <c r="AO18" s="1"/>
      <c r="AP18" s="1"/>
      <c r="AQ18" s="1"/>
      <c r="AR18" s="1"/>
      <c r="AS18" s="1" t="s">
        <v>105</v>
      </c>
      <c r="AT18" s="1"/>
      <c r="AU18" s="1"/>
      <c r="AV18" s="1"/>
      <c r="AW18" s="1"/>
      <c r="AX18" s="1"/>
      <c r="AY18" s="1"/>
      <c r="AZ18" s="1"/>
      <c r="BA18" s="1"/>
      <c r="BB18" s="1"/>
      <c r="BC18" s="1"/>
      <c r="BD18" s="27" t="b">
        <f aca="false">TRUE()</f>
        <v>1</v>
      </c>
      <c r="BE18" s="1"/>
      <c r="BF18" s="1"/>
      <c r="BG18" s="1"/>
      <c r="BH18" s="1"/>
      <c r="BI18" s="1"/>
      <c r="BJ18" s="1"/>
      <c r="BK18" s="1"/>
      <c r="BL18" s="1"/>
      <c r="BM18" s="1"/>
      <c r="BN18" s="1"/>
      <c r="BO18" s="1"/>
      <c r="BP18" s="1"/>
      <c r="BQ18" s="1"/>
      <c r="BR18" s="1"/>
      <c r="BS18" s="1"/>
      <c r="BT18" s="1"/>
      <c r="BU18" s="1"/>
      <c r="BV18" s="1"/>
      <c r="BW18" s="1"/>
      <c r="BX18" s="1"/>
      <c r="BY18" s="1"/>
      <c r="BZ18" s="27" t="b">
        <f aca="false">TRUE()</f>
        <v>1</v>
      </c>
      <c r="CA18" s="1"/>
      <c r="CB18" s="1"/>
      <c r="CC18" s="27" t="b">
        <f aca="false">TRUE()</f>
        <v>1</v>
      </c>
      <c r="CD18" s="1"/>
      <c r="CE18" s="1"/>
      <c r="CF18" s="1"/>
      <c r="CG18" s="1"/>
      <c r="CH18" s="1"/>
      <c r="CI18" s="1"/>
    </row>
    <row r="19" customFormat="false" ht="403.5" hidden="false" customHeight="false" outlineLevel="0" collapsed="false">
      <c r="A19" s="1"/>
      <c r="B19" s="1" t="n">
        <v>337044</v>
      </c>
      <c r="C19" s="25" t="n">
        <v>42615</v>
      </c>
      <c r="D19" s="1" t="n">
        <v>21</v>
      </c>
      <c r="E19" s="26" t="s">
        <v>415</v>
      </c>
      <c r="F19" s="1"/>
      <c r="G19" s="1"/>
      <c r="H19" s="1"/>
      <c r="I19" s="1"/>
      <c r="J19" s="1"/>
      <c r="K19" s="1"/>
      <c r="L19" s="1"/>
      <c r="M19" s="1"/>
      <c r="N19" s="1"/>
      <c r="O19" s="1"/>
      <c r="P19" s="1"/>
      <c r="Q19" s="1"/>
      <c r="R19" s="1"/>
      <c r="S19" s="1"/>
      <c r="T19" s="1"/>
      <c r="U19" s="1"/>
      <c r="V19" s="1"/>
      <c r="W19" s="1"/>
      <c r="X19" s="1"/>
      <c r="Y19" s="1"/>
      <c r="Z19" s="1" t="s">
        <v>128</v>
      </c>
      <c r="AA19" s="1" t="s">
        <v>115</v>
      </c>
      <c r="AB19" s="1" t="s">
        <v>128</v>
      </c>
      <c r="AC19" s="1" t="s">
        <v>115</v>
      </c>
      <c r="AD19" s="1"/>
      <c r="AE19" s="1"/>
      <c r="AF19" s="1"/>
      <c r="AG19" s="1"/>
      <c r="AH19" s="1"/>
      <c r="AI19" s="1"/>
      <c r="AJ19" s="1"/>
      <c r="AK19" s="1"/>
      <c r="AL19" s="1"/>
      <c r="AM19" s="1"/>
      <c r="AN19" s="1"/>
      <c r="AO19" s="1"/>
      <c r="AP19" s="1"/>
      <c r="AQ19" s="1"/>
      <c r="AR19" s="1"/>
      <c r="AS19" s="1" t="s">
        <v>105</v>
      </c>
      <c r="AT19" s="1" t="s">
        <v>150</v>
      </c>
      <c r="AU19" s="1" t="s">
        <v>416</v>
      </c>
      <c r="AV19" s="1" t="s">
        <v>116</v>
      </c>
      <c r="AW19" s="1" t="s">
        <v>416</v>
      </c>
      <c r="AX19" s="1"/>
      <c r="AY19" s="27" t="b">
        <f aca="false">TRUE()</f>
        <v>1</v>
      </c>
      <c r="AZ19" s="27" t="b">
        <f aca="false">TRUE()</f>
        <v>1</v>
      </c>
      <c r="BA19" s="1"/>
      <c r="BB19" s="1"/>
      <c r="BC19" s="1"/>
      <c r="BD19" s="27" t="b">
        <f aca="false">TRUE()</f>
        <v>1</v>
      </c>
      <c r="BE19" s="1"/>
      <c r="BF19" s="1"/>
      <c r="BG19" s="1"/>
      <c r="BH19" s="1"/>
      <c r="BI19" s="1"/>
      <c r="BJ19" s="1"/>
      <c r="BK19" s="1"/>
      <c r="BL19" s="1"/>
      <c r="BM19" s="1"/>
      <c r="BN19" s="1"/>
      <c r="BO19" s="1"/>
      <c r="BP19" s="1"/>
      <c r="BQ19" s="1"/>
      <c r="BR19" s="1"/>
      <c r="BS19" s="1"/>
      <c r="BT19" s="1"/>
      <c r="BU19" s="1"/>
      <c r="BV19" s="1"/>
      <c r="BW19" s="1"/>
      <c r="BX19" s="1"/>
      <c r="BY19" s="1"/>
      <c r="BZ19" s="27" t="b">
        <f aca="false">TRUE()</f>
        <v>1</v>
      </c>
      <c r="CA19" s="1"/>
      <c r="CB19" s="1"/>
      <c r="CC19" s="27" t="b">
        <f aca="false">TRUE()</f>
        <v>1</v>
      </c>
      <c r="CD19" s="1"/>
      <c r="CE19" s="1"/>
      <c r="CF19" s="1"/>
      <c r="CG19" s="1"/>
      <c r="CH19" s="1"/>
      <c r="CI19" s="1"/>
    </row>
    <row r="20" customFormat="false" ht="33.75" hidden="false" customHeight="false" outlineLevel="0" collapsed="false">
      <c r="A20" s="1"/>
      <c r="B20" s="1" t="n">
        <v>337044</v>
      </c>
      <c r="C20" s="25" t="n">
        <v>42625</v>
      </c>
      <c r="D20" s="1" t="n">
        <v>21</v>
      </c>
      <c r="E20" s="26" t="s">
        <v>417</v>
      </c>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27" t="b">
        <f aca="false">TRUE()</f>
        <v>1</v>
      </c>
      <c r="BE20" s="1"/>
      <c r="BF20" s="1"/>
      <c r="BG20" s="1"/>
      <c r="BH20" s="1"/>
      <c r="BI20" s="1"/>
      <c r="BJ20" s="1"/>
      <c r="BK20" s="1"/>
      <c r="BL20" s="1"/>
      <c r="BM20" s="1"/>
      <c r="BN20" s="1"/>
      <c r="BO20" s="1"/>
      <c r="BP20" s="1"/>
      <c r="BQ20" s="1"/>
      <c r="BR20" s="1"/>
      <c r="BS20" s="1"/>
      <c r="BT20" s="27" t="b">
        <f aca="false">TRUE()</f>
        <v>1</v>
      </c>
      <c r="BU20" s="1" t="s">
        <v>90</v>
      </c>
      <c r="BV20" s="1"/>
      <c r="BW20" s="1"/>
      <c r="BX20" s="1"/>
      <c r="BY20" s="1"/>
      <c r="BZ20" s="1"/>
      <c r="CA20" s="1"/>
      <c r="CB20" s="1"/>
      <c r="CC20" s="1"/>
      <c r="CD20" s="1"/>
      <c r="CE20" s="1"/>
      <c r="CF20" s="1"/>
      <c r="CG20" s="1"/>
      <c r="CH20" s="1"/>
      <c r="CI20" s="1"/>
    </row>
    <row r="21" customFormat="false" ht="169.5" hidden="false" customHeight="false" outlineLevel="0" collapsed="false">
      <c r="A21" s="1"/>
      <c r="B21" s="1" t="n">
        <v>337044</v>
      </c>
      <c r="C21" s="25" t="n">
        <v>42650</v>
      </c>
      <c r="D21" s="1" t="n">
        <v>22</v>
      </c>
      <c r="E21" s="26" t="s">
        <v>418</v>
      </c>
      <c r="F21" s="1"/>
      <c r="G21" s="1"/>
      <c r="H21" s="1"/>
      <c r="I21" s="1"/>
      <c r="J21" s="1"/>
      <c r="K21" s="1"/>
      <c r="L21" s="1"/>
      <c r="M21" s="1"/>
      <c r="N21" s="1"/>
      <c r="O21" s="1"/>
      <c r="P21" s="1"/>
      <c r="Q21" s="1"/>
      <c r="R21" s="1"/>
      <c r="S21" s="1"/>
      <c r="T21" s="1"/>
      <c r="U21" s="1"/>
      <c r="V21" s="1"/>
      <c r="W21" s="1"/>
      <c r="X21" s="1"/>
      <c r="Y21" s="1"/>
      <c r="Z21" s="1" t="s">
        <v>128</v>
      </c>
      <c r="AA21" s="1" t="s">
        <v>115</v>
      </c>
      <c r="AB21" s="1" t="s">
        <v>128</v>
      </c>
      <c r="AC21" s="1" t="s">
        <v>115</v>
      </c>
      <c r="AD21" s="1"/>
      <c r="AE21" s="1"/>
      <c r="AF21" s="1"/>
      <c r="AG21" s="1"/>
      <c r="AH21" s="1"/>
      <c r="AI21" s="1"/>
      <c r="AJ21" s="1"/>
      <c r="AK21" s="1"/>
      <c r="AL21" s="1"/>
      <c r="AM21" s="1"/>
      <c r="AN21" s="1"/>
      <c r="AO21" s="1"/>
      <c r="AP21" s="1"/>
      <c r="AQ21" s="1"/>
      <c r="AR21" s="1"/>
      <c r="AS21" s="1" t="s">
        <v>105</v>
      </c>
      <c r="AT21" s="1" t="s">
        <v>150</v>
      </c>
      <c r="AU21" s="1" t="s">
        <v>416</v>
      </c>
      <c r="AV21" s="1" t="s">
        <v>116</v>
      </c>
      <c r="AW21" s="1" t="s">
        <v>416</v>
      </c>
      <c r="AX21" s="1"/>
      <c r="AY21" s="27" t="b">
        <f aca="false">TRUE()</f>
        <v>1</v>
      </c>
      <c r="AZ21" s="27" t="b">
        <f aca="false">TRUE()</f>
        <v>1</v>
      </c>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27" t="b">
        <f aca="false">TRUE()</f>
        <v>1</v>
      </c>
      <c r="CD21" s="1"/>
      <c r="CE21" s="1"/>
      <c r="CF21" s="1"/>
      <c r="CG21" s="1"/>
      <c r="CH21" s="1"/>
      <c r="CI21" s="1"/>
    </row>
    <row r="22" customFormat="false" ht="186.75" hidden="false" customHeight="false" outlineLevel="0" collapsed="false">
      <c r="A22" s="1"/>
      <c r="B22" s="1" t="n">
        <v>337044</v>
      </c>
      <c r="C22" s="25" t="n">
        <v>42720</v>
      </c>
      <c r="D22" s="1" t="n">
        <v>24</v>
      </c>
      <c r="E22" s="26" t="s">
        <v>419</v>
      </c>
      <c r="F22" s="1"/>
      <c r="G22" s="1"/>
      <c r="H22" s="1"/>
      <c r="I22" s="1"/>
      <c r="J22" s="1"/>
      <c r="K22" s="1"/>
      <c r="L22" s="1"/>
      <c r="M22" s="1"/>
      <c r="N22" s="1"/>
      <c r="O22" s="1"/>
      <c r="P22" s="1"/>
      <c r="Q22" s="1"/>
      <c r="R22" s="1"/>
      <c r="S22" s="1"/>
      <c r="T22" s="1"/>
      <c r="U22" s="1"/>
      <c r="V22" s="1"/>
      <c r="W22" s="1"/>
      <c r="X22" s="1"/>
      <c r="Y22" s="1"/>
      <c r="Z22" s="1" t="s">
        <v>128</v>
      </c>
      <c r="AA22" s="1" t="s">
        <v>115</v>
      </c>
      <c r="AB22" s="1" t="s">
        <v>128</v>
      </c>
      <c r="AC22" s="1" t="s">
        <v>115</v>
      </c>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27" t="b">
        <f aca="false">TRUE()</f>
        <v>1</v>
      </c>
      <c r="BD22" s="1"/>
      <c r="BE22" s="1"/>
      <c r="BF22" s="1"/>
      <c r="BG22" s="1"/>
      <c r="BH22" s="1"/>
      <c r="BI22" s="1"/>
      <c r="BJ22" s="1"/>
      <c r="BK22" s="1"/>
      <c r="BL22" s="1"/>
      <c r="BM22" s="1"/>
      <c r="BN22" s="1"/>
      <c r="BO22" s="1"/>
      <c r="BP22" s="1"/>
      <c r="BQ22" s="1"/>
      <c r="BR22" s="1"/>
      <c r="BS22" s="1"/>
      <c r="BT22" s="1"/>
      <c r="BU22" s="1"/>
      <c r="BV22" s="1"/>
      <c r="BW22" s="1"/>
      <c r="BX22" s="1"/>
      <c r="BY22" s="1"/>
      <c r="BZ22" s="1"/>
      <c r="CA22" s="27" t="b">
        <f aca="false">TRUE()</f>
        <v>1</v>
      </c>
      <c r="CB22" s="1"/>
      <c r="CC22" s="1"/>
      <c r="CD22" s="1"/>
      <c r="CE22" s="1"/>
      <c r="CF22" s="1"/>
      <c r="CG22" s="1"/>
      <c r="CH22" s="1"/>
      <c r="CI22" s="1"/>
    </row>
    <row r="23" customFormat="false" ht="255" hidden="false" customHeight="false" outlineLevel="0" collapsed="false">
      <c r="A23" s="1"/>
      <c r="B23" s="1" t="n">
        <v>337044</v>
      </c>
      <c r="C23" s="25" t="n">
        <v>42755</v>
      </c>
      <c r="D23" s="1" t="n">
        <v>25</v>
      </c>
      <c r="E23" s="26" t="s">
        <v>420</v>
      </c>
      <c r="F23" s="1"/>
      <c r="G23" s="1"/>
      <c r="H23" s="1"/>
      <c r="I23" s="1"/>
      <c r="J23" s="1"/>
      <c r="K23" s="1"/>
      <c r="L23" s="1"/>
      <c r="M23" s="1"/>
      <c r="N23" s="1"/>
      <c r="O23" s="1"/>
      <c r="P23" s="1"/>
      <c r="Q23" s="1"/>
      <c r="R23" s="1"/>
      <c r="S23" s="1"/>
      <c r="T23" s="1"/>
      <c r="U23" s="1"/>
      <c r="V23" s="1"/>
      <c r="W23" s="1"/>
      <c r="X23" s="1"/>
      <c r="Y23" s="1"/>
      <c r="Z23" s="1" t="s">
        <v>128</v>
      </c>
      <c r="AA23" s="1" t="s">
        <v>115</v>
      </c>
      <c r="AB23" s="1" t="s">
        <v>128</v>
      </c>
      <c r="AC23" s="1" t="s">
        <v>115</v>
      </c>
      <c r="AD23" s="1"/>
      <c r="AE23" s="1"/>
      <c r="AF23" s="1"/>
      <c r="AG23" s="1"/>
      <c r="AH23" s="1"/>
      <c r="AI23" s="1"/>
      <c r="AJ23" s="1"/>
      <c r="AK23" s="1"/>
      <c r="AL23" s="1"/>
      <c r="AM23" s="27" t="b">
        <f aca="false">FALSE()</f>
        <v>0</v>
      </c>
      <c r="AN23" s="27" t="b">
        <f aca="false">TRUE()</f>
        <v>1</v>
      </c>
      <c r="AO23" s="1"/>
      <c r="AP23" s="1"/>
      <c r="AQ23" s="1" t="s">
        <v>96</v>
      </c>
      <c r="AR23" s="1" t="s">
        <v>97</v>
      </c>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row>
    <row r="24" customFormat="false" ht="220.5" hidden="false" customHeight="false" outlineLevel="0" collapsed="false">
      <c r="A24" s="1"/>
      <c r="B24" s="1" t="n">
        <v>337044</v>
      </c>
      <c r="C24" s="25" t="n">
        <v>42811</v>
      </c>
      <c r="D24" s="1" t="n">
        <v>27</v>
      </c>
      <c r="E24" s="26" t="s">
        <v>421</v>
      </c>
      <c r="F24" s="1"/>
      <c r="G24" s="1"/>
      <c r="H24" s="1"/>
      <c r="I24" s="1"/>
      <c r="J24" s="1"/>
      <c r="K24" s="1"/>
      <c r="L24" s="1"/>
      <c r="M24" s="1"/>
      <c r="N24" s="1"/>
      <c r="O24" s="1"/>
      <c r="P24" s="31" t="b">
        <f aca="false">TRUE()</f>
        <v>1</v>
      </c>
      <c r="Q24" s="1"/>
      <c r="R24" s="1"/>
      <c r="S24" s="1"/>
      <c r="T24" s="1"/>
      <c r="U24" s="1"/>
      <c r="V24" s="1"/>
      <c r="W24" s="1"/>
      <c r="X24" s="1"/>
      <c r="Y24" s="1"/>
      <c r="Z24" s="1"/>
      <c r="AA24" s="1"/>
      <c r="AB24" s="1"/>
      <c r="AC24" s="1"/>
      <c r="AD24" s="1" t="s">
        <v>182</v>
      </c>
      <c r="AE24" s="1"/>
      <c r="AF24" s="1"/>
      <c r="AG24" s="1"/>
      <c r="AH24" s="1"/>
      <c r="AI24" s="1"/>
      <c r="AJ24" s="1"/>
      <c r="AK24" s="1"/>
      <c r="AL24" s="1"/>
      <c r="AM24" s="27" t="b">
        <f aca="false">TRUE()</f>
        <v>1</v>
      </c>
      <c r="AN24" s="27" t="b">
        <f aca="false">TRUE()</f>
        <v>1</v>
      </c>
      <c r="AO24" s="1" t="s">
        <v>122</v>
      </c>
      <c r="AP24" s="1" t="s">
        <v>97</v>
      </c>
      <c r="AQ24" s="1" t="s">
        <v>107</v>
      </c>
      <c r="AR24" s="1" t="s">
        <v>97</v>
      </c>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row>
    <row r="25" customFormat="false" ht="237.75" hidden="false" customHeight="false" outlineLevel="0" collapsed="false">
      <c r="A25" s="1"/>
      <c r="B25" s="1" t="n">
        <v>337044</v>
      </c>
      <c r="C25" s="25" t="n">
        <v>42853</v>
      </c>
      <c r="D25" s="1" t="n">
        <v>29</v>
      </c>
      <c r="E25" s="26" t="s">
        <v>422</v>
      </c>
      <c r="F25" s="1"/>
      <c r="G25" s="1"/>
      <c r="H25" s="1"/>
      <c r="I25" s="1"/>
      <c r="J25" s="1"/>
      <c r="K25" s="1"/>
      <c r="L25" s="1"/>
      <c r="M25" s="1"/>
      <c r="N25" s="1"/>
      <c r="O25" s="1"/>
      <c r="P25" s="1"/>
      <c r="Q25" s="1"/>
      <c r="R25" s="1"/>
      <c r="S25" s="1"/>
      <c r="T25" s="1"/>
      <c r="U25" s="1"/>
      <c r="V25" s="1"/>
      <c r="W25" s="1"/>
      <c r="X25" s="1"/>
      <c r="Y25" s="1"/>
      <c r="Z25" s="1"/>
      <c r="AA25" s="1"/>
      <c r="AB25" s="1"/>
      <c r="AC25" s="1"/>
      <c r="AD25" s="1" t="s">
        <v>182</v>
      </c>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row>
    <row r="26" customFormat="false" ht="306" hidden="false" customHeight="false" outlineLevel="0" collapsed="false">
      <c r="A26" s="1"/>
      <c r="B26" s="1" t="n">
        <v>337044</v>
      </c>
      <c r="C26" s="25" t="n">
        <v>42888</v>
      </c>
      <c r="D26" s="1" t="n">
        <v>30</v>
      </c>
      <c r="E26" s="26" t="s">
        <v>423</v>
      </c>
      <c r="F26" s="1"/>
      <c r="G26" s="1"/>
      <c r="H26" s="1"/>
      <c r="I26" s="1"/>
      <c r="J26" s="1"/>
      <c r="K26" s="1"/>
      <c r="L26" s="1"/>
      <c r="M26" s="1"/>
      <c r="N26" s="1"/>
      <c r="O26" s="1"/>
      <c r="P26" s="1"/>
      <c r="Q26" s="1"/>
      <c r="R26" s="1"/>
      <c r="S26" s="1"/>
      <c r="T26" s="1"/>
      <c r="U26" s="1"/>
      <c r="V26" s="1"/>
      <c r="W26" s="1"/>
      <c r="X26" s="1"/>
      <c r="Y26" s="1"/>
      <c r="Z26" s="1"/>
      <c r="AA26" s="1"/>
      <c r="AB26" s="1"/>
      <c r="AC26" s="1"/>
      <c r="AD26" s="1" t="s">
        <v>182</v>
      </c>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row>
    <row r="27" customFormat="false" ht="237.75" hidden="false" customHeight="false" outlineLevel="0" collapsed="false">
      <c r="A27" s="1"/>
      <c r="B27" s="1" t="n">
        <v>337044</v>
      </c>
      <c r="C27" s="25" t="n">
        <v>42909</v>
      </c>
      <c r="D27" s="1" t="n">
        <v>31</v>
      </c>
      <c r="E27" s="26" t="s">
        <v>424</v>
      </c>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row>
    <row r="28" customFormat="false" ht="169.5" hidden="false" customHeight="false" outlineLevel="0" collapsed="false">
      <c r="A28" s="1"/>
      <c r="B28" s="1" t="n">
        <v>337044</v>
      </c>
      <c r="C28" s="25" t="n">
        <v>42965</v>
      </c>
      <c r="D28" s="1" t="n">
        <v>32</v>
      </c>
      <c r="E28" s="26" t="s">
        <v>425</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row>
    <row r="29" customFormat="false" ht="339.75" hidden="false" customHeight="false" outlineLevel="0" collapsed="false">
      <c r="A29" s="1"/>
      <c r="B29" s="1" t="n">
        <v>337044</v>
      </c>
      <c r="C29" s="25" t="n">
        <v>42986</v>
      </c>
      <c r="D29" s="1" t="n">
        <v>33</v>
      </c>
      <c r="E29" s="26" t="s">
        <v>426</v>
      </c>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row>
    <row r="30" customFormat="false" ht="306" hidden="false" customHeight="false" outlineLevel="0" collapsed="false">
      <c r="A30" s="1"/>
      <c r="B30" s="1" t="n">
        <v>337044</v>
      </c>
      <c r="C30" s="25" t="n">
        <v>43028</v>
      </c>
      <c r="D30" s="1" t="n">
        <v>34</v>
      </c>
      <c r="E30" s="26" t="s">
        <v>427</v>
      </c>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row>
    <row r="31" customFormat="false" ht="288.75" hidden="false" customHeight="false" outlineLevel="0" collapsed="false">
      <c r="A31" s="1"/>
      <c r="B31" s="1" t="n">
        <v>337044</v>
      </c>
      <c r="C31" s="25" t="n">
        <v>43077</v>
      </c>
      <c r="D31" s="1" t="n">
        <v>36</v>
      </c>
      <c r="E31" s="26" t="s">
        <v>428</v>
      </c>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row>
    <row r="32" customFormat="false" ht="16.5" hidden="false" customHeight="false" outlineLevel="0" collapsed="false">
      <c r="A32" s="1"/>
      <c r="B32" s="1" t="n">
        <v>337044</v>
      </c>
      <c r="C32" s="25" t="n">
        <v>43080</v>
      </c>
      <c r="D32" s="1" t="n">
        <v>36</v>
      </c>
      <c r="E32" s="26" t="s">
        <v>429</v>
      </c>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row>
    <row r="33" customFormat="false" ht="372" hidden="false" customHeight="false" outlineLevel="0" collapsed="false">
      <c r="A33" s="1"/>
      <c r="B33" s="1" t="n">
        <v>337044</v>
      </c>
      <c r="C33" s="25" t="n">
        <v>43126</v>
      </c>
      <c r="D33" s="1" t="n">
        <v>38</v>
      </c>
      <c r="E33" s="26" t="s">
        <v>430</v>
      </c>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row>
    <row r="34" customFormat="false" ht="339.75" hidden="false" customHeight="false" outlineLevel="0" collapsed="false">
      <c r="A34" s="1"/>
      <c r="B34" s="1" t="n">
        <v>337044</v>
      </c>
      <c r="C34" s="25" t="n">
        <v>43154</v>
      </c>
      <c r="D34" s="1" t="n">
        <v>39</v>
      </c>
      <c r="E34" s="26" t="s">
        <v>431</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row>
    <row r="35" customFormat="false" ht="355.5" hidden="false" customHeight="false" outlineLevel="0" collapsed="false">
      <c r="A35" s="1"/>
      <c r="B35" s="1" t="n">
        <v>337044</v>
      </c>
      <c r="C35" s="25" t="n">
        <v>43203</v>
      </c>
      <c r="D35" s="1" t="n">
        <v>40</v>
      </c>
      <c r="E35" s="26" t="s">
        <v>432</v>
      </c>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row>
    <row r="36" customFormat="false" ht="355.5" hidden="false" customHeight="false" outlineLevel="0" collapsed="false">
      <c r="A36" s="1"/>
      <c r="B36" s="1" t="n">
        <v>337044</v>
      </c>
      <c r="C36" s="25" t="n">
        <v>43231</v>
      </c>
      <c r="D36" s="1" t="n">
        <v>41</v>
      </c>
      <c r="E36" s="26" t="s">
        <v>433</v>
      </c>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row>
    <row r="37" customFormat="false" ht="339.75" hidden="false" customHeight="false" outlineLevel="0" collapsed="false">
      <c r="A37" s="1"/>
      <c r="B37" s="1" t="n">
        <v>337044</v>
      </c>
      <c r="C37" s="25" t="n">
        <v>43273</v>
      </c>
      <c r="D37" s="1" t="n">
        <v>43</v>
      </c>
      <c r="E37" s="26" t="s">
        <v>434</v>
      </c>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row>
    <row r="38" customFormat="false" ht="51" hidden="false" customHeight="false" outlineLevel="0" collapsed="false">
      <c r="A38" s="1"/>
      <c r="B38" s="1" t="n">
        <v>337044</v>
      </c>
      <c r="C38" s="25" t="n">
        <v>43294</v>
      </c>
      <c r="D38" s="1" t="n">
        <v>43</v>
      </c>
      <c r="E38" s="26" t="s">
        <v>435</v>
      </c>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row>
    <row r="39" customFormat="false" ht="372" hidden="false" customHeight="false" outlineLevel="0" collapsed="false">
      <c r="A39" s="1"/>
      <c r="B39" s="1" t="n">
        <v>337044</v>
      </c>
      <c r="C39" s="25" t="n">
        <v>43308</v>
      </c>
      <c r="D39" s="1" t="n">
        <v>44</v>
      </c>
      <c r="E39" s="26" t="s">
        <v>436</v>
      </c>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row>
    <row r="40" s="44" customFormat="true" ht="322.5" hidden="false" customHeight="false" outlineLevel="0" collapsed="false">
      <c r="A40" s="40"/>
      <c r="B40" s="40" t="n">
        <v>337044</v>
      </c>
      <c r="C40" s="41" t="n">
        <v>43329</v>
      </c>
      <c r="D40" s="40" t="n">
        <v>44</v>
      </c>
      <c r="E40" s="38" t="s">
        <v>437</v>
      </c>
      <c r="F40" s="40"/>
      <c r="G40" s="40"/>
      <c r="H40" s="40"/>
      <c r="I40" s="40"/>
      <c r="J40" s="40"/>
      <c r="K40" s="40"/>
      <c r="L40" s="40"/>
      <c r="M40" s="40"/>
      <c r="N40" s="40"/>
      <c r="O40" s="40"/>
      <c r="P40" s="40"/>
      <c r="Q40" s="40"/>
      <c r="R40" s="42" t="b">
        <f aca="false">TRUE()</f>
        <v>1</v>
      </c>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2" t="b">
        <f aca="false">TRUE()</f>
        <v>1</v>
      </c>
      <c r="CG40" s="43" t="b">
        <f aca="false">TRUE()</f>
        <v>1</v>
      </c>
      <c r="CH40" s="40"/>
      <c r="CI40" s="40"/>
    </row>
    <row r="41" customFormat="false" ht="204" hidden="false" customHeight="false" outlineLevel="0" collapsed="false">
      <c r="A41" s="1"/>
      <c r="B41" s="1" t="n">
        <v>337044</v>
      </c>
      <c r="C41" s="25" t="n">
        <v>43336</v>
      </c>
      <c r="D41" s="1" t="n">
        <v>45</v>
      </c>
      <c r="E41" s="26" t="s">
        <v>438</v>
      </c>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t="s">
        <v>138</v>
      </c>
      <c r="BX41" s="1" t="s">
        <v>138</v>
      </c>
      <c r="BY41" s="1"/>
      <c r="BZ41" s="1"/>
      <c r="CA41" s="1"/>
      <c r="CB41" s="1"/>
      <c r="CC41" s="1"/>
      <c r="CD41" s="1"/>
      <c r="CE41" s="1"/>
      <c r="CF41" s="1"/>
      <c r="CG41" s="1"/>
      <c r="CH41" s="1"/>
      <c r="CI41" s="1"/>
    </row>
    <row r="42" customFormat="false" ht="153" hidden="false" customHeight="false" outlineLevel="0" collapsed="false">
      <c r="A42" s="1"/>
      <c r="B42" s="1" t="n">
        <v>337044</v>
      </c>
      <c r="C42" s="25" t="n">
        <v>43363</v>
      </c>
      <c r="D42" s="1" t="n">
        <v>45</v>
      </c>
      <c r="E42" s="26" t="s">
        <v>439</v>
      </c>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31" t="b">
        <f aca="false">TRUE()</f>
        <v>1</v>
      </c>
      <c r="CI42" s="1"/>
    </row>
    <row r="43" customFormat="false" ht="339.75" hidden="false" customHeight="false" outlineLevel="0" collapsed="false">
      <c r="A43" s="1"/>
      <c r="B43" s="1" t="n">
        <v>337044</v>
      </c>
      <c r="C43" s="25" t="n">
        <v>43404</v>
      </c>
      <c r="D43" s="1" t="n">
        <v>47</v>
      </c>
      <c r="E43" s="26" t="s">
        <v>440</v>
      </c>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31" t="b">
        <f aca="false">TRUE()</f>
        <v>1</v>
      </c>
      <c r="CI43" s="1"/>
    </row>
    <row r="44" customFormat="false" ht="204" hidden="false" customHeight="false" outlineLevel="0" collapsed="false">
      <c r="A44" s="1"/>
      <c r="B44" s="1" t="n">
        <v>337044</v>
      </c>
      <c r="C44" s="25" t="n">
        <v>43444</v>
      </c>
      <c r="D44" s="1" t="n">
        <v>48</v>
      </c>
      <c r="E44" s="26" t="s">
        <v>441</v>
      </c>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31" t="b">
        <f aca="false">TRUE()</f>
        <v>1</v>
      </c>
      <c r="CI44" s="1"/>
    </row>
    <row r="45" customFormat="false" ht="153" hidden="false" customHeight="false" outlineLevel="0" collapsed="false">
      <c r="A45" s="1"/>
      <c r="B45" s="1" t="n">
        <v>337044</v>
      </c>
      <c r="C45" s="25" t="n">
        <v>43626</v>
      </c>
      <c r="D45" s="1" t="n">
        <v>54</v>
      </c>
      <c r="E45" s="26" t="s">
        <v>442</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31" t="b">
        <f aca="false">TRUE()</f>
        <v>1</v>
      </c>
      <c r="CI45" s="1"/>
    </row>
    <row r="46" customFormat="false" ht="15.75" hidden="false" customHeight="false" outlineLevel="0" collapsed="false">
      <c r="A46" s="1"/>
      <c r="B46" s="1" t="n">
        <v>337044</v>
      </c>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row>
    <row r="47" customFormat="false" ht="15.75" hidden="false" customHeight="false" outlineLevel="0" collapsed="false">
      <c r="A47" s="1"/>
      <c r="B47" s="1" t="n">
        <v>337044</v>
      </c>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row>
    <row r="48" customFormat="false" ht="15.75" hidden="false" customHeight="false" outlineLevel="0" collapsed="false">
      <c r="A48" s="1"/>
      <c r="B48" s="1" t="n">
        <v>337044</v>
      </c>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row>
    <row r="49" customFormat="false" ht="15.75" hidden="false" customHeight="false" outlineLevel="0" collapsed="false">
      <c r="A49" s="1"/>
      <c r="B49" s="1" t="n">
        <v>337044</v>
      </c>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row>
    <row r="50" customFormat="false" ht="15.75" hidden="false" customHeight="false" outlineLevel="0" collapsed="false">
      <c r="A50" s="1"/>
      <c r="B50" s="1" t="n">
        <v>337044</v>
      </c>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row>
    <row r="51" customFormat="false" ht="15.75" hidden="false" customHeight="false" outlineLevel="0" collapsed="false">
      <c r="A51" s="1"/>
      <c r="B51" s="1" t="n">
        <v>337044</v>
      </c>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row>
    <row r="52" customFormat="false" ht="15.75" hidden="false" customHeight="false" outlineLevel="0" collapsed="false">
      <c r="A52" s="1"/>
      <c r="B52" s="1" t="n">
        <v>337044</v>
      </c>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row>
    <row r="53" customFormat="false" ht="15.75" hidden="false" customHeight="false" outlineLevel="0" collapsed="false">
      <c r="A53" s="1"/>
      <c r="B53" s="1" t="n">
        <v>337044</v>
      </c>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row>
    <row r="54" customFormat="false" ht="15.75" hidden="false" customHeight="false" outlineLevel="0" collapsed="false">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row>
    <row r="55" customFormat="false" ht="15.75" hidden="false" customHeight="false" outlineLevel="0" collapsed="false">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row>
    <row r="56" customFormat="false" ht="15.75" hidden="false" customHeight="false" outlineLevel="0" collapsed="false">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row>
    <row r="57" customFormat="false" ht="15.75" hidden="false" customHeight="false" outlineLevel="0" collapsed="false">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row>
    <row r="58" customFormat="false" ht="15.75" hidden="false" customHeight="false" outlineLevel="0" collapsed="false">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row>
    <row r="59" customFormat="false" ht="15.75" hidden="false" customHeight="false" outlineLevel="0" collapsed="false">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row>
    <row r="60" customFormat="false" ht="15.75" hidden="false" customHeight="false" outlineLevel="0" collapsed="false">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row>
    <row r="61" customFormat="false" ht="15.75" hidden="false" customHeight="false" outlineLevel="0" collapsed="false">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row>
    <row r="62" customFormat="false" ht="15.75" hidden="false" customHeight="false" outlineLevel="0" collapsed="false">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row>
    <row r="63" customFormat="false" ht="15.75" hidden="false" customHeight="false" outlineLevel="0" collapsed="false">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row>
    <row r="64" customFormat="false" ht="15.75" hidden="false" customHeight="false" outlineLevel="0" collapsed="false">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row>
    <row r="65" customFormat="false" ht="15.75" hidden="false" customHeight="false" outlineLevel="0" collapsed="false">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row>
    <row r="66" customFormat="false" ht="15.75" hidden="false" customHeight="false" outlineLevel="0" collapsed="false">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row>
    <row r="67" customFormat="false" ht="15.75" hidden="false" customHeight="false" outlineLevel="0" collapsed="false">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row>
    <row r="68" customFormat="false" ht="15.75" hidden="false" customHeight="false" outlineLevel="0" collapsed="false">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row>
    <row r="69" customFormat="false" ht="15.75" hidden="false" customHeight="false" outlineLevel="0" collapsed="false">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row>
    <row r="70" customFormat="false" ht="15.75" hidden="false" customHeight="false" outlineLevel="0" collapsed="false">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row>
    <row r="71" customFormat="false" ht="15.75" hidden="false" customHeight="false" outlineLevel="0" collapsed="false">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row>
    <row r="72" customFormat="false" ht="15.75" hidden="false" customHeight="false" outlineLevel="0" collapsed="false">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row>
    <row r="73" customFormat="false" ht="15.75" hidden="false" customHeight="false" outlineLevel="0" collapsed="false">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row>
    <row r="74" customFormat="false" ht="15.75" hidden="false" customHeight="false" outlineLevel="0" collapsed="false">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row>
    <row r="75" customFormat="false" ht="15.75" hidden="false" customHeight="false" outlineLevel="0" collapsed="false">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row>
    <row r="76" customFormat="false" ht="15.75" hidden="false" customHeight="false" outlineLevel="0" collapsed="false">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row>
    <row r="77" customFormat="false" ht="15.75" hidden="false" customHeight="false" outlineLevel="0" collapsed="false">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row>
    <row r="78" customFormat="false" ht="15.75" hidden="false" customHeight="false" outlineLevel="0" collapsed="false">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row>
    <row r="79" customFormat="false" ht="15.75" hidden="false" customHeight="false" outlineLevel="0" collapsed="false">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row>
    <row r="80" customFormat="false" ht="15.75" hidden="false" customHeight="false" outlineLevel="0" collapsed="false">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row>
    <row r="81" customFormat="false" ht="15.75" hidden="false" customHeight="false" outlineLevel="0" collapsed="false">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row>
    <row r="82" customFormat="false" ht="15.75" hidden="false" customHeight="false" outlineLevel="0" collapsed="false">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row>
    <row r="83" customFormat="false" ht="15.75" hidden="false" customHeight="false" outlineLevel="0" collapsed="false">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row>
    <row r="84" customFormat="false" ht="15.75" hidden="false" customHeight="false" outlineLevel="0" collapsed="false">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row>
    <row r="85" customFormat="false" ht="15.75" hidden="false" customHeight="false" outlineLevel="0" collapsed="false">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row>
    <row r="86" customFormat="false" ht="15.75" hidden="false" customHeight="false" outlineLevel="0" collapsed="false">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row>
    <row r="87" customFormat="false" ht="15.75" hidden="false" customHeight="false" outlineLevel="0" collapsed="false">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row>
    <row r="88" customFormat="false" ht="15.75" hidden="false" customHeight="false" outlineLevel="0" collapsed="false">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row>
    <row r="89" customFormat="false" ht="15.75" hidden="false" customHeight="false" outlineLevel="0" collapsed="false">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row>
  </sheetData>
  <dataValidations count="24">
    <dataValidation allowBlank="true" errorStyle="stop" operator="between" showDropDown="false" showErrorMessage="true" showInputMessage="true" sqref="AD2:AD89" type="list">
      <formula1>list!$B$25:$E$25</formula1>
      <formula2>0</formula2>
    </dataValidation>
    <dataValidation allowBlank="true" errorStyle="stop" operator="between" showDropDown="false" showErrorMessage="true" showInputMessage="true" sqref="BY2:CI89" type="list">
      <formula1>list!$B$72:$C$72</formula1>
      <formula2>0</formula2>
    </dataValidation>
    <dataValidation allowBlank="true" errorStyle="stop" operator="between" showDropDown="false" showErrorMessage="true" showInputMessage="true" sqref="BW2:BX89" type="list">
      <formula1>list!$B$70:$F$70</formula1>
      <formula2>0</formula2>
    </dataValidation>
    <dataValidation allowBlank="true" errorStyle="stop" operator="between" showDropDown="false" showErrorMessage="true" showInputMessage="true" sqref="BV2:BV89" type="list">
      <formula1>list!$B$69:$C$69</formula1>
      <formula2>0</formula2>
    </dataValidation>
    <dataValidation allowBlank="true" errorStyle="stop" operator="between" showDropDown="false" showErrorMessage="true" showInputMessage="true" sqref="BU2:BU89" type="list">
      <formula1>list!$B$68:$G$68</formula1>
      <formula2>0</formula2>
    </dataValidation>
    <dataValidation allowBlank="true" errorStyle="stop" operator="between" showDropDown="false" showErrorMessage="true" showInputMessage="true" sqref="BR2:BR89" type="list">
      <formula1>list!$B$65:$F$65</formula1>
      <formula2>0</formula2>
    </dataValidation>
    <dataValidation allowBlank="true" errorStyle="stop" operator="between" showDropDown="false" showErrorMessage="true" showInputMessage="true" sqref="BQ2:BQ89" type="list">
      <formula1>list!$B$64:$E$64</formula1>
      <formula2>0</formula2>
    </dataValidation>
    <dataValidation allowBlank="true" errorStyle="stop" operator="between" showDropDown="false" showErrorMessage="true" showInputMessage="true" sqref="BB2:BB89" type="list">
      <formula1>list!$B$49:$P$49</formula1>
      <formula2>0</formula2>
    </dataValidation>
    <dataValidation allowBlank="true" errorStyle="stop" operator="between" showDropDown="false" showErrorMessage="true" showInputMessage="true" sqref="AX2:BA89 BC2:BP89 BS2:BT89" type="list">
      <formula1>list!$B$50:$C$50</formula1>
      <formula2>0</formula2>
    </dataValidation>
    <dataValidation allowBlank="true" errorStyle="stop" operator="between" showDropDown="false" showErrorMessage="true" showInputMessage="true" sqref="AU2:AU89 AW2:AW89" type="list">
      <formula1>list!$B$42:$Z$42</formula1>
      <formula2>0</formula2>
    </dataValidation>
    <dataValidation allowBlank="true" errorStyle="stop" operator="between" showDropDown="false" showErrorMessage="true" showInputMessage="true" sqref="AM2:AN89" type="list">
      <formula1>list!$B$34:$C$34</formula1>
      <formula2>0</formula2>
    </dataValidation>
    <dataValidation allowBlank="true" errorStyle="stop" operator="between" showDropDown="false" showErrorMessage="true" showInputMessage="true" sqref="AL2:AL89" type="list">
      <formula1>list!$B$33:$H$33</formula1>
      <formula2>0</formula2>
    </dataValidation>
    <dataValidation allowBlank="true" errorStyle="stop" operator="between" showDropDown="false" showErrorMessage="true" showInputMessage="true" sqref="AF2:AK89" type="list">
      <formula1>list!$B$27:$C$27</formula1>
      <formula2>0</formula2>
    </dataValidation>
    <dataValidation allowBlank="true" errorStyle="stop" operator="between" showDropDown="false" showErrorMessage="true" showInputMessage="true" sqref="AE2:AE89" type="list">
      <formula1>list!$B$26:$E$26</formula1>
      <formula2>0</formula2>
    </dataValidation>
    <dataValidation allowBlank="true" errorStyle="stop" operator="between" showDropDown="false" showErrorMessage="true" showInputMessage="true" sqref="Z2:AC89" type="list">
      <formula1>list!$B$21:$M$21</formula1>
      <formula2>0</formula2>
    </dataValidation>
    <dataValidation allowBlank="true" errorStyle="stop" operator="between" showDropDown="false" showErrorMessage="true" showInputMessage="true" sqref="V2:W89" type="list">
      <formula1>list!$B$17:$J$17</formula1>
      <formula2>0</formula2>
    </dataValidation>
    <dataValidation allowBlank="true" errorStyle="stop" operator="between" showDropDown="false" showErrorMessage="true" showInputMessage="true" sqref="G2:U89" type="list">
      <formula1>list!$B$2:$C$2</formula1>
      <formula2>0</formula2>
    </dataValidation>
    <dataValidation allowBlank="true" errorStyle="stop" operator="between" showDropDown="false" showErrorMessage="true" showInputMessage="true" sqref="AO2:AO89 AQ2:AQ89" type="list">
      <formula1>list!$B$36:$G$36</formula1>
      <formula2>0</formula2>
    </dataValidation>
    <dataValidation allowBlank="true" errorStyle="stop" operator="between" showDropDown="false" showErrorMessage="true" showInputMessage="true" sqref="AT2:AT89 AV2:AV89" type="list">
      <formula1>list!$B$41:$F$41</formula1>
      <formula2>0</formula2>
    </dataValidation>
    <dataValidation allowBlank="true" errorStyle="stop" operator="between" showDropDown="false" showErrorMessage="true" showInputMessage="true" sqref="AS2:AS89" type="list">
      <formula1>list!$B$40:$I$40</formula1>
      <formula2>0</formula2>
    </dataValidation>
    <dataValidation allowBlank="true" errorStyle="stop" operator="between" showDropDown="false" showErrorMessage="true" showInputMessage="true" sqref="X2:Y45 X46:X89" type="list">
      <formula1>list!$B$19:$D$19</formula1>
      <formula2>0</formula2>
    </dataValidation>
    <dataValidation allowBlank="true" errorStyle="stop" operator="between" showDropDown="false" showErrorMessage="true" showInputMessage="true" sqref="AP2:AP45 AR2:AR45" type="list">
      <formula1>list!$B$37:$T$37</formula1>
      <formula2>0</formula2>
    </dataValidation>
    <dataValidation allowBlank="true" errorStyle="stop" operator="between" showDropDown="false" showErrorMessage="true" showInputMessage="true" sqref="Y46:Y89" type="list">
      <formula1>list!$B$20:$I$20</formula1>
      <formula2>0</formula2>
    </dataValidation>
    <dataValidation allowBlank="true" errorStyle="stop" operator="between" showDropDown="false" showErrorMessage="true" showInputMessage="true" sqref="AP46:AP89 AR46:AR89"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33"/>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selection pane="topLeft" activeCell="D2" activeCellId="0" sqref="D2"/>
    </sheetView>
  </sheetViews>
  <sheetFormatPr defaultColWidth="9.0078125" defaultRowHeight="15.75" zeroHeight="false" outlineLevelRow="0" outlineLevelCol="0"/>
  <cols>
    <col collapsed="false" customWidth="false" hidden="false" outlineLevel="0" max="4" min="1" style="45" width="9"/>
    <col collapsed="false" customWidth="true" hidden="false" outlineLevel="0" max="5" min="5" style="45" width="72.5"/>
    <col collapsed="false" customWidth="true" hidden="false" outlineLevel="0" max="6" min="6" style="45" width="15.67"/>
    <col collapsed="false" customWidth="false" hidden="false" outlineLevel="0" max="1024" min="7" style="45" width="9"/>
  </cols>
  <sheetData>
    <row r="1" s="50" customFormat="true" ht="199.5" hidden="false" customHeight="false" outlineLevel="0" collapsed="false">
      <c r="A1" s="46" t="s">
        <v>0</v>
      </c>
      <c r="B1" s="47" t="s">
        <v>1</v>
      </c>
      <c r="C1" s="47" t="s">
        <v>2</v>
      </c>
      <c r="D1" s="48" t="s">
        <v>3</v>
      </c>
      <c r="E1" s="48" t="s">
        <v>4</v>
      </c>
      <c r="F1" s="48" t="s">
        <v>5</v>
      </c>
      <c r="G1" s="49" t="s">
        <v>6</v>
      </c>
      <c r="H1" s="49" t="s">
        <v>7</v>
      </c>
      <c r="I1" s="49" t="s">
        <v>8</v>
      </c>
      <c r="J1" s="49" t="s">
        <v>9</v>
      </c>
      <c r="K1" s="49" t="s">
        <v>10</v>
      </c>
      <c r="L1" s="49" t="s">
        <v>11</v>
      </c>
      <c r="M1" s="49" t="s">
        <v>12</v>
      </c>
      <c r="N1" s="49" t="s">
        <v>13</v>
      </c>
      <c r="O1" s="49" t="s">
        <v>14</v>
      </c>
      <c r="P1" s="49" t="s">
        <v>15</v>
      </c>
      <c r="Q1" s="49" t="s">
        <v>16</v>
      </c>
      <c r="R1" s="49" t="s">
        <v>17</v>
      </c>
      <c r="S1" s="49" t="s">
        <v>18</v>
      </c>
      <c r="T1" s="49" t="s">
        <v>19</v>
      </c>
      <c r="U1" s="49" t="s">
        <v>20</v>
      </c>
      <c r="V1" s="49" t="s">
        <v>21</v>
      </c>
      <c r="W1" s="49" t="s">
        <v>22</v>
      </c>
      <c r="X1" s="49" t="s">
        <v>23</v>
      </c>
      <c r="Y1" s="49" t="s">
        <v>24</v>
      </c>
      <c r="Z1" s="49" t="s">
        <v>25</v>
      </c>
      <c r="AA1" s="49" t="s">
        <v>26</v>
      </c>
      <c r="AB1" s="49" t="s">
        <v>27</v>
      </c>
      <c r="AC1" s="49" t="s">
        <v>28</v>
      </c>
      <c r="AD1" s="49" t="s">
        <v>29</v>
      </c>
      <c r="AE1" s="49" t="s">
        <v>30</v>
      </c>
      <c r="AF1" s="49" t="s">
        <v>31</v>
      </c>
      <c r="AG1" s="49" t="s">
        <v>32</v>
      </c>
      <c r="AH1" s="49" t="s">
        <v>33</v>
      </c>
      <c r="AI1" s="49" t="s">
        <v>34</v>
      </c>
      <c r="AJ1" s="49" t="s">
        <v>35</v>
      </c>
      <c r="AK1" s="49" t="s">
        <v>36</v>
      </c>
      <c r="AL1" s="49" t="s">
        <v>37</v>
      </c>
      <c r="AM1" s="49" t="s">
        <v>38</v>
      </c>
      <c r="AN1" s="49" t="s">
        <v>39</v>
      </c>
      <c r="AO1" s="49" t="s">
        <v>40</v>
      </c>
      <c r="AP1" s="49" t="s">
        <v>41</v>
      </c>
      <c r="AQ1" s="49" t="s">
        <v>42</v>
      </c>
      <c r="AR1" s="49" t="s">
        <v>43</v>
      </c>
      <c r="AS1" s="49" t="s">
        <v>44</v>
      </c>
      <c r="AT1" s="49" t="s">
        <v>45</v>
      </c>
      <c r="AU1" s="49" t="s">
        <v>46</v>
      </c>
      <c r="AV1" s="49" t="s">
        <v>47</v>
      </c>
      <c r="AW1" s="49" t="s">
        <v>48</v>
      </c>
      <c r="AX1" s="49" t="s">
        <v>49</v>
      </c>
      <c r="AY1" s="49" t="s">
        <v>50</v>
      </c>
      <c r="AZ1" s="49" t="s">
        <v>51</v>
      </c>
      <c r="BA1" s="49" t="s">
        <v>52</v>
      </c>
      <c r="BB1" s="49" t="s">
        <v>53</v>
      </c>
      <c r="BC1" s="49" t="s">
        <v>54</v>
      </c>
      <c r="BD1" s="49" t="s">
        <v>55</v>
      </c>
      <c r="BE1" s="49" t="s">
        <v>56</v>
      </c>
      <c r="BF1" s="49" t="s">
        <v>57</v>
      </c>
      <c r="BG1" s="49" t="s">
        <v>58</v>
      </c>
      <c r="BH1" s="49" t="s">
        <v>59</v>
      </c>
      <c r="BI1" s="49" t="s">
        <v>18</v>
      </c>
      <c r="BJ1" s="49" t="s">
        <v>60</v>
      </c>
      <c r="BK1" s="49" t="s">
        <v>61</v>
      </c>
      <c r="BL1" s="49" t="s">
        <v>62</v>
      </c>
      <c r="BM1" s="49" t="s">
        <v>63</v>
      </c>
      <c r="BN1" s="49" t="s">
        <v>64</v>
      </c>
      <c r="BO1" s="49" t="s">
        <v>65</v>
      </c>
      <c r="BP1" s="49" t="s">
        <v>66</v>
      </c>
      <c r="BQ1" s="49" t="s">
        <v>67</v>
      </c>
      <c r="BR1" s="49" t="s">
        <v>68</v>
      </c>
      <c r="BS1" s="49" t="s">
        <v>69</v>
      </c>
      <c r="BT1" s="49" t="s">
        <v>70</v>
      </c>
      <c r="BU1" s="49" t="s">
        <v>71</v>
      </c>
      <c r="BV1" s="49" t="s">
        <v>72</v>
      </c>
      <c r="BW1" s="49" t="s">
        <v>73</v>
      </c>
      <c r="BX1" s="49" t="s">
        <v>74</v>
      </c>
      <c r="BY1" s="49" t="s">
        <v>75</v>
      </c>
      <c r="BZ1" s="49" t="s">
        <v>76</v>
      </c>
      <c r="CA1" s="49" t="s">
        <v>77</v>
      </c>
      <c r="CB1" s="49" t="s">
        <v>78</v>
      </c>
      <c r="CC1" s="49" t="s">
        <v>79</v>
      </c>
      <c r="CD1" s="49" t="s">
        <v>80</v>
      </c>
      <c r="CE1" s="49" t="s">
        <v>81</v>
      </c>
      <c r="CF1" s="49" t="s">
        <v>82</v>
      </c>
      <c r="CG1" s="49" t="s">
        <v>83</v>
      </c>
      <c r="CH1" s="49" t="s">
        <v>84</v>
      </c>
      <c r="CI1" s="49" t="s">
        <v>85</v>
      </c>
    </row>
    <row r="2" customFormat="false" ht="72.35" hidden="false" customHeight="false" outlineLevel="0" collapsed="false">
      <c r="A2" s="51"/>
      <c r="B2" s="51" t="n">
        <v>291861</v>
      </c>
      <c r="C2" s="51" t="s">
        <v>443</v>
      </c>
      <c r="D2" s="1" t="n">
        <f aca="false">DATEDIF($C$2, C2, "M")</f>
        <v>0</v>
      </c>
      <c r="E2" s="51" t="s">
        <v>444</v>
      </c>
      <c r="F2" s="52" t="b">
        <f aca="false">TRUE()</f>
        <v>1</v>
      </c>
      <c r="G2" s="52" t="b">
        <f aca="false">TRUE()</f>
        <v>1</v>
      </c>
      <c r="H2" s="52" t="b">
        <f aca="false">TRUE()</f>
        <v>1</v>
      </c>
      <c r="I2" s="51" t="b">
        <f aca="false">TRUE()</f>
        <v>1</v>
      </c>
      <c r="J2" s="51"/>
      <c r="K2" s="51"/>
      <c r="L2" s="51"/>
      <c r="M2" s="51"/>
      <c r="N2" s="51"/>
      <c r="O2" s="51"/>
      <c r="P2" s="51"/>
      <c r="Q2" s="51"/>
      <c r="R2" s="51"/>
      <c r="S2" s="51"/>
      <c r="T2" s="51"/>
      <c r="U2" s="51"/>
      <c r="V2" s="51"/>
      <c r="W2" s="51"/>
      <c r="X2" s="51"/>
      <c r="Y2" s="51"/>
      <c r="Z2" s="51" t="s">
        <v>128</v>
      </c>
      <c r="AA2" s="51" t="s">
        <v>128</v>
      </c>
      <c r="AB2" s="51" t="s">
        <v>87</v>
      </c>
      <c r="AC2" s="51" t="s">
        <v>87</v>
      </c>
      <c r="AD2" s="51" t="s">
        <v>182</v>
      </c>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row>
    <row r="3" customFormat="false" ht="102" hidden="false" customHeight="false" outlineLevel="0" collapsed="false">
      <c r="A3" s="51"/>
      <c r="B3" s="51" t="n">
        <v>291861</v>
      </c>
      <c r="C3" s="51" t="s">
        <v>445</v>
      </c>
      <c r="D3" s="1" t="n">
        <f aca="false">DATEDIF($C$2, C3, "M")</f>
        <v>2</v>
      </c>
      <c r="E3" s="51" t="s">
        <v>446</v>
      </c>
      <c r="F3" s="52" t="b">
        <f aca="false">TRUE()</f>
        <v>1</v>
      </c>
      <c r="G3" s="51"/>
      <c r="H3" s="51"/>
      <c r="I3" s="51"/>
      <c r="J3" s="51"/>
      <c r="K3" s="51" t="b">
        <f aca="false">TRUE()</f>
        <v>1</v>
      </c>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t="s">
        <v>89</v>
      </c>
      <c r="AM3" s="51"/>
      <c r="AN3" s="51"/>
      <c r="AO3" s="51" t="s">
        <v>96</v>
      </c>
      <c r="AP3" s="51" t="s">
        <v>91</v>
      </c>
      <c r="AQ3" s="51"/>
      <c r="AR3" s="51"/>
      <c r="AS3" s="51"/>
      <c r="AT3" s="51"/>
      <c r="AU3" s="51"/>
      <c r="AV3" s="51"/>
      <c r="AW3" s="51"/>
      <c r="AX3" s="51"/>
      <c r="AY3" s="51"/>
      <c r="AZ3" s="51"/>
      <c r="BA3" s="51"/>
      <c r="BB3" s="51"/>
      <c r="BC3" s="51"/>
      <c r="BD3" s="51"/>
      <c r="BE3" s="52" t="b">
        <f aca="false">TRUE()</f>
        <v>1</v>
      </c>
      <c r="BF3" s="51"/>
      <c r="BG3" s="51"/>
      <c r="BH3" s="51"/>
      <c r="BI3" s="51"/>
      <c r="BJ3" s="51"/>
      <c r="BK3" s="51"/>
      <c r="BL3" s="51"/>
      <c r="BM3" s="51"/>
      <c r="BN3" s="51"/>
      <c r="BO3" s="51"/>
      <c r="BP3" s="51"/>
      <c r="BQ3" s="51"/>
      <c r="BR3" s="51"/>
      <c r="BS3" s="51"/>
      <c r="BT3" s="51"/>
      <c r="BU3" s="51"/>
      <c r="BV3" s="51"/>
      <c r="BW3" s="51"/>
      <c r="BX3" s="51"/>
      <c r="BY3" s="51"/>
      <c r="BZ3" s="51"/>
      <c r="CA3" s="51"/>
      <c r="CB3" s="51"/>
      <c r="CC3" s="51"/>
      <c r="CD3" s="51"/>
      <c r="CE3" s="51"/>
      <c r="CF3" s="51"/>
      <c r="CG3" s="51"/>
      <c r="CH3" s="51"/>
      <c r="CI3" s="51"/>
    </row>
    <row r="4" customFormat="false" ht="169.5" hidden="false" customHeight="false" outlineLevel="0" collapsed="false">
      <c r="A4" s="51"/>
      <c r="B4" s="51" t="n">
        <v>291861</v>
      </c>
      <c r="C4" s="51" t="s">
        <v>447</v>
      </c>
      <c r="D4" s="1" t="n">
        <f aca="false">DATEDIF($C$2, C4, "M")</f>
        <v>3</v>
      </c>
      <c r="E4" s="51" t="s">
        <v>448</v>
      </c>
      <c r="F4" s="52" t="b">
        <f aca="false">TRUE()</f>
        <v>1</v>
      </c>
      <c r="G4" s="51"/>
      <c r="H4" s="51"/>
      <c r="I4" s="51"/>
      <c r="J4" s="51"/>
      <c r="K4" s="51"/>
      <c r="L4" s="51"/>
      <c r="M4" s="51" t="b">
        <f aca="false">TRUE()</f>
        <v>1</v>
      </c>
      <c r="N4" s="51"/>
      <c r="O4" s="51"/>
      <c r="P4" s="51"/>
      <c r="Q4" s="51"/>
      <c r="R4" s="51"/>
      <c r="S4" s="51"/>
      <c r="T4" s="51"/>
      <c r="U4" s="51"/>
      <c r="V4" s="51"/>
      <c r="W4" s="51"/>
      <c r="X4" s="51"/>
      <c r="Y4" s="51"/>
      <c r="Z4" s="51"/>
      <c r="AA4" s="51"/>
      <c r="AB4" s="51"/>
      <c r="AC4" s="51"/>
      <c r="AD4" s="51"/>
      <c r="AE4" s="51"/>
      <c r="AF4" s="51"/>
      <c r="AG4" s="51"/>
      <c r="AH4" s="51"/>
      <c r="AI4" s="51"/>
      <c r="AJ4" s="51"/>
      <c r="AK4" s="51"/>
      <c r="AL4" s="51" t="s">
        <v>89</v>
      </c>
      <c r="AM4" s="52" t="b">
        <f aca="false">TRUE()</f>
        <v>1</v>
      </c>
      <c r="AN4" s="51"/>
      <c r="AO4" s="51" t="s">
        <v>96</v>
      </c>
      <c r="AP4" s="51" t="s">
        <v>367</v>
      </c>
      <c r="AQ4" s="51" t="s">
        <v>96</v>
      </c>
      <c r="AR4" s="51" t="s">
        <v>91</v>
      </c>
      <c r="AS4" s="51"/>
      <c r="AT4" s="51"/>
      <c r="AU4" s="51"/>
      <c r="AV4" s="51"/>
      <c r="AW4" s="51"/>
      <c r="AX4" s="51"/>
      <c r="AY4" s="51"/>
      <c r="AZ4" s="51"/>
      <c r="BA4" s="51"/>
      <c r="BB4" s="51"/>
      <c r="BC4" s="51"/>
      <c r="BD4" s="51"/>
      <c r="BE4" s="51"/>
      <c r="BF4" s="51"/>
      <c r="BG4" s="51"/>
      <c r="BH4" s="51"/>
      <c r="BI4" s="51"/>
      <c r="BJ4" s="51"/>
      <c r="BK4" s="51"/>
      <c r="BL4" s="51"/>
      <c r="BM4" s="51"/>
      <c r="BN4" s="51"/>
      <c r="BO4" s="51"/>
      <c r="BP4" s="51"/>
      <c r="BQ4" s="51"/>
      <c r="BR4" s="51"/>
      <c r="BS4" s="51"/>
      <c r="BT4" s="51"/>
      <c r="BU4" s="51"/>
      <c r="BV4" s="51"/>
      <c r="BW4" s="51"/>
      <c r="BX4" s="51"/>
      <c r="BY4" s="51"/>
      <c r="BZ4" s="51"/>
      <c r="CA4" s="51"/>
      <c r="CB4" s="51"/>
      <c r="CC4" s="51"/>
      <c r="CD4" s="51"/>
      <c r="CE4" s="51"/>
      <c r="CF4" s="51"/>
      <c r="CG4" s="51"/>
      <c r="CH4" s="51"/>
      <c r="CI4" s="51"/>
    </row>
    <row r="5" customFormat="false" ht="220.5" hidden="false" customHeight="false" outlineLevel="0" collapsed="false">
      <c r="A5" s="51"/>
      <c r="B5" s="51" t="n">
        <v>291861</v>
      </c>
      <c r="C5" s="51" t="s">
        <v>449</v>
      </c>
      <c r="D5" s="1" t="n">
        <f aca="false">DATEDIF($C$2, C5, "M")</f>
        <v>5</v>
      </c>
      <c r="E5" s="51" t="s">
        <v>450</v>
      </c>
      <c r="F5" s="52" t="b">
        <f aca="false">TRUE()</f>
        <v>1</v>
      </c>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2" t="b">
        <f aca="false">FALSE()</f>
        <v>0</v>
      </c>
      <c r="AN5" s="52" t="b">
        <f aca="false">TRUE()</f>
        <v>1</v>
      </c>
      <c r="AO5" s="51" t="s">
        <v>96</v>
      </c>
      <c r="AP5" s="51" t="s">
        <v>367</v>
      </c>
      <c r="AQ5" s="51" t="s">
        <v>96</v>
      </c>
      <c r="AR5" s="51" t="s">
        <v>152</v>
      </c>
      <c r="AS5" s="51" t="s">
        <v>451</v>
      </c>
      <c r="AT5" s="51"/>
      <c r="AU5" s="51"/>
      <c r="AV5" s="51"/>
      <c r="AW5" s="51"/>
      <c r="AX5" s="51"/>
      <c r="AY5" s="51"/>
      <c r="AZ5" s="51"/>
      <c r="BA5" s="51"/>
      <c r="BB5" s="51"/>
      <c r="BC5" s="51"/>
      <c r="BD5" s="51"/>
      <c r="BE5" s="52" t="b">
        <f aca="false">TRUE()</f>
        <v>1</v>
      </c>
      <c r="BF5" s="51"/>
      <c r="BG5" s="51"/>
      <c r="BH5" s="51"/>
      <c r="BI5" s="51"/>
      <c r="BJ5" s="51"/>
      <c r="BK5" s="51"/>
      <c r="BL5" s="51"/>
      <c r="BM5" s="51"/>
      <c r="BN5" s="51"/>
      <c r="BO5" s="51"/>
      <c r="BP5" s="51"/>
      <c r="BQ5" s="51" t="s">
        <v>103</v>
      </c>
      <c r="BR5" s="51"/>
      <c r="BS5" s="51"/>
      <c r="BT5" s="51"/>
      <c r="BU5" s="51"/>
      <c r="BV5" s="53" t="b">
        <f aca="false">TRUE()</f>
        <v>1</v>
      </c>
      <c r="BW5" s="51"/>
      <c r="BX5" s="51"/>
      <c r="BY5" s="51"/>
      <c r="BZ5" s="51"/>
      <c r="CA5" s="51"/>
      <c r="CB5" s="51"/>
      <c r="CC5" s="51"/>
      <c r="CD5" s="51"/>
      <c r="CE5" s="51"/>
      <c r="CF5" s="51"/>
      <c r="CG5" s="51"/>
      <c r="CH5" s="51"/>
      <c r="CI5" s="51"/>
    </row>
    <row r="6" customFormat="false" ht="114.9" hidden="false" customHeight="false" outlineLevel="0" collapsed="false">
      <c r="A6" s="51"/>
      <c r="B6" s="51" t="n">
        <v>291861</v>
      </c>
      <c r="C6" s="51" t="s">
        <v>452</v>
      </c>
      <c r="D6" s="1" t="n">
        <f aca="false">DATEDIF($C$2, C6, "M")</f>
        <v>6</v>
      </c>
      <c r="E6" s="51" t="s">
        <v>453</v>
      </c>
      <c r="F6" s="51" t="b">
        <f aca="false">TRUE()</f>
        <v>1</v>
      </c>
      <c r="G6" s="51"/>
      <c r="H6" s="51"/>
      <c r="I6" s="51"/>
      <c r="J6" s="51"/>
      <c r="K6" s="51"/>
      <c r="L6" s="51"/>
      <c r="M6" s="51"/>
      <c r="N6" s="51"/>
      <c r="O6" s="51"/>
      <c r="P6" s="51"/>
      <c r="Q6" s="51"/>
      <c r="R6" s="51"/>
      <c r="S6" s="51"/>
      <c r="T6" s="51"/>
      <c r="U6" s="51"/>
      <c r="V6" s="51"/>
      <c r="W6" s="51" t="s">
        <v>454</v>
      </c>
      <c r="X6" s="51"/>
      <c r="Y6" s="51"/>
      <c r="Z6" s="51" t="s">
        <v>87</v>
      </c>
      <c r="AA6" s="51" t="s">
        <v>87</v>
      </c>
      <c r="AB6" s="51" t="s">
        <v>87</v>
      </c>
      <c r="AC6" s="51" t="s">
        <v>87</v>
      </c>
      <c r="AD6" s="51"/>
      <c r="AE6" s="51"/>
      <c r="AF6" s="51"/>
      <c r="AG6" s="51"/>
      <c r="AH6" s="51"/>
      <c r="AI6" s="51"/>
      <c r="AJ6" s="51"/>
      <c r="AK6" s="51"/>
      <c r="AL6" s="51"/>
      <c r="AM6" s="52" t="b">
        <f aca="false">TRUE()</f>
        <v>1</v>
      </c>
      <c r="AN6" s="52" t="b">
        <f aca="false">TRUE()</f>
        <v>1</v>
      </c>
      <c r="AO6" s="51" t="s">
        <v>96</v>
      </c>
      <c r="AP6" s="51" t="s">
        <v>97</v>
      </c>
      <c r="AQ6" s="51" t="s">
        <v>96</v>
      </c>
      <c r="AR6" s="51" t="s">
        <v>217</v>
      </c>
      <c r="AS6" s="51" t="s">
        <v>455</v>
      </c>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row>
    <row r="7" customFormat="false" ht="114.9" hidden="false" customHeight="false" outlineLevel="0" collapsed="false">
      <c r="A7" s="51"/>
      <c r="B7" s="51" t="n">
        <v>291861</v>
      </c>
      <c r="C7" s="51" t="s">
        <v>456</v>
      </c>
      <c r="D7" s="1" t="n">
        <f aca="false">DATEDIF($C$2, C7, "M")</f>
        <v>8</v>
      </c>
      <c r="E7" s="51" t="s">
        <v>457</v>
      </c>
      <c r="F7" s="53" t="b">
        <f aca="false">TRUE()</f>
        <v>1</v>
      </c>
      <c r="G7" s="51"/>
      <c r="H7" s="51"/>
      <c r="I7" s="51"/>
      <c r="J7" s="51"/>
      <c r="K7" s="51"/>
      <c r="L7" s="51"/>
      <c r="M7" s="51"/>
      <c r="N7" s="51"/>
      <c r="O7" s="53" t="b">
        <f aca="false">TRUE()</f>
        <v>1</v>
      </c>
      <c r="P7" s="51"/>
      <c r="Q7" s="51"/>
      <c r="R7" s="51"/>
      <c r="S7" s="51"/>
      <c r="T7" s="51"/>
      <c r="U7" s="51"/>
      <c r="V7" s="51"/>
      <c r="W7" s="51" t="s">
        <v>458</v>
      </c>
      <c r="X7" s="51"/>
      <c r="Y7" s="51"/>
      <c r="Z7" s="51"/>
      <c r="AA7" s="51"/>
      <c r="AB7" s="51"/>
      <c r="AC7" s="51"/>
      <c r="AD7" s="51"/>
      <c r="AE7" s="51"/>
      <c r="AF7" s="51"/>
      <c r="AG7" s="51"/>
      <c r="AH7" s="51"/>
      <c r="AI7" s="51"/>
      <c r="AJ7" s="51"/>
      <c r="AK7" s="51"/>
      <c r="AL7" s="51"/>
      <c r="AM7" s="52" t="b">
        <f aca="false">TRUE()</f>
        <v>1</v>
      </c>
      <c r="AN7" s="52" t="b">
        <f aca="false">FALSE()</f>
        <v>0</v>
      </c>
      <c r="AO7" s="51" t="s">
        <v>107</v>
      </c>
      <c r="AP7" s="51" t="s">
        <v>164</v>
      </c>
      <c r="AQ7" s="51" t="s">
        <v>96</v>
      </c>
      <c r="AR7" s="51" t="s">
        <v>217</v>
      </c>
      <c r="AS7" s="51" t="s">
        <v>459</v>
      </c>
      <c r="AT7" s="51" t="s">
        <v>150</v>
      </c>
      <c r="AU7" s="51" t="s">
        <v>117</v>
      </c>
      <c r="AV7" s="51"/>
      <c r="AW7" s="51"/>
      <c r="AX7" s="51"/>
      <c r="AY7" s="52" t="b">
        <f aca="false">TRUE()</f>
        <v>1</v>
      </c>
      <c r="AZ7" s="51"/>
      <c r="BA7" s="51"/>
      <c r="BB7" s="51"/>
      <c r="BC7" s="51"/>
      <c r="BD7" s="51"/>
      <c r="BE7" s="51"/>
      <c r="BF7" s="51"/>
      <c r="BG7" s="51"/>
      <c r="BH7" s="51"/>
      <c r="BI7" s="51"/>
      <c r="BJ7" s="51"/>
      <c r="BK7" s="51"/>
      <c r="BL7" s="51"/>
      <c r="BM7" s="51"/>
      <c r="BN7" s="51"/>
      <c r="BO7" s="51"/>
      <c r="BP7" s="51"/>
      <c r="BQ7" s="51" t="s">
        <v>103</v>
      </c>
      <c r="BR7" s="51"/>
      <c r="BS7" s="52" t="b">
        <f aca="false">TRUE()</f>
        <v>1</v>
      </c>
      <c r="BT7" s="51"/>
      <c r="BU7" s="51"/>
      <c r="BV7" s="51"/>
      <c r="BW7" s="51"/>
      <c r="BX7" s="51"/>
      <c r="BY7" s="51"/>
      <c r="BZ7" s="51"/>
      <c r="CA7" s="51"/>
      <c r="CB7" s="51"/>
      <c r="CC7" s="51"/>
      <c r="CD7" s="51"/>
      <c r="CE7" s="51"/>
      <c r="CF7" s="51"/>
      <c r="CG7" s="51"/>
      <c r="CH7" s="51"/>
      <c r="CI7" s="51"/>
    </row>
    <row r="8" customFormat="false" ht="84.75" hidden="false" customHeight="false" outlineLevel="0" collapsed="false">
      <c r="A8" s="51"/>
      <c r="B8" s="51" t="n">
        <v>291861</v>
      </c>
      <c r="C8" s="51" t="s">
        <v>460</v>
      </c>
      <c r="D8" s="1" t="n">
        <f aca="false">DATEDIF($C$2, C8, "M")</f>
        <v>9</v>
      </c>
      <c r="E8" s="51" t="s">
        <v>461</v>
      </c>
      <c r="F8" s="53" t="b">
        <f aca="false">TRUE()</f>
        <v>1</v>
      </c>
      <c r="G8" s="51"/>
      <c r="H8" s="51"/>
      <c r="I8" s="51"/>
      <c r="J8" s="51"/>
      <c r="K8" s="51"/>
      <c r="L8" s="51"/>
      <c r="M8" s="51"/>
      <c r="N8" s="51"/>
      <c r="O8" s="51"/>
      <c r="P8" s="51"/>
      <c r="Q8" s="51"/>
      <c r="R8" s="51"/>
      <c r="S8" s="51"/>
      <c r="T8" s="51"/>
      <c r="U8" s="51"/>
      <c r="V8" s="51"/>
      <c r="W8" s="51" t="s">
        <v>458</v>
      </c>
      <c r="X8" s="51"/>
      <c r="Y8" s="51"/>
      <c r="Z8" s="51" t="s">
        <v>128</v>
      </c>
      <c r="AA8" s="51"/>
      <c r="AB8" s="51"/>
      <c r="AC8" s="51"/>
      <c r="AD8" s="51"/>
      <c r="AE8" s="51"/>
      <c r="AF8" s="51"/>
      <c r="AG8" s="51"/>
      <c r="AH8" s="51"/>
      <c r="AI8" s="51"/>
      <c r="AJ8" s="51"/>
      <c r="AK8" s="51"/>
      <c r="AL8" s="51"/>
      <c r="AM8" s="52" t="b">
        <f aca="false">FALSE()</f>
        <v>0</v>
      </c>
      <c r="AN8" s="53" t="b">
        <f aca="false">FALSE()</f>
        <v>0</v>
      </c>
      <c r="AO8" s="51" t="s">
        <v>107</v>
      </c>
      <c r="AP8" s="51" t="s">
        <v>164</v>
      </c>
      <c r="AQ8" s="51" t="s">
        <v>96</v>
      </c>
      <c r="AR8" s="51" t="s">
        <v>217</v>
      </c>
      <c r="AS8" s="51" t="s">
        <v>462</v>
      </c>
      <c r="AT8" s="51" t="s">
        <v>150</v>
      </c>
      <c r="AU8" s="51" t="s">
        <v>117</v>
      </c>
      <c r="AV8" s="51"/>
      <c r="AW8" s="51"/>
      <c r="AX8" s="51"/>
      <c r="AY8" s="52" t="b">
        <f aca="false">TRUE()</f>
        <v>1</v>
      </c>
      <c r="AZ8" s="51"/>
      <c r="BA8" s="51"/>
      <c r="BB8" s="51"/>
      <c r="BC8" s="51"/>
      <c r="BD8" s="51"/>
      <c r="BE8" s="51"/>
      <c r="BF8" s="51"/>
      <c r="BG8" s="51"/>
      <c r="BH8" s="51"/>
      <c r="BI8" s="51"/>
      <c r="BJ8" s="51"/>
      <c r="BK8" s="51"/>
      <c r="BL8" s="51"/>
      <c r="BM8" s="51"/>
      <c r="BN8" s="51"/>
      <c r="BO8" s="51"/>
      <c r="BP8" s="51"/>
      <c r="BQ8" s="51"/>
      <c r="BR8" s="51"/>
      <c r="BS8" s="52" t="b">
        <f aca="false">TRUE()</f>
        <v>1</v>
      </c>
      <c r="BT8" s="51"/>
      <c r="BU8" s="51"/>
      <c r="BV8" s="53" t="b">
        <f aca="false">TRUE()</f>
        <v>1</v>
      </c>
      <c r="BW8" s="51"/>
      <c r="BX8" s="51"/>
      <c r="BY8" s="51"/>
      <c r="BZ8" s="51"/>
      <c r="CA8" s="51"/>
      <c r="CB8" s="51"/>
      <c r="CC8" s="51"/>
      <c r="CD8" s="51"/>
      <c r="CE8" s="51"/>
      <c r="CF8" s="51"/>
      <c r="CG8" s="51"/>
      <c r="CH8" s="51"/>
      <c r="CI8" s="51"/>
    </row>
    <row r="9" customFormat="false" ht="67.5" hidden="false" customHeight="false" outlineLevel="0" collapsed="false">
      <c r="A9" s="51"/>
      <c r="B9" s="51" t="n">
        <v>291861</v>
      </c>
      <c r="C9" s="51" t="s">
        <v>463</v>
      </c>
      <c r="D9" s="1" t="n">
        <f aca="false">DATEDIF($C$2, C9, "M")</f>
        <v>10</v>
      </c>
      <c r="E9" s="51" t="s">
        <v>464</v>
      </c>
      <c r="F9" s="53" t="b">
        <f aca="false">TRUE()</f>
        <v>1</v>
      </c>
      <c r="G9" s="51"/>
      <c r="H9" s="51"/>
      <c r="I9" s="51"/>
      <c r="J9" s="51"/>
      <c r="K9" s="51"/>
      <c r="L9" s="51"/>
      <c r="M9" s="51"/>
      <c r="N9" s="51"/>
      <c r="O9" s="53" t="b">
        <f aca="false">TRUE()</f>
        <v>1</v>
      </c>
      <c r="P9" s="51"/>
      <c r="Q9" s="51"/>
      <c r="R9" s="51"/>
      <c r="S9" s="51"/>
      <c r="T9" s="51"/>
      <c r="U9" s="51"/>
      <c r="V9" s="51"/>
      <c r="W9" s="51"/>
      <c r="X9" s="51"/>
      <c r="Y9" s="51"/>
      <c r="Z9" s="51"/>
      <c r="AA9" s="51"/>
      <c r="AB9" s="51" t="s">
        <v>128</v>
      </c>
      <c r="AC9" s="51" t="s">
        <v>128</v>
      </c>
      <c r="AD9" s="51"/>
      <c r="AE9" s="51"/>
      <c r="AF9" s="51"/>
      <c r="AG9" s="51"/>
      <c r="AH9" s="51"/>
      <c r="AI9" s="51"/>
      <c r="AJ9" s="51"/>
      <c r="AK9" s="51"/>
      <c r="AL9" s="51"/>
      <c r="AM9" s="53" t="b">
        <f aca="false">FALSE()</f>
        <v>0</v>
      </c>
      <c r="AN9" s="53" t="b">
        <f aca="false">TRUE()</f>
        <v>1</v>
      </c>
      <c r="AO9" s="51" t="s">
        <v>107</v>
      </c>
      <c r="AP9" s="51" t="s">
        <v>164</v>
      </c>
      <c r="AQ9" s="51" t="s">
        <v>107</v>
      </c>
      <c r="AR9" s="51" t="s">
        <v>97</v>
      </c>
      <c r="AS9" s="51" t="s">
        <v>465</v>
      </c>
      <c r="AT9" s="51" t="s">
        <v>150</v>
      </c>
      <c r="AU9" s="51" t="s">
        <v>117</v>
      </c>
      <c r="AV9" s="51" t="s">
        <v>150</v>
      </c>
      <c r="AW9" s="51" t="s">
        <v>117</v>
      </c>
      <c r="AX9" s="51"/>
      <c r="AY9" s="52" t="b">
        <f aca="false">TRUE()</f>
        <v>1</v>
      </c>
      <c r="AZ9" s="51"/>
      <c r="BA9" s="51"/>
      <c r="BB9" s="51"/>
      <c r="BC9" s="51"/>
      <c r="BD9" s="51"/>
      <c r="BE9" s="51"/>
      <c r="BF9" s="51"/>
      <c r="BG9" s="51"/>
      <c r="BH9" s="51"/>
      <c r="BI9" s="51"/>
      <c r="BJ9" s="51"/>
      <c r="BK9" s="51"/>
      <c r="BL9" s="51"/>
      <c r="BM9" s="51"/>
      <c r="BN9" s="51"/>
      <c r="BO9" s="51"/>
      <c r="BP9" s="51"/>
      <c r="BQ9" s="51"/>
      <c r="BR9" s="51" t="s">
        <v>103</v>
      </c>
      <c r="BS9" s="51"/>
      <c r="BT9" s="51"/>
      <c r="BU9" s="51"/>
      <c r="BV9" s="53" t="b">
        <f aca="false">TRUE()</f>
        <v>1</v>
      </c>
      <c r="BW9" s="51"/>
      <c r="BX9" s="51"/>
      <c r="BY9" s="51"/>
      <c r="BZ9" s="51"/>
      <c r="CA9" s="51"/>
      <c r="CB9" s="51"/>
      <c r="CC9" s="51"/>
      <c r="CD9" s="51"/>
      <c r="CE9" s="51"/>
      <c r="CF9" s="51"/>
      <c r="CG9" s="51"/>
      <c r="CH9" s="51"/>
      <c r="CI9" s="51"/>
    </row>
    <row r="10" s="54" customFormat="true" ht="16.5" hidden="false" customHeight="false" outlineLevel="0" collapsed="false">
      <c r="A10" s="51"/>
      <c r="B10" s="51" t="n">
        <v>291861</v>
      </c>
      <c r="C10" s="51" t="s">
        <v>466</v>
      </c>
      <c r="D10" s="1" t="n">
        <f aca="false">DATEDIF($C$2, C10, "M")</f>
        <v>12</v>
      </c>
      <c r="E10" s="51" t="s">
        <v>467</v>
      </c>
      <c r="F10" s="53" t="b">
        <f aca="false">TRUE()</f>
        <v>1</v>
      </c>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2" t="b">
        <f aca="false">TRUE()</f>
        <v>1</v>
      </c>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51"/>
      <c r="CH10" s="51"/>
      <c r="CI10" s="51"/>
    </row>
    <row r="11" customFormat="false" ht="204" hidden="false" customHeight="false" outlineLevel="0" collapsed="false">
      <c r="A11" s="51"/>
      <c r="B11" s="51" t="n">
        <v>291861</v>
      </c>
      <c r="C11" s="51" t="s">
        <v>468</v>
      </c>
      <c r="D11" s="1" t="n">
        <f aca="false">DATEDIF($C$2, C11, "M")</f>
        <v>12</v>
      </c>
      <c r="E11" s="51" t="s">
        <v>469</v>
      </c>
      <c r="F11" s="53" t="b">
        <f aca="false">TRUE()</f>
        <v>1</v>
      </c>
      <c r="G11" s="51"/>
      <c r="H11" s="51"/>
      <c r="I11" s="53" t="b">
        <f aca="false">TRUE()</f>
        <v>1</v>
      </c>
      <c r="J11" s="51"/>
      <c r="K11" s="51"/>
      <c r="L11" s="51"/>
      <c r="M11" s="51"/>
      <c r="N11" s="51"/>
      <c r="O11" s="53" t="b">
        <f aca="false">TRUE()</f>
        <v>1</v>
      </c>
      <c r="P11" s="51"/>
      <c r="Q11" s="51"/>
      <c r="R11" s="51"/>
      <c r="S11" s="51"/>
      <c r="T11" s="51"/>
      <c r="U11" s="51"/>
      <c r="V11" s="51"/>
      <c r="W11" s="51"/>
      <c r="X11" s="51"/>
      <c r="Y11" s="51"/>
      <c r="Z11" s="51" t="s">
        <v>128</v>
      </c>
      <c r="AA11" s="51" t="s">
        <v>128</v>
      </c>
      <c r="AB11" s="51" t="s">
        <v>87</v>
      </c>
      <c r="AC11" s="51" t="s">
        <v>87</v>
      </c>
      <c r="AD11" s="51"/>
      <c r="AE11" s="51"/>
      <c r="AF11" s="51"/>
      <c r="AG11" s="51"/>
      <c r="AH11" s="51"/>
      <c r="AI11" s="51"/>
      <c r="AJ11" s="51"/>
      <c r="AK11" s="51"/>
      <c r="AL11" s="51"/>
      <c r="AM11" s="52" t="b">
        <f aca="false">FALSE()</f>
        <v>0</v>
      </c>
      <c r="AN11" s="52" t="b">
        <f aca="false">FALSE()</f>
        <v>0</v>
      </c>
      <c r="AO11" s="51" t="s">
        <v>107</v>
      </c>
      <c r="AP11" s="51" t="s">
        <v>164</v>
      </c>
      <c r="AQ11" s="51" t="s">
        <v>107</v>
      </c>
      <c r="AR11" s="51" t="s">
        <v>97</v>
      </c>
      <c r="AS11" s="51" t="s">
        <v>470</v>
      </c>
      <c r="AT11" s="51" t="s">
        <v>150</v>
      </c>
      <c r="AU11" s="51" t="s">
        <v>117</v>
      </c>
      <c r="AV11" s="51" t="s">
        <v>150</v>
      </c>
      <c r="AW11" s="51" t="s">
        <v>117</v>
      </c>
      <c r="AX11" s="51"/>
      <c r="AY11" s="52" t="b">
        <f aca="false">TRUE()</f>
        <v>1</v>
      </c>
      <c r="AZ11" s="51"/>
      <c r="BA11" s="51"/>
      <c r="BB11" s="51"/>
      <c r="BC11" s="51"/>
      <c r="BD11" s="51"/>
      <c r="BE11" s="51"/>
      <c r="BF11" s="51"/>
      <c r="BG11" s="51"/>
      <c r="BH11" s="51"/>
      <c r="BI11" s="51"/>
      <c r="BJ11" s="51"/>
      <c r="BK11" s="51"/>
      <c r="BL11" s="51"/>
      <c r="BM11" s="51"/>
      <c r="BN11" s="51"/>
      <c r="BO11" s="51"/>
      <c r="BP11" s="51"/>
      <c r="BQ11" s="51" t="s">
        <v>103</v>
      </c>
      <c r="BR11" s="51" t="s">
        <v>103</v>
      </c>
      <c r="BS11" s="51"/>
      <c r="BT11" s="51"/>
      <c r="BU11" s="51"/>
      <c r="BV11" s="53" t="b">
        <f aca="false">TRUE()</f>
        <v>1</v>
      </c>
      <c r="BW11" s="51"/>
      <c r="BX11" s="51"/>
      <c r="BY11" s="51"/>
      <c r="BZ11" s="51"/>
      <c r="CA11" s="51"/>
      <c r="CB11" s="51"/>
      <c r="CC11" s="51"/>
      <c r="CD11" s="51"/>
      <c r="CE11" s="51"/>
      <c r="CF11" s="51"/>
      <c r="CG11" s="51"/>
      <c r="CH11" s="51"/>
      <c r="CI11" s="51"/>
    </row>
    <row r="12" customFormat="false" ht="237.75" hidden="false" customHeight="false" outlineLevel="0" collapsed="false">
      <c r="A12" s="51"/>
      <c r="B12" s="51" t="n">
        <v>291861</v>
      </c>
      <c r="C12" s="51" t="s">
        <v>471</v>
      </c>
      <c r="D12" s="1" t="n">
        <f aca="false">DATEDIF($C$2, C12, "M")</f>
        <v>14</v>
      </c>
      <c r="E12" s="51" t="s">
        <v>472</v>
      </c>
      <c r="F12" s="53" t="b">
        <f aca="false">TRUE()</f>
        <v>1</v>
      </c>
      <c r="G12" s="52" t="b">
        <f aca="false">TRUE()</f>
        <v>1</v>
      </c>
      <c r="H12" s="51"/>
      <c r="I12" s="51"/>
      <c r="J12" s="51"/>
      <c r="K12" s="51"/>
      <c r="L12" s="51"/>
      <c r="M12" s="51"/>
      <c r="N12" s="51"/>
      <c r="O12" s="53" t="b">
        <f aca="false">TRUE()</f>
        <v>1</v>
      </c>
      <c r="P12" s="51"/>
      <c r="Q12" s="51"/>
      <c r="R12" s="51"/>
      <c r="S12" s="51"/>
      <c r="T12" s="51"/>
      <c r="U12" s="51"/>
      <c r="V12" s="51"/>
      <c r="W12" s="51"/>
      <c r="X12" s="51"/>
      <c r="Y12" s="51"/>
      <c r="Z12" s="51" t="s">
        <v>128</v>
      </c>
      <c r="AA12" s="51" t="s">
        <v>128</v>
      </c>
      <c r="AB12" s="51" t="s">
        <v>128</v>
      </c>
      <c r="AC12" s="51" t="s">
        <v>128</v>
      </c>
      <c r="AD12" s="51" t="n">
        <v>3</v>
      </c>
      <c r="AE12" s="51" t="n">
        <v>3</v>
      </c>
      <c r="AF12" s="51"/>
      <c r="AG12" s="51"/>
      <c r="AH12" s="51"/>
      <c r="AI12" s="51"/>
      <c r="AJ12" s="51"/>
      <c r="AK12" s="51"/>
      <c r="AL12" s="51"/>
      <c r="AM12" s="52" t="b">
        <f aca="false">FALSE()</f>
        <v>0</v>
      </c>
      <c r="AN12" s="52" t="b">
        <f aca="false">FALSE()</f>
        <v>0</v>
      </c>
      <c r="AO12" s="51" t="s">
        <v>107</v>
      </c>
      <c r="AP12" s="51" t="s">
        <v>164</v>
      </c>
      <c r="AQ12" s="51" t="s">
        <v>107</v>
      </c>
      <c r="AR12" s="51" t="s">
        <v>97</v>
      </c>
      <c r="AS12" s="51" t="s">
        <v>168</v>
      </c>
      <c r="AT12" s="51" t="s">
        <v>150</v>
      </c>
      <c r="AU12" s="51" t="s">
        <v>117</v>
      </c>
      <c r="AV12" s="51"/>
      <c r="AW12" s="51"/>
      <c r="AX12" s="51"/>
      <c r="AY12" s="52" t="b">
        <f aca="false">TRUE()</f>
        <v>1</v>
      </c>
      <c r="AZ12" s="51"/>
      <c r="BA12" s="51"/>
      <c r="BB12" s="51"/>
      <c r="BC12" s="51"/>
      <c r="BD12" s="51"/>
      <c r="BE12" s="51"/>
      <c r="BF12" s="51"/>
      <c r="BG12" s="51"/>
      <c r="BH12" s="51"/>
      <c r="BI12" s="51"/>
      <c r="BJ12" s="51"/>
      <c r="BK12" s="51"/>
      <c r="BL12" s="51"/>
      <c r="BM12" s="51"/>
      <c r="BN12" s="51"/>
      <c r="BO12" s="51"/>
      <c r="BP12" s="51"/>
      <c r="BQ12" s="51" t="s">
        <v>473</v>
      </c>
      <c r="BR12" s="51" t="s">
        <v>474</v>
      </c>
      <c r="BS12" s="51"/>
      <c r="BT12" s="51"/>
      <c r="BU12" s="51"/>
      <c r="BV12" s="51"/>
      <c r="BW12" s="51"/>
      <c r="BX12" s="51"/>
      <c r="BY12" s="51"/>
      <c r="BZ12" s="51"/>
      <c r="CA12" s="51"/>
      <c r="CB12" s="51"/>
      <c r="CC12" s="51"/>
      <c r="CD12" s="51"/>
      <c r="CE12" s="51"/>
      <c r="CF12" s="51"/>
      <c r="CG12" s="51"/>
      <c r="CH12" s="51"/>
      <c r="CI12" s="51"/>
    </row>
    <row r="13" customFormat="false" ht="153" hidden="false" customHeight="false" outlineLevel="0" collapsed="false">
      <c r="A13" s="51"/>
      <c r="B13" s="51" t="n">
        <v>291861</v>
      </c>
      <c r="C13" s="51" t="s">
        <v>475</v>
      </c>
      <c r="D13" s="1" t="n">
        <f aca="false">DATEDIF($C$2, C13, "M")</f>
        <v>15</v>
      </c>
      <c r="E13" s="51" t="s">
        <v>476</v>
      </c>
      <c r="F13" s="53" t="b">
        <f aca="false">TRUE()</f>
        <v>1</v>
      </c>
      <c r="G13" s="51"/>
      <c r="H13" s="51"/>
      <c r="I13" s="51"/>
      <c r="J13" s="51"/>
      <c r="K13" s="51"/>
      <c r="L13" s="51"/>
      <c r="M13" s="51"/>
      <c r="N13" s="51"/>
      <c r="O13" s="51"/>
      <c r="P13" s="51"/>
      <c r="Q13" s="51"/>
      <c r="R13" s="51"/>
      <c r="S13" s="51"/>
      <c r="T13" s="51"/>
      <c r="U13" s="51"/>
      <c r="V13" s="51"/>
      <c r="W13" s="51"/>
      <c r="X13" s="51"/>
      <c r="Y13" s="51"/>
      <c r="Z13" s="51" t="s">
        <v>87</v>
      </c>
      <c r="AA13" s="51" t="s">
        <v>87</v>
      </c>
      <c r="AB13" s="51" t="s">
        <v>87</v>
      </c>
      <c r="AC13" s="51" t="s">
        <v>87</v>
      </c>
      <c r="AD13" s="51" t="n">
        <v>3</v>
      </c>
      <c r="AE13" s="51" t="n">
        <v>2</v>
      </c>
      <c r="AF13" s="51"/>
      <c r="AG13" s="51"/>
      <c r="AH13" s="51"/>
      <c r="AI13" s="51"/>
      <c r="AJ13" s="51"/>
      <c r="AK13" s="51"/>
      <c r="AL13" s="51"/>
      <c r="AM13" s="52" t="b">
        <f aca="false">TRUE()</f>
        <v>1</v>
      </c>
      <c r="AN13" s="52" t="b">
        <f aca="false">TRUE()</f>
        <v>1</v>
      </c>
      <c r="AO13" s="51" t="s">
        <v>96</v>
      </c>
      <c r="AP13" s="51" t="s">
        <v>152</v>
      </c>
      <c r="AQ13" s="51" t="s">
        <v>96</v>
      </c>
      <c r="AR13" s="51" t="n">
        <v>0.018</v>
      </c>
      <c r="AS13" s="51" t="s">
        <v>132</v>
      </c>
      <c r="AT13" s="51"/>
      <c r="AU13" s="51"/>
      <c r="AV13" s="51"/>
      <c r="AW13" s="51"/>
      <c r="AX13" s="51"/>
      <c r="AY13" s="52" t="b">
        <f aca="false">FALSE()</f>
        <v>0</v>
      </c>
      <c r="AZ13" s="51"/>
      <c r="BA13" s="51"/>
      <c r="BB13" s="51"/>
      <c r="BC13" s="51"/>
      <c r="BD13" s="51"/>
      <c r="BE13" s="51"/>
      <c r="BF13" s="51"/>
      <c r="BG13" s="51"/>
      <c r="BH13" s="51"/>
      <c r="BI13" s="51"/>
      <c r="BJ13" s="51"/>
      <c r="BK13" s="51"/>
      <c r="BL13" s="51"/>
      <c r="BM13" s="51"/>
      <c r="BN13" s="51"/>
      <c r="BO13" s="51"/>
      <c r="BP13" s="51"/>
      <c r="BQ13" s="51" t="s">
        <v>135</v>
      </c>
      <c r="BR13" s="51"/>
      <c r="BS13" s="52" t="b">
        <f aca="false">TRUE()</f>
        <v>1</v>
      </c>
      <c r="BT13" s="51"/>
      <c r="BU13" s="51"/>
      <c r="BV13" s="51"/>
      <c r="BW13" s="51"/>
      <c r="BX13" s="51"/>
      <c r="BY13" s="51"/>
      <c r="BZ13" s="51"/>
      <c r="CA13" s="51"/>
      <c r="CB13" s="51"/>
      <c r="CC13" s="51"/>
      <c r="CD13" s="51"/>
      <c r="CE13" s="51"/>
      <c r="CF13" s="51"/>
      <c r="CG13" s="51"/>
      <c r="CH13" s="51"/>
      <c r="CI13" s="51"/>
    </row>
    <row r="14" customFormat="false" ht="143.25" hidden="false" customHeight="false" outlineLevel="0" collapsed="false">
      <c r="A14" s="51"/>
      <c r="B14" s="51" t="n">
        <v>291861</v>
      </c>
      <c r="C14" s="51" t="s">
        <v>477</v>
      </c>
      <c r="D14" s="1" t="n">
        <f aca="false">DATEDIF($C$2, C14, "M")</f>
        <v>16</v>
      </c>
      <c r="E14" s="51" t="s">
        <v>478</v>
      </c>
      <c r="F14" s="53" t="b">
        <f aca="false">TRUE()</f>
        <v>1</v>
      </c>
      <c r="G14" s="51"/>
      <c r="H14" s="51"/>
      <c r="I14" s="51"/>
      <c r="J14" s="51"/>
      <c r="K14" s="51"/>
      <c r="L14" s="51"/>
      <c r="M14" s="51"/>
      <c r="N14" s="51"/>
      <c r="O14" s="53" t="b">
        <f aca="false">TRUE()</f>
        <v>1</v>
      </c>
      <c r="P14" s="51"/>
      <c r="Q14" s="51"/>
      <c r="R14" s="51"/>
      <c r="S14" s="51"/>
      <c r="T14" s="51"/>
      <c r="U14" s="51"/>
      <c r="V14" s="51"/>
      <c r="W14" s="51"/>
      <c r="X14" s="51"/>
      <c r="Y14" s="51"/>
      <c r="Z14" s="51" t="s">
        <v>128</v>
      </c>
      <c r="AA14" s="51" t="s">
        <v>128</v>
      </c>
      <c r="AB14" s="51" t="s">
        <v>128</v>
      </c>
      <c r="AC14" s="51" t="s">
        <v>128</v>
      </c>
      <c r="AD14" s="51" t="n">
        <v>2</v>
      </c>
      <c r="AE14" s="51" t="n">
        <v>3</v>
      </c>
      <c r="AF14" s="51"/>
      <c r="AG14" s="51"/>
      <c r="AH14" s="51"/>
      <c r="AI14" s="51"/>
      <c r="AJ14" s="51"/>
      <c r="AK14" s="51"/>
      <c r="AL14" s="51"/>
      <c r="AM14" s="53" t="b">
        <f aca="false">TRUE()</f>
        <v>1</v>
      </c>
      <c r="AN14" s="53" t="b">
        <f aca="false">TRUE()</f>
        <v>1</v>
      </c>
      <c r="AO14" s="51" t="s">
        <v>96</v>
      </c>
      <c r="AP14" s="51" t="s">
        <v>97</v>
      </c>
      <c r="AQ14" s="51" t="s">
        <v>96</v>
      </c>
      <c r="AR14" s="51" t="s">
        <v>97</v>
      </c>
      <c r="AS14" s="51" t="s">
        <v>479</v>
      </c>
      <c r="AT14" s="51" t="s">
        <v>150</v>
      </c>
      <c r="AU14" s="51" t="s">
        <v>117</v>
      </c>
      <c r="AV14" s="51" t="s">
        <v>150</v>
      </c>
      <c r="AW14" s="51" t="s">
        <v>117</v>
      </c>
      <c r="AX14" s="51"/>
      <c r="AY14" s="52" t="b">
        <f aca="false">TRUE()</f>
        <v>1</v>
      </c>
      <c r="AZ14" s="51"/>
      <c r="BA14" s="51"/>
      <c r="BB14" s="51"/>
      <c r="BC14" s="51"/>
      <c r="BD14" s="51"/>
      <c r="BE14" s="51"/>
      <c r="BF14" s="51"/>
      <c r="BG14" s="51"/>
      <c r="BH14" s="51"/>
      <c r="BI14" s="51"/>
      <c r="BJ14" s="51"/>
      <c r="BK14" s="51"/>
      <c r="BL14" s="51"/>
      <c r="BM14" s="51"/>
      <c r="BN14" s="51"/>
      <c r="BO14" s="51"/>
      <c r="BP14" s="51"/>
      <c r="BQ14" s="51" t="s">
        <v>103</v>
      </c>
      <c r="BR14" s="51" t="s">
        <v>103</v>
      </c>
      <c r="BS14" s="51"/>
      <c r="BT14" s="51"/>
      <c r="BU14" s="51"/>
      <c r="BV14" s="51"/>
      <c r="BW14" s="51"/>
      <c r="BX14" s="51"/>
      <c r="BY14" s="51"/>
      <c r="BZ14" s="51"/>
      <c r="CA14" s="51"/>
      <c r="CB14" s="51"/>
      <c r="CC14" s="51"/>
      <c r="CD14" s="51"/>
      <c r="CE14" s="51"/>
      <c r="CF14" s="51"/>
      <c r="CG14" s="51"/>
      <c r="CH14" s="51"/>
      <c r="CI14" s="51"/>
    </row>
    <row r="15" customFormat="false" ht="143.25" hidden="false" customHeight="false" outlineLevel="0" collapsed="false">
      <c r="A15" s="51"/>
      <c r="B15" s="51" t="n">
        <v>291861</v>
      </c>
      <c r="C15" s="51" t="s">
        <v>480</v>
      </c>
      <c r="D15" s="1" t="n">
        <f aca="false">DATEDIF($C$2, C15, "M")</f>
        <v>17</v>
      </c>
      <c r="E15" s="51" t="s">
        <v>481</v>
      </c>
      <c r="F15" s="53" t="b">
        <f aca="false">TRUE()</f>
        <v>1</v>
      </c>
      <c r="G15" s="51"/>
      <c r="H15" s="51"/>
      <c r="I15" s="51"/>
      <c r="J15" s="51"/>
      <c r="K15" s="51"/>
      <c r="L15" s="51"/>
      <c r="M15" s="51"/>
      <c r="N15" s="51"/>
      <c r="O15" s="53" t="b">
        <f aca="false">TRUE()</f>
        <v>1</v>
      </c>
      <c r="P15" s="51"/>
      <c r="Q15" s="51"/>
      <c r="R15" s="51"/>
      <c r="S15" s="51"/>
      <c r="T15" s="51"/>
      <c r="U15" s="51"/>
      <c r="V15" s="51"/>
      <c r="W15" s="51"/>
      <c r="X15" s="51"/>
      <c r="Y15" s="51"/>
      <c r="Z15" s="51" t="s">
        <v>128</v>
      </c>
      <c r="AA15" s="51" t="s">
        <v>128</v>
      </c>
      <c r="AB15" s="51" t="s">
        <v>128</v>
      </c>
      <c r="AC15" s="51" t="s">
        <v>128</v>
      </c>
      <c r="AD15" s="51" t="n">
        <v>2</v>
      </c>
      <c r="AE15" s="51" t="n">
        <v>3</v>
      </c>
      <c r="AF15" s="51"/>
      <c r="AG15" s="51"/>
      <c r="AH15" s="51"/>
      <c r="AI15" s="51"/>
      <c r="AJ15" s="51"/>
      <c r="AK15" s="51"/>
      <c r="AL15" s="51"/>
      <c r="AM15" s="53" t="b">
        <f aca="false">TRUE()</f>
        <v>1</v>
      </c>
      <c r="AN15" s="53" t="b">
        <f aca="false">TRUE()</f>
        <v>1</v>
      </c>
      <c r="AO15" s="51" t="s">
        <v>107</v>
      </c>
      <c r="AP15" s="51" t="s">
        <v>97</v>
      </c>
      <c r="AQ15" s="51" t="s">
        <v>107</v>
      </c>
      <c r="AR15" s="51" t="s">
        <v>97</v>
      </c>
      <c r="AS15" s="51" t="s">
        <v>168</v>
      </c>
      <c r="AT15" s="51" t="s">
        <v>150</v>
      </c>
      <c r="AU15" s="51" t="s">
        <v>117</v>
      </c>
      <c r="AV15" s="51" t="s">
        <v>150</v>
      </c>
      <c r="AW15" s="51" t="s">
        <v>117</v>
      </c>
      <c r="AX15" s="51"/>
      <c r="AY15" s="53" t="b">
        <f aca="false">TRUE()</f>
        <v>1</v>
      </c>
      <c r="AZ15" s="51"/>
      <c r="BA15" s="51"/>
      <c r="BB15" s="51"/>
      <c r="BC15" s="51"/>
      <c r="BD15" s="51"/>
      <c r="BE15" s="51"/>
      <c r="BF15" s="51"/>
      <c r="BG15" s="51"/>
      <c r="BH15" s="51"/>
      <c r="BI15" s="51"/>
      <c r="BJ15" s="51"/>
      <c r="BK15" s="51"/>
      <c r="BL15" s="51"/>
      <c r="BM15" s="51"/>
      <c r="BN15" s="51"/>
      <c r="BO15" s="51"/>
      <c r="BP15" s="51"/>
      <c r="BQ15" s="51" t="s">
        <v>135</v>
      </c>
      <c r="BR15" s="51" t="s">
        <v>103</v>
      </c>
      <c r="BS15" s="51"/>
      <c r="BT15" s="51"/>
      <c r="BU15" s="51"/>
      <c r="BV15" s="51"/>
      <c r="BW15" s="51"/>
      <c r="BX15" s="51"/>
      <c r="BY15" s="51"/>
      <c r="BZ15" s="51"/>
      <c r="CA15" s="51"/>
      <c r="CB15" s="51"/>
      <c r="CC15" s="51"/>
      <c r="CD15" s="51"/>
      <c r="CE15" s="51"/>
      <c r="CF15" s="51"/>
      <c r="CG15" s="51"/>
      <c r="CH15" s="51"/>
      <c r="CI15" s="51"/>
    </row>
    <row r="16" customFormat="false" ht="186.75" hidden="false" customHeight="false" outlineLevel="0" collapsed="false">
      <c r="A16" s="51"/>
      <c r="B16" s="51" t="n">
        <v>291861</v>
      </c>
      <c r="C16" s="51" t="s">
        <v>482</v>
      </c>
      <c r="D16" s="1" t="n">
        <f aca="false">DATEDIF($C$2, C16, "M")</f>
        <v>18</v>
      </c>
      <c r="E16" s="51" t="s">
        <v>483</v>
      </c>
      <c r="F16" s="53" t="b">
        <f aca="false">TRUE()</f>
        <v>1</v>
      </c>
      <c r="G16" s="51"/>
      <c r="H16" s="51"/>
      <c r="I16" s="51"/>
      <c r="J16" s="51"/>
      <c r="K16" s="51"/>
      <c r="L16" s="51"/>
      <c r="M16" s="51"/>
      <c r="N16" s="51"/>
      <c r="O16" s="51"/>
      <c r="P16" s="51"/>
      <c r="Q16" s="51"/>
      <c r="R16" s="51"/>
      <c r="S16" s="51"/>
      <c r="T16" s="51"/>
      <c r="U16" s="51"/>
      <c r="V16" s="51"/>
      <c r="W16" s="51"/>
      <c r="X16" s="51"/>
      <c r="Y16" s="51"/>
      <c r="Z16" s="51" t="s">
        <v>128</v>
      </c>
      <c r="AA16" s="51" t="s">
        <v>128</v>
      </c>
      <c r="AB16" s="51" t="s">
        <v>128</v>
      </c>
      <c r="AC16" s="51" t="s">
        <v>128</v>
      </c>
      <c r="AD16" s="51" t="n">
        <v>2</v>
      </c>
      <c r="AE16" s="51" t="n">
        <v>2</v>
      </c>
      <c r="AF16" s="51"/>
      <c r="AG16" s="51"/>
      <c r="AH16" s="51"/>
      <c r="AI16" s="51"/>
      <c r="AJ16" s="51"/>
      <c r="AK16" s="51"/>
      <c r="AL16" s="51" t="s">
        <v>89</v>
      </c>
      <c r="AM16" s="53" t="b">
        <f aca="false">TRUE()</f>
        <v>1</v>
      </c>
      <c r="AN16" s="53" t="b">
        <f aca="false">FALSE()</f>
        <v>0</v>
      </c>
      <c r="AO16" s="51" t="s">
        <v>96</v>
      </c>
      <c r="AP16" s="51" t="s">
        <v>131</v>
      </c>
      <c r="AQ16" s="51" t="s">
        <v>107</v>
      </c>
      <c r="AR16" s="51" t="s">
        <v>97</v>
      </c>
      <c r="AS16" s="51" t="s">
        <v>451</v>
      </c>
      <c r="AT16" s="51"/>
      <c r="AU16" s="51" t="s">
        <v>129</v>
      </c>
      <c r="AV16" s="51"/>
      <c r="AW16" s="51" t="s">
        <v>129</v>
      </c>
      <c r="AX16" s="51"/>
      <c r="AY16" s="53" t="b">
        <f aca="false">FALSE()</f>
        <v>0</v>
      </c>
      <c r="AZ16" s="51"/>
      <c r="BA16" s="51"/>
      <c r="BB16" s="51"/>
      <c r="BC16" s="51"/>
      <c r="BD16" s="51"/>
      <c r="BE16" s="51"/>
      <c r="BF16" s="51"/>
      <c r="BG16" s="51"/>
      <c r="BH16" s="51"/>
      <c r="BI16" s="51"/>
      <c r="BJ16" s="51"/>
      <c r="BK16" s="51"/>
      <c r="BL16" s="51"/>
      <c r="BM16" s="51"/>
      <c r="BN16" s="51"/>
      <c r="BO16" s="51"/>
      <c r="BP16" s="51"/>
      <c r="BQ16" s="51" t="s">
        <v>135</v>
      </c>
      <c r="BR16" s="51" t="s">
        <v>103</v>
      </c>
      <c r="BS16" s="53" t="b">
        <f aca="false">TRUE()</f>
        <v>1</v>
      </c>
      <c r="BT16" s="51"/>
      <c r="BU16" s="51"/>
      <c r="BV16" s="51"/>
      <c r="BW16" s="51"/>
      <c r="BX16" s="51"/>
      <c r="BY16" s="51"/>
      <c r="BZ16" s="51"/>
      <c r="CA16" s="51"/>
      <c r="CB16" s="51"/>
      <c r="CC16" s="51"/>
      <c r="CD16" s="51"/>
      <c r="CE16" s="51"/>
      <c r="CF16" s="51"/>
      <c r="CG16" s="51"/>
      <c r="CH16" s="51"/>
      <c r="CI16" s="51"/>
    </row>
    <row r="17" customFormat="false" ht="153" hidden="false" customHeight="false" outlineLevel="0" collapsed="false">
      <c r="A17" s="51"/>
      <c r="B17" s="51" t="n">
        <v>291861</v>
      </c>
      <c r="C17" s="51" t="s">
        <v>484</v>
      </c>
      <c r="D17" s="1" t="n">
        <f aca="false">DATEDIF($C$2, C17, "M")</f>
        <v>20</v>
      </c>
      <c r="E17" s="51" t="s">
        <v>485</v>
      </c>
      <c r="F17" s="53" t="b">
        <f aca="false">TRUE()</f>
        <v>1</v>
      </c>
      <c r="G17" s="51"/>
      <c r="H17" s="51"/>
      <c r="I17" s="51"/>
      <c r="J17" s="51"/>
      <c r="K17" s="51"/>
      <c r="L17" s="51"/>
      <c r="M17" s="51"/>
      <c r="N17" s="51"/>
      <c r="O17" s="51"/>
      <c r="P17" s="51"/>
      <c r="Q17" s="51"/>
      <c r="R17" s="51"/>
      <c r="S17" s="51"/>
      <c r="T17" s="51"/>
      <c r="U17" s="51"/>
      <c r="V17" s="51"/>
      <c r="W17" s="51"/>
      <c r="X17" s="51"/>
      <c r="Y17" s="51"/>
      <c r="Z17" s="51" t="s">
        <v>128</v>
      </c>
      <c r="AA17" s="51" t="s">
        <v>128</v>
      </c>
      <c r="AB17" s="51" t="s">
        <v>128</v>
      </c>
      <c r="AC17" s="51" t="s">
        <v>128</v>
      </c>
      <c r="AD17" s="51" t="n">
        <v>3</v>
      </c>
      <c r="AE17" s="51" t="n">
        <v>3</v>
      </c>
      <c r="AF17" s="51"/>
      <c r="AG17" s="51"/>
      <c r="AH17" s="51"/>
      <c r="AI17" s="51"/>
      <c r="AJ17" s="51"/>
      <c r="AK17" s="51"/>
      <c r="AL17" s="51"/>
      <c r="AM17" s="53" t="b">
        <f aca="false">TRUE()</f>
        <v>1</v>
      </c>
      <c r="AN17" s="53" t="b">
        <f aca="false">FALSE()</f>
        <v>0</v>
      </c>
      <c r="AO17" s="51" t="s">
        <v>96</v>
      </c>
      <c r="AP17" s="51" t="s">
        <v>97</v>
      </c>
      <c r="AQ17" s="51" t="s">
        <v>107</v>
      </c>
      <c r="AR17" s="51" t="s">
        <v>97</v>
      </c>
      <c r="AS17" s="51"/>
      <c r="AT17" s="51"/>
      <c r="AU17" s="51"/>
      <c r="AV17" s="51"/>
      <c r="AW17" s="51"/>
      <c r="AX17" s="53" t="b">
        <f aca="false">FALSE()</f>
        <v>0</v>
      </c>
      <c r="AY17" s="53" t="b">
        <f aca="false">FALSE()</f>
        <v>0</v>
      </c>
      <c r="AZ17" s="53" t="b">
        <f aca="false">FALSE()</f>
        <v>0</v>
      </c>
      <c r="BA17" s="51"/>
      <c r="BB17" s="51"/>
      <c r="BC17" s="51"/>
      <c r="BD17" s="51"/>
      <c r="BE17" s="51"/>
      <c r="BF17" s="51"/>
      <c r="BG17" s="51"/>
      <c r="BH17" s="51"/>
      <c r="BI17" s="51"/>
      <c r="BJ17" s="51"/>
      <c r="BK17" s="51"/>
      <c r="BL17" s="51"/>
      <c r="BM17" s="51"/>
      <c r="BN17" s="51"/>
      <c r="BO17" s="51"/>
      <c r="BP17" s="51"/>
      <c r="BQ17" s="51" t="s">
        <v>119</v>
      </c>
      <c r="BR17" s="51"/>
      <c r="BS17" s="51"/>
      <c r="BT17" s="51"/>
      <c r="BU17" s="51"/>
      <c r="BV17" s="51"/>
      <c r="BW17" s="51"/>
      <c r="BX17" s="51"/>
      <c r="BY17" s="51"/>
      <c r="BZ17" s="51"/>
      <c r="CA17" s="51"/>
      <c r="CB17" s="51"/>
      <c r="CC17" s="51"/>
      <c r="CD17" s="51"/>
      <c r="CE17" s="51"/>
      <c r="CF17" s="51"/>
      <c r="CG17" s="51"/>
      <c r="CH17" s="51"/>
      <c r="CI17" s="51"/>
    </row>
    <row r="18" customFormat="false" ht="171.6" hidden="false" customHeight="false" outlineLevel="0" collapsed="false">
      <c r="A18" s="51"/>
      <c r="B18" s="51" t="n">
        <v>291861</v>
      </c>
      <c r="C18" s="51" t="s">
        <v>486</v>
      </c>
      <c r="D18" s="1" t="n">
        <f aca="false">DATEDIF($C$2, C18, "M")</f>
        <v>21</v>
      </c>
      <c r="E18" s="51" t="s">
        <v>487</v>
      </c>
      <c r="F18" s="53" t="b">
        <f aca="false">TRUE()</f>
        <v>1</v>
      </c>
      <c r="G18" s="51"/>
      <c r="H18" s="51"/>
      <c r="I18" s="51"/>
      <c r="J18" s="51"/>
      <c r="K18" s="51"/>
      <c r="L18" s="51"/>
      <c r="M18" s="51"/>
      <c r="N18" s="51"/>
      <c r="O18" s="53" t="b">
        <f aca="false">TRUE()</f>
        <v>1</v>
      </c>
      <c r="P18" s="51"/>
      <c r="Q18" s="53" t="b">
        <f aca="false">TRUE()</f>
        <v>1</v>
      </c>
      <c r="R18" s="51"/>
      <c r="S18" s="51"/>
      <c r="T18" s="51"/>
      <c r="U18" s="51"/>
      <c r="V18" s="51"/>
      <c r="W18" s="51"/>
      <c r="X18" s="51"/>
      <c r="Y18" s="51"/>
      <c r="Z18" s="51" t="s">
        <v>87</v>
      </c>
      <c r="AA18" s="51" t="s">
        <v>87</v>
      </c>
      <c r="AB18" s="51" t="s">
        <v>87</v>
      </c>
      <c r="AC18" s="51" t="s">
        <v>87</v>
      </c>
      <c r="AD18" s="51" t="n">
        <v>3</v>
      </c>
      <c r="AE18" s="51" t="n">
        <v>3</v>
      </c>
      <c r="AF18" s="51"/>
      <c r="AG18" s="51"/>
      <c r="AH18" s="51"/>
      <c r="AI18" s="51"/>
      <c r="AJ18" s="51"/>
      <c r="AK18" s="51"/>
      <c r="AL18" s="51"/>
      <c r="AM18" s="53" t="b">
        <f aca="false">TRUE()</f>
        <v>1</v>
      </c>
      <c r="AN18" s="53" t="b">
        <f aca="false">FALSE()</f>
        <v>0</v>
      </c>
      <c r="AO18" s="51" t="s">
        <v>107</v>
      </c>
      <c r="AP18" s="51" t="s">
        <v>160</v>
      </c>
      <c r="AQ18" s="51" t="s">
        <v>107</v>
      </c>
      <c r="AR18" s="51" t="s">
        <v>97</v>
      </c>
      <c r="AS18" s="51" t="s">
        <v>470</v>
      </c>
      <c r="AT18" s="51" t="s">
        <v>150</v>
      </c>
      <c r="AU18" s="51" t="s">
        <v>117</v>
      </c>
      <c r="AV18" s="51" t="s">
        <v>150</v>
      </c>
      <c r="AW18" s="51" t="s">
        <v>117</v>
      </c>
      <c r="AX18" s="51"/>
      <c r="AY18" s="53" t="b">
        <f aca="false">TRUE()</f>
        <v>1</v>
      </c>
      <c r="AZ18" s="51"/>
      <c r="BA18" s="51"/>
      <c r="BB18" s="51"/>
      <c r="BC18" s="51"/>
      <c r="BD18" s="51"/>
      <c r="BE18" s="51"/>
      <c r="BF18" s="51"/>
      <c r="BG18" s="51"/>
      <c r="BH18" s="51"/>
      <c r="BI18" s="51"/>
      <c r="BJ18" s="51"/>
      <c r="BK18" s="51"/>
      <c r="BL18" s="51"/>
      <c r="BM18" s="51"/>
      <c r="BN18" s="51"/>
      <c r="BO18" s="51"/>
      <c r="BP18" s="51"/>
      <c r="BQ18" s="51" t="s">
        <v>135</v>
      </c>
      <c r="BR18" s="51" t="s">
        <v>103</v>
      </c>
      <c r="BS18" s="51"/>
      <c r="BT18" s="51"/>
      <c r="BU18" s="51"/>
      <c r="BV18" s="51"/>
      <c r="BW18" s="51"/>
      <c r="BX18" s="51"/>
      <c r="BY18" s="51"/>
      <c r="BZ18" s="51"/>
      <c r="CA18" s="51"/>
      <c r="CB18" s="51"/>
      <c r="CC18" s="51"/>
      <c r="CD18" s="51"/>
      <c r="CE18" s="51"/>
      <c r="CF18" s="51"/>
      <c r="CG18" s="51"/>
      <c r="CH18" s="51"/>
      <c r="CI18" s="51"/>
    </row>
    <row r="19" customFormat="false" ht="171.6" hidden="false" customHeight="false" outlineLevel="0" collapsed="false">
      <c r="A19" s="51"/>
      <c r="B19" s="51" t="n">
        <v>291861</v>
      </c>
      <c r="C19" s="51" t="s">
        <v>488</v>
      </c>
      <c r="D19" s="1" t="n">
        <f aca="false">DATEDIF($C$2, C19, "M")</f>
        <v>22</v>
      </c>
      <c r="E19" s="51" t="s">
        <v>489</v>
      </c>
      <c r="F19" s="53" t="b">
        <f aca="false">TRUE()</f>
        <v>1</v>
      </c>
      <c r="G19" s="51"/>
      <c r="H19" s="51"/>
      <c r="I19" s="51"/>
      <c r="J19" s="51"/>
      <c r="K19" s="51"/>
      <c r="L19" s="51"/>
      <c r="M19" s="51"/>
      <c r="N19" s="51"/>
      <c r="O19" s="51"/>
      <c r="P19" s="51"/>
      <c r="Q19" s="51"/>
      <c r="R19" s="51"/>
      <c r="S19" s="51"/>
      <c r="T19" s="51"/>
      <c r="U19" s="51"/>
      <c r="V19" s="51"/>
      <c r="W19" s="51"/>
      <c r="X19" s="51"/>
      <c r="Y19" s="51"/>
      <c r="Z19" s="51" t="s">
        <v>128</v>
      </c>
      <c r="AA19" s="51"/>
      <c r="AB19" s="51" t="s">
        <v>128</v>
      </c>
      <c r="AC19" s="51"/>
      <c r="AD19" s="51" t="s">
        <v>182</v>
      </c>
      <c r="AE19" s="51" t="n">
        <v>3</v>
      </c>
      <c r="AF19" s="51"/>
      <c r="AG19" s="51"/>
      <c r="AH19" s="51"/>
      <c r="AI19" s="51"/>
      <c r="AJ19" s="51"/>
      <c r="AK19" s="51"/>
      <c r="AL19" s="51"/>
      <c r="AM19" s="53" t="b">
        <f aca="false">FALSE()</f>
        <v>0</v>
      </c>
      <c r="AN19" s="53" t="b">
        <f aca="false">FALSE()</f>
        <v>0</v>
      </c>
      <c r="AO19" s="51" t="s">
        <v>107</v>
      </c>
      <c r="AP19" s="51" t="s">
        <v>160</v>
      </c>
      <c r="AQ19" s="51" t="s">
        <v>107</v>
      </c>
      <c r="AR19" s="51" t="s">
        <v>97</v>
      </c>
      <c r="AS19" s="51"/>
      <c r="AT19" s="51" t="s">
        <v>150</v>
      </c>
      <c r="AU19" s="51" t="s">
        <v>117</v>
      </c>
      <c r="AV19" s="51" t="s">
        <v>150</v>
      </c>
      <c r="AW19" s="51" t="s">
        <v>117</v>
      </c>
      <c r="AX19" s="51"/>
      <c r="AY19" s="53" t="b">
        <f aca="false">TRUE()</f>
        <v>1</v>
      </c>
      <c r="AZ19" s="51"/>
      <c r="BA19" s="51"/>
      <c r="BB19" s="51"/>
      <c r="BC19" s="51"/>
      <c r="BD19" s="51"/>
      <c r="BE19" s="51"/>
      <c r="BF19" s="51"/>
      <c r="BG19" s="51"/>
      <c r="BH19" s="51"/>
      <c r="BI19" s="51"/>
      <c r="BJ19" s="51"/>
      <c r="BK19" s="51"/>
      <c r="BL19" s="51"/>
      <c r="BM19" s="51"/>
      <c r="BN19" s="51"/>
      <c r="BO19" s="51"/>
      <c r="BP19" s="51"/>
      <c r="BQ19" s="51" t="s">
        <v>103</v>
      </c>
      <c r="BR19" s="51" t="s">
        <v>108</v>
      </c>
      <c r="BS19" s="51"/>
      <c r="BT19" s="51"/>
      <c r="BU19" s="51"/>
      <c r="BV19" s="51"/>
      <c r="BW19" s="51"/>
      <c r="BX19" s="51"/>
      <c r="BY19" s="51"/>
      <c r="BZ19" s="51"/>
      <c r="CA19" s="53" t="b">
        <f aca="false">TRUE()</f>
        <v>1</v>
      </c>
      <c r="CB19" s="51"/>
      <c r="CC19" s="51"/>
      <c r="CD19" s="51"/>
      <c r="CE19" s="51"/>
      <c r="CF19" s="51"/>
      <c r="CG19" s="51"/>
      <c r="CH19" s="51"/>
      <c r="CI19" s="51"/>
    </row>
    <row r="20" customFormat="false" ht="135.75" hidden="false" customHeight="false" outlineLevel="0" collapsed="false">
      <c r="A20" s="51"/>
      <c r="B20" s="51" t="n">
        <v>291861</v>
      </c>
      <c r="C20" s="51" t="s">
        <v>490</v>
      </c>
      <c r="D20" s="1" t="n">
        <f aca="false">DATEDIF($C$2, C20, "M")</f>
        <v>23</v>
      </c>
      <c r="E20" s="51" t="s">
        <v>491</v>
      </c>
      <c r="F20" s="53" t="b">
        <f aca="false">TRUE()</f>
        <v>1</v>
      </c>
      <c r="G20" s="51"/>
      <c r="H20" s="51"/>
      <c r="I20" s="51"/>
      <c r="J20" s="51"/>
      <c r="K20" s="51"/>
      <c r="L20" s="51"/>
      <c r="M20" s="51"/>
      <c r="N20" s="51"/>
      <c r="O20" s="51"/>
      <c r="P20" s="51"/>
      <c r="Q20" s="51"/>
      <c r="R20" s="51"/>
      <c r="S20" s="51"/>
      <c r="T20" s="51"/>
      <c r="U20" s="51"/>
      <c r="V20" s="51"/>
      <c r="W20" s="51"/>
      <c r="X20" s="51"/>
      <c r="Y20" s="51"/>
      <c r="Z20" s="51" t="s">
        <v>87</v>
      </c>
      <c r="AA20" s="51" t="s">
        <v>87</v>
      </c>
      <c r="AB20" s="51" t="s">
        <v>87</v>
      </c>
      <c r="AC20" s="51" t="s">
        <v>87</v>
      </c>
      <c r="AD20" s="51"/>
      <c r="AE20" s="51"/>
      <c r="AF20" s="51"/>
      <c r="AG20" s="51"/>
      <c r="AH20" s="51"/>
      <c r="AI20" s="51"/>
      <c r="AJ20" s="51"/>
      <c r="AK20" s="51"/>
      <c r="AL20" s="51"/>
      <c r="AM20" s="53" t="b">
        <f aca="false">FALSE()</f>
        <v>0</v>
      </c>
      <c r="AN20" s="53" t="b">
        <f aca="false">FALSE()</f>
        <v>0</v>
      </c>
      <c r="AO20" s="51" t="s">
        <v>107</v>
      </c>
      <c r="AP20" s="51" t="s">
        <v>160</v>
      </c>
      <c r="AQ20" s="51" t="s">
        <v>107</v>
      </c>
      <c r="AR20" s="51" t="s">
        <v>97</v>
      </c>
      <c r="AS20" s="51"/>
      <c r="AT20" s="51" t="s">
        <v>150</v>
      </c>
      <c r="AU20" s="51" t="s">
        <v>206</v>
      </c>
      <c r="AV20" s="51" t="s">
        <v>150</v>
      </c>
      <c r="AW20" s="51" t="s">
        <v>206</v>
      </c>
      <c r="AX20" s="51"/>
      <c r="AY20" s="53" t="b">
        <f aca="false">TRUE()</f>
        <v>1</v>
      </c>
      <c r="AZ20" s="51"/>
      <c r="BA20" s="51"/>
      <c r="BB20" s="51"/>
      <c r="BC20" s="51"/>
      <c r="BD20" s="51"/>
      <c r="BE20" s="51"/>
      <c r="BF20" s="51"/>
      <c r="BG20" s="51"/>
      <c r="BH20" s="51"/>
      <c r="BI20" s="51"/>
      <c r="BJ20" s="51"/>
      <c r="BK20" s="51"/>
      <c r="BL20" s="51"/>
      <c r="BM20" s="51"/>
      <c r="BN20" s="51"/>
      <c r="BO20" s="51"/>
      <c r="BP20" s="51"/>
      <c r="BQ20" s="51" t="s">
        <v>473</v>
      </c>
      <c r="BR20" s="51" t="s">
        <v>473</v>
      </c>
      <c r="BS20" s="51"/>
      <c r="BT20" s="51"/>
      <c r="BU20" s="51"/>
      <c r="BV20" s="51"/>
      <c r="BW20" s="51"/>
      <c r="BX20" s="51"/>
      <c r="BY20" s="51"/>
      <c r="BZ20" s="51"/>
      <c r="CA20" s="51"/>
      <c r="CB20" s="51"/>
      <c r="CC20" s="51"/>
      <c r="CD20" s="53" t="b">
        <f aca="false">TRUE()</f>
        <v>1</v>
      </c>
      <c r="CE20" s="51"/>
      <c r="CF20" s="51"/>
      <c r="CG20" s="51"/>
      <c r="CH20" s="51"/>
      <c r="CI20" s="51"/>
    </row>
    <row r="21" customFormat="false" ht="102" hidden="false" customHeight="false" outlineLevel="0" collapsed="false">
      <c r="A21" s="51"/>
      <c r="B21" s="51" t="n">
        <v>291861</v>
      </c>
      <c r="C21" s="51" t="s">
        <v>492</v>
      </c>
      <c r="D21" s="1" t="n">
        <f aca="false">DATEDIF($C$2, C21, "M")</f>
        <v>24</v>
      </c>
      <c r="E21" s="51" t="s">
        <v>493</v>
      </c>
      <c r="F21" s="53" t="b">
        <f aca="false">TRUE()</f>
        <v>1</v>
      </c>
      <c r="G21" s="51"/>
      <c r="H21" s="51"/>
      <c r="I21" s="51"/>
      <c r="J21" s="51"/>
      <c r="K21" s="51"/>
      <c r="L21" s="51"/>
      <c r="M21" s="51"/>
      <c r="N21" s="51"/>
      <c r="O21" s="51"/>
      <c r="P21" s="51"/>
      <c r="Q21" s="51"/>
      <c r="R21" s="51"/>
      <c r="S21" s="51"/>
      <c r="T21" s="51"/>
      <c r="U21" s="51"/>
      <c r="V21" s="51"/>
      <c r="W21" s="51"/>
      <c r="X21" s="51"/>
      <c r="Y21" s="51"/>
      <c r="Z21" s="51" t="s">
        <v>87</v>
      </c>
      <c r="AA21" s="51" t="s">
        <v>87</v>
      </c>
      <c r="AB21" s="51" t="s">
        <v>87</v>
      </c>
      <c r="AC21" s="51" t="s">
        <v>87</v>
      </c>
      <c r="AD21" s="51"/>
      <c r="AE21" s="51"/>
      <c r="AF21" s="51"/>
      <c r="AG21" s="51"/>
      <c r="AH21" s="51"/>
      <c r="AI21" s="51"/>
      <c r="AJ21" s="51"/>
      <c r="AK21" s="51"/>
      <c r="AL21" s="51"/>
      <c r="AM21" s="53" t="b">
        <f aca="false">FALSE()</f>
        <v>0</v>
      </c>
      <c r="AN21" s="53" t="b">
        <f aca="false">FALSE()</f>
        <v>0</v>
      </c>
      <c r="AO21" s="51" t="s">
        <v>107</v>
      </c>
      <c r="AP21" s="51" t="s">
        <v>160</v>
      </c>
      <c r="AQ21" s="51" t="s">
        <v>107</v>
      </c>
      <c r="AR21" s="51" t="s">
        <v>97</v>
      </c>
      <c r="AS21" s="51" t="s">
        <v>132</v>
      </c>
      <c r="AT21" s="51" t="s">
        <v>150</v>
      </c>
      <c r="AU21" s="51" t="s">
        <v>206</v>
      </c>
      <c r="AV21" s="51" t="s">
        <v>150</v>
      </c>
      <c r="AW21" s="51" t="s">
        <v>206</v>
      </c>
      <c r="AX21" s="51"/>
      <c r="AY21" s="53" t="b">
        <f aca="false">TRUE()</f>
        <v>1</v>
      </c>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3" t="b">
        <f aca="false">TRUE()</f>
        <v>1</v>
      </c>
      <c r="BZ21" s="52" t="b">
        <f aca="false">TRUE()</f>
        <v>1</v>
      </c>
      <c r="CA21" s="51"/>
      <c r="CB21" s="51"/>
      <c r="CC21" s="52" t="b">
        <f aca="false">TRUE()</f>
        <v>1</v>
      </c>
      <c r="CD21" s="51"/>
      <c r="CE21" s="51"/>
      <c r="CF21" s="51"/>
      <c r="CG21" s="51"/>
      <c r="CH21" s="51"/>
      <c r="CI21" s="51"/>
    </row>
    <row r="22" customFormat="false" ht="135.75" hidden="false" customHeight="false" outlineLevel="0" collapsed="false">
      <c r="A22" s="51"/>
      <c r="B22" s="51" t="n">
        <v>291861</v>
      </c>
      <c r="C22" s="51" t="s">
        <v>494</v>
      </c>
      <c r="D22" s="1" t="n">
        <f aca="false">DATEDIF($C$2, C22, "M")</f>
        <v>25</v>
      </c>
      <c r="E22" s="51" t="s">
        <v>495</v>
      </c>
      <c r="F22" s="53" t="b">
        <f aca="false">TRUE()</f>
        <v>1</v>
      </c>
      <c r="G22" s="51"/>
      <c r="H22" s="51"/>
      <c r="I22" s="51"/>
      <c r="J22" s="51"/>
      <c r="K22" s="51"/>
      <c r="L22" s="51"/>
      <c r="M22" s="51"/>
      <c r="N22" s="51"/>
      <c r="O22" s="51"/>
      <c r="P22" s="51"/>
      <c r="Q22" s="53" t="b">
        <f aca="false">TRUE()</f>
        <v>1</v>
      </c>
      <c r="R22" s="51"/>
      <c r="S22" s="51"/>
      <c r="T22" s="51"/>
      <c r="U22" s="51"/>
      <c r="V22" s="51"/>
      <c r="W22" s="51"/>
      <c r="X22" s="51"/>
      <c r="Y22" s="51"/>
      <c r="Z22" s="51" t="s">
        <v>87</v>
      </c>
      <c r="AA22" s="51" t="s">
        <v>87</v>
      </c>
      <c r="AB22" s="51" t="s">
        <v>87</v>
      </c>
      <c r="AC22" s="51" t="s">
        <v>87</v>
      </c>
      <c r="AD22" s="51" t="n">
        <v>2</v>
      </c>
      <c r="AE22" s="51" t="n">
        <v>2</v>
      </c>
      <c r="AF22" s="51"/>
      <c r="AG22" s="51"/>
      <c r="AH22" s="51"/>
      <c r="AI22" s="51"/>
      <c r="AJ22" s="51"/>
      <c r="AK22" s="51"/>
      <c r="AL22" s="51"/>
      <c r="AM22" s="53" t="b">
        <f aca="false">FALSE()</f>
        <v>0</v>
      </c>
      <c r="AN22" s="53" t="b">
        <f aca="false">FALSE()</f>
        <v>0</v>
      </c>
      <c r="AO22" s="51" t="s">
        <v>107</v>
      </c>
      <c r="AP22" s="51" t="s">
        <v>160</v>
      </c>
      <c r="AQ22" s="51" t="s">
        <v>107</v>
      </c>
      <c r="AR22" s="51" t="s">
        <v>97</v>
      </c>
      <c r="AS22" s="51"/>
      <c r="AT22" s="51" t="s">
        <v>150</v>
      </c>
      <c r="AU22" s="51" t="s">
        <v>206</v>
      </c>
      <c r="AV22" s="51" t="s">
        <v>150</v>
      </c>
      <c r="AW22" s="51" t="s">
        <v>206</v>
      </c>
      <c r="AX22" s="51"/>
      <c r="AY22" s="53" t="b">
        <f aca="false">TRUE()</f>
        <v>1</v>
      </c>
      <c r="AZ22" s="51"/>
      <c r="BA22" s="51"/>
      <c r="BB22" s="51"/>
      <c r="BC22" s="51"/>
      <c r="BD22" s="51"/>
      <c r="BE22" s="51"/>
      <c r="BF22" s="51"/>
      <c r="BG22" s="51"/>
      <c r="BH22" s="51"/>
      <c r="BI22" s="51"/>
      <c r="BJ22" s="51"/>
      <c r="BK22" s="51"/>
      <c r="BL22" s="51"/>
      <c r="BM22" s="51"/>
      <c r="BN22" s="51"/>
      <c r="BO22" s="51"/>
      <c r="BP22" s="51"/>
      <c r="BQ22" s="51" t="s">
        <v>135</v>
      </c>
      <c r="BR22" s="51" t="s">
        <v>103</v>
      </c>
      <c r="BS22" s="51"/>
      <c r="BT22" s="51"/>
      <c r="BU22" s="51"/>
      <c r="BV22" s="51"/>
      <c r="BW22" s="51"/>
      <c r="BX22" s="51"/>
      <c r="BY22" s="53" t="b">
        <f aca="false">TRUE()</f>
        <v>1</v>
      </c>
      <c r="BZ22" s="52" t="b">
        <f aca="false">TRUE()</f>
        <v>1</v>
      </c>
      <c r="CA22" s="51"/>
      <c r="CB22" s="51"/>
      <c r="CC22" s="51"/>
      <c r="CD22" s="51"/>
      <c r="CE22" s="51"/>
      <c r="CF22" s="51"/>
      <c r="CG22" s="51"/>
      <c r="CH22" s="51"/>
      <c r="CI22" s="51"/>
    </row>
    <row r="23" customFormat="false" ht="135.75" hidden="false" customHeight="false" outlineLevel="0" collapsed="false">
      <c r="A23" s="51"/>
      <c r="B23" s="51" t="n">
        <v>291861</v>
      </c>
      <c r="C23" s="51" t="s">
        <v>496</v>
      </c>
      <c r="D23" s="1" t="n">
        <f aca="false">DATEDIF($C$2, C23, "M")</f>
        <v>26</v>
      </c>
      <c r="E23" s="51" t="s">
        <v>497</v>
      </c>
      <c r="F23" s="53" t="b">
        <f aca="false">TRUE()</f>
        <v>1</v>
      </c>
      <c r="G23" s="51"/>
      <c r="H23" s="51"/>
      <c r="I23" s="51"/>
      <c r="J23" s="51"/>
      <c r="K23" s="51"/>
      <c r="L23" s="51"/>
      <c r="M23" s="51"/>
      <c r="N23" s="51"/>
      <c r="O23" s="53" t="b">
        <f aca="false">TRUE()</f>
        <v>1</v>
      </c>
      <c r="P23" s="51"/>
      <c r="Q23" s="51"/>
      <c r="R23" s="51"/>
      <c r="S23" s="51"/>
      <c r="T23" s="51"/>
      <c r="U23" s="51"/>
      <c r="V23" s="51"/>
      <c r="W23" s="51"/>
      <c r="X23" s="51"/>
      <c r="Y23" s="51"/>
      <c r="Z23" s="51" t="s">
        <v>87</v>
      </c>
      <c r="AA23" s="51" t="s">
        <v>87</v>
      </c>
      <c r="AB23" s="51" t="s">
        <v>87</v>
      </c>
      <c r="AC23" s="51" t="s">
        <v>87</v>
      </c>
      <c r="AD23" s="51" t="n">
        <v>2</v>
      </c>
      <c r="AE23" s="51" t="n">
        <v>2</v>
      </c>
      <c r="AF23" s="51"/>
      <c r="AG23" s="51"/>
      <c r="AH23" s="51"/>
      <c r="AI23" s="51"/>
      <c r="AJ23" s="51"/>
      <c r="AK23" s="51"/>
      <c r="AL23" s="51"/>
      <c r="AM23" s="53" t="b">
        <f aca="false">FALSE()</f>
        <v>0</v>
      </c>
      <c r="AN23" s="53" t="b">
        <f aca="false">FALSE()</f>
        <v>0</v>
      </c>
      <c r="AO23" s="51" t="s">
        <v>107</v>
      </c>
      <c r="AP23" s="51" t="s">
        <v>160</v>
      </c>
      <c r="AQ23" s="51" t="s">
        <v>107</v>
      </c>
      <c r="AR23" s="51" t="s">
        <v>97</v>
      </c>
      <c r="AS23" s="51" t="s">
        <v>168</v>
      </c>
      <c r="AT23" s="51" t="s">
        <v>150</v>
      </c>
      <c r="AU23" s="51" t="s">
        <v>206</v>
      </c>
      <c r="AV23" s="51" t="s">
        <v>150</v>
      </c>
      <c r="AW23" s="51" t="s">
        <v>206</v>
      </c>
      <c r="AX23" s="51"/>
      <c r="AY23" s="53" t="b">
        <f aca="false">TRUE()</f>
        <v>1</v>
      </c>
      <c r="AZ23" s="51"/>
      <c r="BA23" s="51"/>
      <c r="BB23" s="51"/>
      <c r="BC23" s="51"/>
      <c r="BD23" s="51"/>
      <c r="BE23" s="51"/>
      <c r="BF23" s="51"/>
      <c r="BG23" s="51"/>
      <c r="BH23" s="51"/>
      <c r="BI23" s="51"/>
      <c r="BJ23" s="51"/>
      <c r="BK23" s="51"/>
      <c r="BL23" s="51"/>
      <c r="BM23" s="51"/>
      <c r="BN23" s="51"/>
      <c r="BO23" s="51"/>
      <c r="BP23" s="51"/>
      <c r="BQ23" s="51" t="s">
        <v>135</v>
      </c>
      <c r="BR23" s="51" t="s">
        <v>103</v>
      </c>
      <c r="BS23" s="51"/>
      <c r="BT23" s="51"/>
      <c r="BU23" s="51"/>
      <c r="BV23" s="51"/>
      <c r="BW23" s="51"/>
      <c r="BX23" s="51"/>
      <c r="BY23" s="51"/>
      <c r="BZ23" s="51"/>
      <c r="CA23" s="51"/>
      <c r="CB23" s="51"/>
      <c r="CC23" s="51"/>
      <c r="CD23" s="51"/>
      <c r="CE23" s="51"/>
      <c r="CF23" s="51"/>
      <c r="CG23" s="51"/>
      <c r="CH23" s="51"/>
      <c r="CI23" s="51"/>
    </row>
    <row r="24" customFormat="false" ht="204" hidden="false" customHeight="false" outlineLevel="0" collapsed="false">
      <c r="A24" s="51"/>
      <c r="B24" s="51" t="n">
        <v>291861</v>
      </c>
      <c r="C24" s="51" t="s">
        <v>498</v>
      </c>
      <c r="D24" s="1" t="n">
        <f aca="false">DATEDIF($C$2, C24, "M")</f>
        <v>27</v>
      </c>
      <c r="E24" s="51" t="s">
        <v>499</v>
      </c>
      <c r="F24" s="53" t="b">
        <f aca="false">TRUE()</f>
        <v>1</v>
      </c>
      <c r="G24" s="51"/>
      <c r="H24" s="53" t="b">
        <f aca="false">TRUE()</f>
        <v>1</v>
      </c>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t="s">
        <v>103</v>
      </c>
      <c r="BR24" s="51" t="s">
        <v>473</v>
      </c>
      <c r="BS24" s="51"/>
      <c r="BT24" s="51"/>
      <c r="BU24" s="51"/>
      <c r="BV24" s="51"/>
      <c r="BW24" s="51"/>
      <c r="BX24" s="51"/>
      <c r="BY24" s="51"/>
      <c r="BZ24" s="51"/>
      <c r="CA24" s="51"/>
      <c r="CB24" s="51"/>
      <c r="CC24" s="51"/>
      <c r="CD24" s="51"/>
      <c r="CE24" s="51"/>
      <c r="CF24" s="53" t="b">
        <f aca="false">TRUE()</f>
        <v>1</v>
      </c>
      <c r="CG24" s="52" t="b">
        <f aca="false">TRUE()</f>
        <v>1</v>
      </c>
      <c r="CH24" s="51"/>
      <c r="CI24" s="51"/>
    </row>
    <row r="25" customFormat="false" ht="118.5" hidden="false" customHeight="false" outlineLevel="0" collapsed="false">
      <c r="A25" s="51"/>
      <c r="B25" s="51" t="n">
        <v>291861</v>
      </c>
      <c r="C25" s="51" t="s">
        <v>500</v>
      </c>
      <c r="D25" s="1" t="n">
        <f aca="false">DATEDIF($C$2, C25, "M")</f>
        <v>27</v>
      </c>
      <c r="E25" s="51" t="s">
        <v>501</v>
      </c>
      <c r="F25" s="53" t="b">
        <f aca="false">TRUE()</f>
        <v>1</v>
      </c>
      <c r="G25" s="51"/>
      <c r="H25" s="51"/>
      <c r="I25" s="51"/>
      <c r="J25" s="51"/>
      <c r="K25" s="51"/>
      <c r="L25" s="51"/>
      <c r="M25" s="51"/>
      <c r="N25" s="51"/>
      <c r="O25" s="51"/>
      <c r="P25" s="51"/>
      <c r="Q25" s="51"/>
      <c r="R25" s="51"/>
      <c r="S25" s="51"/>
      <c r="T25" s="51"/>
      <c r="U25" s="51"/>
      <c r="V25" s="51"/>
      <c r="W25" s="51"/>
      <c r="X25" s="51"/>
      <c r="Y25" s="51" t="s">
        <v>502</v>
      </c>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t="s">
        <v>103</v>
      </c>
      <c r="BR25" s="51"/>
      <c r="BS25" s="51"/>
      <c r="BT25" s="51"/>
      <c r="BU25" s="51"/>
      <c r="BV25" s="51"/>
      <c r="BW25" s="51" t="s">
        <v>138</v>
      </c>
      <c r="BX25" s="51" t="s">
        <v>138</v>
      </c>
      <c r="BY25" s="51"/>
      <c r="BZ25" s="51"/>
      <c r="CA25" s="51"/>
      <c r="CB25" s="51"/>
      <c r="CC25" s="51"/>
      <c r="CD25" s="51"/>
      <c r="CE25" s="51"/>
      <c r="CF25" s="51"/>
      <c r="CG25" s="51"/>
      <c r="CH25" s="51"/>
      <c r="CI25" s="51"/>
    </row>
    <row r="26" customFormat="false" ht="255" hidden="false" customHeight="false" outlineLevel="0" collapsed="false">
      <c r="A26" s="51"/>
      <c r="B26" s="51" t="n">
        <v>291861</v>
      </c>
      <c r="C26" s="51" t="s">
        <v>503</v>
      </c>
      <c r="D26" s="1" t="n">
        <f aca="false">DATEDIF($C$2, C26, "M")</f>
        <v>27</v>
      </c>
      <c r="E26" s="51" t="s">
        <v>504</v>
      </c>
      <c r="F26" s="53" t="b">
        <f aca="false">TRUE()</f>
        <v>1</v>
      </c>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c r="BI26" s="51"/>
      <c r="BJ26" s="51"/>
      <c r="BK26" s="51"/>
      <c r="BL26" s="51"/>
      <c r="BM26" s="51"/>
      <c r="BN26" s="51"/>
      <c r="BO26" s="51"/>
      <c r="BP26" s="51"/>
      <c r="BQ26" s="51" t="s">
        <v>103</v>
      </c>
      <c r="BR26" s="51" t="s">
        <v>103</v>
      </c>
      <c r="BS26" s="51"/>
      <c r="BT26" s="51"/>
      <c r="BU26" s="51"/>
      <c r="BV26" s="51"/>
      <c r="BW26" s="51" t="s">
        <v>138</v>
      </c>
      <c r="BX26" s="51" t="s">
        <v>138</v>
      </c>
      <c r="BY26" s="51"/>
      <c r="BZ26" s="51"/>
      <c r="CA26" s="51"/>
      <c r="CB26" s="51"/>
      <c r="CC26" s="51"/>
      <c r="CD26" s="51"/>
      <c r="CE26" s="51"/>
      <c r="CF26" s="51"/>
      <c r="CG26" s="51"/>
      <c r="CH26" s="52" t="b">
        <f aca="false">TRUE()</f>
        <v>1</v>
      </c>
      <c r="CI26" s="51"/>
    </row>
    <row r="27" customFormat="false" ht="306" hidden="false" customHeight="false" outlineLevel="0" collapsed="false">
      <c r="A27" s="51"/>
      <c r="B27" s="51" t="n">
        <v>291861</v>
      </c>
      <c r="C27" s="51" t="s">
        <v>505</v>
      </c>
      <c r="D27" s="1" t="n">
        <f aca="false">DATEDIF($C$2, C27, "M")</f>
        <v>30</v>
      </c>
      <c r="E27" s="51" t="s">
        <v>506</v>
      </c>
      <c r="F27" s="53" t="b">
        <f aca="false">TRUE()</f>
        <v>1</v>
      </c>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3" t="b">
        <f aca="false">TRUE()</f>
        <v>1</v>
      </c>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t="s">
        <v>103</v>
      </c>
      <c r="BR27" s="51" t="s">
        <v>103</v>
      </c>
      <c r="BS27" s="51"/>
      <c r="BT27" s="51"/>
      <c r="BU27" s="51"/>
      <c r="BV27" s="51"/>
      <c r="BW27" s="51" t="s">
        <v>138</v>
      </c>
      <c r="BX27" s="51" t="s">
        <v>138</v>
      </c>
      <c r="BY27" s="51"/>
      <c r="BZ27" s="51"/>
      <c r="CA27" s="51"/>
      <c r="CB27" s="51"/>
      <c r="CC27" s="51"/>
      <c r="CD27" s="51"/>
      <c r="CE27" s="51"/>
      <c r="CF27" s="51"/>
      <c r="CG27" s="51"/>
      <c r="CH27" s="52" t="b">
        <f aca="false">TRUE()</f>
        <v>1</v>
      </c>
      <c r="CI27" s="51"/>
    </row>
    <row r="28" customFormat="false" ht="29.85" hidden="false" customHeight="false" outlineLevel="0" collapsed="false">
      <c r="A28" s="51"/>
      <c r="B28" s="51" t="n">
        <v>291861</v>
      </c>
      <c r="C28" s="51" t="s">
        <v>507</v>
      </c>
      <c r="D28" s="1" t="n">
        <f aca="false">DATEDIF($C$2, C28, "M")</f>
        <v>36</v>
      </c>
      <c r="E28" s="51" t="s">
        <v>508</v>
      </c>
      <c r="F28" s="53" t="b">
        <f aca="false">TRUE()</f>
        <v>1</v>
      </c>
      <c r="G28" s="51"/>
      <c r="H28" s="51"/>
      <c r="I28" s="53" t="b">
        <f aca="false">TRUE()</f>
        <v>1</v>
      </c>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t="s">
        <v>224</v>
      </c>
      <c r="BY28" s="51"/>
      <c r="BZ28" s="51"/>
      <c r="CA28" s="51"/>
      <c r="CB28" s="51"/>
      <c r="CC28" s="51"/>
      <c r="CD28" s="51"/>
      <c r="CE28" s="51"/>
      <c r="CF28" s="51"/>
      <c r="CG28" s="51"/>
      <c r="CH28" s="51"/>
      <c r="CI28" s="51"/>
    </row>
    <row r="29" customFormat="false" ht="29.85" hidden="false" customHeight="false" outlineLevel="0" collapsed="false">
      <c r="A29" s="51"/>
      <c r="B29" s="51" t="n">
        <v>291861</v>
      </c>
      <c r="C29" s="51" t="s">
        <v>509</v>
      </c>
      <c r="D29" s="1" t="n">
        <f aca="false">DATEDIF($C$2, C29, "M")</f>
        <v>38</v>
      </c>
      <c r="E29" s="51" t="s">
        <v>510</v>
      </c>
      <c r="F29" s="53" t="b">
        <f aca="false">TRUE()</f>
        <v>1</v>
      </c>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3" t="b">
        <f aca="false">TRUE()</f>
        <v>1</v>
      </c>
      <c r="AG29" s="51"/>
      <c r="AH29" s="51"/>
      <c r="AI29" s="51"/>
      <c r="AJ29" s="51"/>
      <c r="AK29" s="51"/>
      <c r="AL29" s="51"/>
      <c r="AM29" s="51"/>
      <c r="AN29" s="51"/>
      <c r="AO29" s="51"/>
      <c r="AP29" s="51"/>
      <c r="AQ29" s="51"/>
      <c r="AR29" s="51"/>
      <c r="AS29" s="51"/>
      <c r="AT29" s="51"/>
      <c r="AU29" s="51"/>
      <c r="AV29" s="51" t="s">
        <v>384</v>
      </c>
      <c r="AW29" s="51" t="s">
        <v>117</v>
      </c>
      <c r="AX29" s="51"/>
      <c r="AY29" s="51"/>
      <c r="AZ29" s="51"/>
      <c r="BA29" s="53" t="b">
        <f aca="false">TRUE()</f>
        <v>1</v>
      </c>
      <c r="BB29" s="51"/>
      <c r="BC29" s="51"/>
      <c r="BD29" s="51"/>
      <c r="BE29" s="51"/>
      <c r="BF29" s="51"/>
      <c r="BG29" s="51"/>
      <c r="BH29" s="51"/>
      <c r="BI29" s="51"/>
      <c r="BJ29" s="51"/>
      <c r="BK29" s="51"/>
      <c r="BL29" s="51"/>
      <c r="BM29" s="51"/>
      <c r="BN29" s="51"/>
      <c r="BO29" s="51"/>
      <c r="BP29" s="51"/>
      <c r="BQ29" s="51"/>
      <c r="BR29" s="51"/>
      <c r="BS29" s="51"/>
      <c r="BT29" s="51"/>
      <c r="BU29" s="51"/>
      <c r="BV29" s="51"/>
      <c r="BW29" s="51"/>
      <c r="BX29" s="51" t="s">
        <v>224</v>
      </c>
      <c r="BY29" s="51"/>
      <c r="BZ29" s="51"/>
      <c r="CA29" s="51"/>
      <c r="CB29" s="51"/>
      <c r="CC29" s="51"/>
      <c r="CD29" s="51"/>
      <c r="CE29" s="51"/>
      <c r="CF29" s="51"/>
      <c r="CG29" s="51"/>
      <c r="CH29" s="51"/>
      <c r="CI29" s="51"/>
    </row>
    <row r="30" customFormat="false" ht="67.5" hidden="false" customHeight="false" outlineLevel="0" collapsed="false">
      <c r="A30" s="51"/>
      <c r="B30" s="51" t="n">
        <v>291861</v>
      </c>
      <c r="C30" s="55" t="s">
        <v>511</v>
      </c>
      <c r="D30" s="1" t="n">
        <f aca="false">DATEDIF($C$2, C30, "M")</f>
        <v>39</v>
      </c>
      <c r="E30" s="51" t="s">
        <v>512</v>
      </c>
      <c r="F30" s="53" t="b">
        <f aca="false">TRUE()</f>
        <v>1</v>
      </c>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t="s">
        <v>384</v>
      </c>
      <c r="AW30" s="51" t="s">
        <v>117</v>
      </c>
      <c r="AX30" s="51"/>
      <c r="AY30" s="51"/>
      <c r="AZ30" s="51"/>
      <c r="BA30" s="53" t="b">
        <f aca="false">TRUE()</f>
        <v>1</v>
      </c>
      <c r="BB30" s="51"/>
      <c r="BC30" s="51"/>
      <c r="BD30" s="51"/>
      <c r="BE30" s="51"/>
      <c r="BF30" s="51"/>
      <c r="BG30" s="51"/>
      <c r="BH30" s="51"/>
      <c r="BI30" s="51"/>
      <c r="BJ30" s="51"/>
      <c r="BK30" s="51"/>
      <c r="BL30" s="51"/>
      <c r="BM30" s="51"/>
      <c r="BN30" s="51"/>
      <c r="BO30" s="51"/>
      <c r="BP30" s="51"/>
      <c r="BQ30" s="51"/>
      <c r="BR30" s="51"/>
      <c r="BS30" s="51"/>
      <c r="BT30" s="51"/>
      <c r="BU30" s="51"/>
      <c r="BV30" s="53" t="b">
        <f aca="false">TRUE()</f>
        <v>1</v>
      </c>
      <c r="BW30" s="51"/>
      <c r="BX30" s="51" t="s">
        <v>224</v>
      </c>
      <c r="BY30" s="51"/>
      <c r="BZ30" s="51"/>
      <c r="CA30" s="51"/>
      <c r="CB30" s="51"/>
      <c r="CC30" s="51"/>
      <c r="CD30" s="51"/>
      <c r="CE30" s="51"/>
      <c r="CF30" s="51"/>
      <c r="CG30" s="51"/>
      <c r="CH30" s="51"/>
      <c r="CI30" s="51"/>
    </row>
    <row r="31" customFormat="false" ht="33.75" hidden="false" customHeight="false" outlineLevel="0" collapsed="false">
      <c r="A31" s="51"/>
      <c r="B31" s="51" t="n">
        <v>291861</v>
      </c>
      <c r="C31" s="55" t="s">
        <v>513</v>
      </c>
      <c r="D31" s="1" t="n">
        <f aca="false">DATEDIF($C$2, C31, "M")</f>
        <v>41</v>
      </c>
      <c r="E31" s="51" t="s">
        <v>514</v>
      </c>
      <c r="F31" s="53" t="b">
        <f aca="false">TRUE()</f>
        <v>1</v>
      </c>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t="s">
        <v>384</v>
      </c>
      <c r="AW31" s="51" t="s">
        <v>117</v>
      </c>
      <c r="AX31" s="51"/>
      <c r="AY31" s="51"/>
      <c r="AZ31" s="51"/>
      <c r="BA31" s="53" t="b">
        <f aca="false">TRUE()</f>
        <v>1</v>
      </c>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1"/>
      <c r="CA31" s="51"/>
      <c r="CB31" s="51"/>
      <c r="CC31" s="51"/>
      <c r="CD31" s="51"/>
      <c r="CE31" s="51"/>
      <c r="CF31" s="51"/>
      <c r="CG31" s="51"/>
      <c r="CH31" s="51"/>
      <c r="CI31" s="51"/>
    </row>
    <row r="32" customFormat="false" ht="51" hidden="false" customHeight="false" outlineLevel="0" collapsed="false">
      <c r="A32" s="51"/>
      <c r="B32" s="51" t="n">
        <v>291861</v>
      </c>
      <c r="C32" s="55" t="s">
        <v>515</v>
      </c>
      <c r="D32" s="1" t="n">
        <f aca="false">DATEDIF($C$2, C32, "M")</f>
        <v>43</v>
      </c>
      <c r="E32" s="51" t="s">
        <v>516</v>
      </c>
      <c r="F32" s="53" t="b">
        <f aca="false">TRUE()</f>
        <v>1</v>
      </c>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t="s">
        <v>384</v>
      </c>
      <c r="AW32" s="51" t="s">
        <v>268</v>
      </c>
      <c r="AX32" s="51"/>
      <c r="AY32" s="51"/>
      <c r="AZ32" s="51"/>
      <c r="BA32" s="53" t="b">
        <f aca="false">TRUE()</f>
        <v>1</v>
      </c>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1"/>
      <c r="CA32" s="51"/>
      <c r="CB32" s="51"/>
      <c r="CC32" s="51"/>
      <c r="CD32" s="51"/>
      <c r="CE32" s="51"/>
      <c r="CF32" s="51"/>
      <c r="CG32" s="51"/>
      <c r="CH32" s="51"/>
      <c r="CI32" s="51"/>
    </row>
    <row r="33" customFormat="false" ht="67.5" hidden="false" customHeight="false" outlineLevel="0" collapsed="false">
      <c r="A33" s="51"/>
      <c r="B33" s="51" t="n">
        <v>291861</v>
      </c>
      <c r="C33" s="55" t="s">
        <v>517</v>
      </c>
      <c r="D33" s="1" t="n">
        <f aca="false">DATEDIF($C$2, C33, "M")</f>
        <v>44</v>
      </c>
      <c r="E33" s="51" t="s">
        <v>518</v>
      </c>
      <c r="F33" s="53" t="b">
        <f aca="false">TRUE()</f>
        <v>1</v>
      </c>
      <c r="G33" s="51"/>
      <c r="H33" s="51"/>
      <c r="I33" s="5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t="s">
        <v>119</v>
      </c>
      <c r="BS33" s="51"/>
      <c r="BT33" s="51"/>
      <c r="BU33" s="51"/>
      <c r="BV33" s="51"/>
      <c r="BW33" s="51"/>
      <c r="BX33" s="51"/>
      <c r="BY33" s="51"/>
      <c r="BZ33" s="51"/>
      <c r="CA33" s="51"/>
      <c r="CB33" s="51"/>
      <c r="CC33" s="51"/>
      <c r="CD33" s="51"/>
      <c r="CE33" s="51"/>
      <c r="CF33" s="51"/>
      <c r="CG33" s="51"/>
      <c r="CH33" s="51"/>
      <c r="CI33" s="5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K18"/>
  <sheetViews>
    <sheetView showFormulas="false" showGridLines="true" showRowColHeaders="true" showZeros="true" rightToLeft="false" tabSelected="false" showOutlineSymbols="true" defaultGridColor="true" view="normal" topLeftCell="C1" colorId="64" zoomScale="42" zoomScaleNormal="42" zoomScalePageLayoutView="100" workbookViewId="0">
      <pane xSplit="4" ySplit="1" topLeftCell="G2" activePane="bottomRight" state="frozen"/>
      <selection pane="topLeft" activeCell="C1" activeCellId="0" sqref="C1"/>
      <selection pane="topRight" activeCell="G1" activeCellId="0" sqref="G1"/>
      <selection pane="bottomLeft" activeCell="C2" activeCellId="0" sqref="C2"/>
      <selection pane="bottomRight" activeCell="F2" activeCellId="0" sqref="F2"/>
    </sheetView>
  </sheetViews>
  <sheetFormatPr defaultColWidth="8.87109375" defaultRowHeight="15" zeroHeight="false" outlineLevelRow="0" outlineLevelCol="0"/>
  <cols>
    <col collapsed="false" customWidth="true" hidden="false" outlineLevel="0" max="6" min="6" style="0" width="20.16"/>
    <col collapsed="false" customWidth="true" hidden="false" outlineLevel="0" max="7" min="7" style="29" width="58.16"/>
    <col collapsed="false" customWidth="true" hidden="false" outlineLevel="0" max="8" min="8" style="0" width="15.16"/>
  </cols>
  <sheetData>
    <row r="1" s="59" customFormat="true" ht="168.65" hidden="false" customHeight="false" outlineLevel="0" collapsed="false">
      <c r="A1" s="56" t="s">
        <v>0</v>
      </c>
      <c r="B1" s="57" t="s">
        <v>1</v>
      </c>
      <c r="C1" s="57"/>
      <c r="D1" s="2" t="s">
        <v>1</v>
      </c>
      <c r="E1" s="57" t="s">
        <v>2</v>
      </c>
      <c r="F1" s="58" t="s">
        <v>3</v>
      </c>
      <c r="G1" s="58" t="s">
        <v>4</v>
      </c>
      <c r="H1" s="58" t="s">
        <v>5</v>
      </c>
      <c r="I1" s="6" t="s">
        <v>6</v>
      </c>
      <c r="J1" s="6" t="s">
        <v>7</v>
      </c>
      <c r="K1" s="6" t="s">
        <v>8</v>
      </c>
      <c r="L1" s="6" t="s">
        <v>9</v>
      </c>
      <c r="M1" s="6" t="s">
        <v>10</v>
      </c>
      <c r="N1" s="6" t="s">
        <v>11</v>
      </c>
      <c r="O1" s="6" t="s">
        <v>12</v>
      </c>
      <c r="P1" s="6" t="s">
        <v>13</v>
      </c>
      <c r="Q1" s="6" t="s">
        <v>14</v>
      </c>
      <c r="R1" s="6" t="s">
        <v>15</v>
      </c>
      <c r="S1" s="6" t="s">
        <v>16</v>
      </c>
      <c r="T1" s="6" t="s">
        <v>17</v>
      </c>
      <c r="U1" s="6" t="s">
        <v>18</v>
      </c>
      <c r="V1" s="6" t="s">
        <v>19</v>
      </c>
      <c r="W1" s="6" t="s">
        <v>20</v>
      </c>
      <c r="X1" s="6" t="s">
        <v>21</v>
      </c>
      <c r="Y1" s="6" t="s">
        <v>22</v>
      </c>
      <c r="Z1" s="6" t="s">
        <v>23</v>
      </c>
      <c r="AA1" s="6" t="s">
        <v>24</v>
      </c>
      <c r="AB1" s="6" t="s">
        <v>25</v>
      </c>
      <c r="AC1" s="6" t="s">
        <v>26</v>
      </c>
      <c r="AD1" s="6" t="s">
        <v>27</v>
      </c>
      <c r="AE1" s="6" t="s">
        <v>28</v>
      </c>
      <c r="AF1" s="6" t="s">
        <v>29</v>
      </c>
      <c r="AG1" s="6" t="s">
        <v>30</v>
      </c>
      <c r="AH1" s="6" t="s">
        <v>31</v>
      </c>
      <c r="AI1" s="6" t="s">
        <v>32</v>
      </c>
      <c r="AJ1" s="6" t="s">
        <v>33</v>
      </c>
      <c r="AK1" s="6" t="s">
        <v>34</v>
      </c>
      <c r="AL1" s="6" t="s">
        <v>35</v>
      </c>
      <c r="AM1" s="6" t="s">
        <v>36</v>
      </c>
      <c r="AN1" s="6" t="s">
        <v>37</v>
      </c>
      <c r="AO1" s="6" t="s">
        <v>38</v>
      </c>
      <c r="AP1" s="6" t="s">
        <v>39</v>
      </c>
      <c r="AQ1" s="6" t="s">
        <v>40</v>
      </c>
      <c r="AR1" s="6" t="s">
        <v>41</v>
      </c>
      <c r="AS1" s="6" t="s">
        <v>42</v>
      </c>
      <c r="AT1" s="6" t="s">
        <v>43</v>
      </c>
      <c r="AU1" s="6" t="s">
        <v>44</v>
      </c>
      <c r="AV1" s="6" t="s">
        <v>45</v>
      </c>
      <c r="AW1" s="6" t="s">
        <v>46</v>
      </c>
      <c r="AX1" s="6" t="s">
        <v>47</v>
      </c>
      <c r="AY1" s="6" t="s">
        <v>48</v>
      </c>
      <c r="AZ1" s="6" t="s">
        <v>49</v>
      </c>
      <c r="BA1" s="6" t="s">
        <v>50</v>
      </c>
      <c r="BB1" s="6" t="s">
        <v>51</v>
      </c>
      <c r="BC1" s="6" t="s">
        <v>52</v>
      </c>
      <c r="BD1" s="6" t="s">
        <v>53</v>
      </c>
      <c r="BE1" s="6" t="s">
        <v>54</v>
      </c>
      <c r="BF1" s="6" t="s">
        <v>55</v>
      </c>
      <c r="BG1" s="6" t="s">
        <v>56</v>
      </c>
      <c r="BH1" s="6" t="s">
        <v>57</v>
      </c>
      <c r="BI1" s="6" t="s">
        <v>58</v>
      </c>
      <c r="BJ1" s="6" t="s">
        <v>59</v>
      </c>
      <c r="BK1" s="6" t="s">
        <v>18</v>
      </c>
      <c r="BL1" s="6" t="s">
        <v>60</v>
      </c>
      <c r="BM1" s="6" t="s">
        <v>61</v>
      </c>
      <c r="BN1" s="6" t="s">
        <v>62</v>
      </c>
      <c r="BO1" s="6" t="s">
        <v>63</v>
      </c>
      <c r="BP1" s="6" t="s">
        <v>64</v>
      </c>
      <c r="BQ1" s="6" t="s">
        <v>65</v>
      </c>
      <c r="BR1" s="6" t="s">
        <v>66</v>
      </c>
      <c r="BS1" s="6" t="s">
        <v>67</v>
      </c>
      <c r="BT1" s="6" t="s">
        <v>68</v>
      </c>
      <c r="BU1" s="6" t="s">
        <v>69</v>
      </c>
      <c r="BV1" s="6" t="s">
        <v>70</v>
      </c>
      <c r="BW1" s="6" t="s">
        <v>71</v>
      </c>
      <c r="BX1" s="6" t="s">
        <v>72</v>
      </c>
      <c r="BY1" s="6" t="s">
        <v>73</v>
      </c>
      <c r="BZ1" s="6" t="s">
        <v>74</v>
      </c>
      <c r="CA1" s="6" t="s">
        <v>75</v>
      </c>
      <c r="CB1" s="6" t="s">
        <v>76</v>
      </c>
      <c r="CC1" s="6" t="s">
        <v>77</v>
      </c>
      <c r="CD1" s="6" t="s">
        <v>78</v>
      </c>
      <c r="CE1" s="6" t="s">
        <v>79</v>
      </c>
      <c r="CF1" s="6" t="s">
        <v>80</v>
      </c>
      <c r="CG1" s="6" t="s">
        <v>81</v>
      </c>
      <c r="CH1" s="6" t="s">
        <v>82</v>
      </c>
      <c r="CI1" s="6" t="s">
        <v>83</v>
      </c>
      <c r="CJ1" s="6" t="s">
        <v>84</v>
      </c>
      <c r="CK1" s="6" t="s">
        <v>85</v>
      </c>
    </row>
    <row r="2" customFormat="false" ht="171.6" hidden="false" customHeight="false" outlineLevel="0" collapsed="false">
      <c r="A2" s="60"/>
      <c r="B2" s="60" t="n">
        <v>283280</v>
      </c>
      <c r="C2" s="60"/>
      <c r="D2" s="60" t="n">
        <v>283280</v>
      </c>
      <c r="E2" s="60" t="s">
        <v>519</v>
      </c>
      <c r="F2" s="1" t="n">
        <f aca="false">DATEDIF($E$2, E2, "M")</f>
        <v>0</v>
      </c>
      <c r="G2" s="60" t="s">
        <v>520</v>
      </c>
      <c r="H2" s="61" t="b">
        <f aca="false">TRUE()</f>
        <v>1</v>
      </c>
      <c r="I2" s="60"/>
      <c r="J2" s="60"/>
      <c r="K2" s="60"/>
      <c r="L2" s="60"/>
      <c r="M2" s="60"/>
      <c r="N2" s="60"/>
      <c r="O2" s="60"/>
      <c r="P2" s="60"/>
      <c r="Q2" s="60"/>
      <c r="R2" s="60"/>
      <c r="S2" s="60"/>
      <c r="T2" s="60"/>
      <c r="U2" s="60"/>
      <c r="V2" s="60"/>
      <c r="W2" s="60"/>
      <c r="X2" s="60"/>
      <c r="Y2" s="60"/>
      <c r="Z2" s="60" t="s">
        <v>251</v>
      </c>
      <c r="AA2" s="60"/>
      <c r="AB2" s="60" t="s">
        <v>87</v>
      </c>
      <c r="AC2" s="60" t="s">
        <v>87</v>
      </c>
      <c r="AD2" s="60" t="s">
        <v>87</v>
      </c>
      <c r="AE2" s="60" t="s">
        <v>133</v>
      </c>
      <c r="AF2" s="60" t="n">
        <v>3</v>
      </c>
      <c r="AG2" s="60" t="n">
        <v>2</v>
      </c>
      <c r="AH2" s="60"/>
      <c r="AI2" s="60"/>
      <c r="AJ2" s="61" t="b">
        <f aca="false">TRUE()</f>
        <v>1</v>
      </c>
      <c r="AK2" s="60"/>
      <c r="AL2" s="60"/>
      <c r="AM2" s="60"/>
      <c r="AN2" s="60"/>
      <c r="AO2" s="60"/>
      <c r="AP2" s="60"/>
      <c r="AQ2" s="60"/>
      <c r="AR2" s="60"/>
      <c r="AS2" s="60"/>
      <c r="AT2" s="60" t="s">
        <v>521</v>
      </c>
      <c r="AU2" s="60"/>
      <c r="AV2" s="60"/>
      <c r="AW2" s="60"/>
      <c r="AX2" s="60"/>
      <c r="AY2" s="60"/>
      <c r="AZ2" s="60"/>
      <c r="BA2" s="60"/>
      <c r="BB2" s="60"/>
      <c r="BC2" s="60"/>
      <c r="BD2" s="60"/>
      <c r="BE2" s="60"/>
      <c r="BF2" s="60"/>
      <c r="BG2" s="60"/>
      <c r="BH2" s="60"/>
      <c r="BI2" s="60"/>
      <c r="BJ2" s="60"/>
      <c r="BK2" s="60"/>
      <c r="BL2" s="60"/>
      <c r="BM2" s="60"/>
      <c r="BN2" s="60"/>
      <c r="BO2" s="60"/>
      <c r="BP2" s="60"/>
      <c r="BQ2" s="60"/>
      <c r="BR2" s="60"/>
      <c r="BS2" s="60"/>
      <c r="BT2" s="60"/>
      <c r="BU2" s="60"/>
      <c r="BV2" s="60"/>
      <c r="BW2" s="60"/>
      <c r="BX2" s="60"/>
      <c r="BY2" s="60"/>
      <c r="BZ2" s="60"/>
      <c r="CA2" s="60"/>
      <c r="CB2" s="60"/>
      <c r="CC2" s="60"/>
      <c r="CD2" s="60"/>
      <c r="CE2" s="60"/>
      <c r="CF2" s="60"/>
      <c r="CG2" s="60"/>
      <c r="CH2" s="60"/>
      <c r="CI2" s="60"/>
      <c r="CJ2" s="60"/>
      <c r="CK2" s="60"/>
    </row>
    <row r="3" customFormat="false" ht="33.75" hidden="false" customHeight="false" outlineLevel="0" collapsed="false">
      <c r="A3" s="60"/>
      <c r="B3" s="60" t="n">
        <v>283280</v>
      </c>
      <c r="C3" s="60"/>
      <c r="D3" s="60" t="n">
        <v>283280</v>
      </c>
      <c r="E3" s="60" t="s">
        <v>522</v>
      </c>
      <c r="F3" s="1" t="n">
        <f aca="false">DATEDIF($E$2, E3, "M")</f>
        <v>0</v>
      </c>
      <c r="G3" s="60" t="s">
        <v>523</v>
      </c>
      <c r="H3" s="62" t="b">
        <f aca="false">TRUE()</f>
        <v>1</v>
      </c>
      <c r="I3" s="62" t="b">
        <f aca="false">TRUE()</f>
        <v>1</v>
      </c>
      <c r="J3" s="62" t="b">
        <f aca="false">TRUE()</f>
        <v>1</v>
      </c>
      <c r="K3" s="62" t="b">
        <f aca="false">TRUE()</f>
        <v>1</v>
      </c>
      <c r="L3" s="60"/>
      <c r="M3" s="60"/>
      <c r="N3" s="60"/>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t="s">
        <v>521</v>
      </c>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c r="CJ3" s="60"/>
      <c r="CK3" s="60"/>
    </row>
    <row r="4" customFormat="false" ht="102" hidden="false" customHeight="false" outlineLevel="0" collapsed="false">
      <c r="A4" s="60"/>
      <c r="B4" s="60" t="n">
        <v>283280</v>
      </c>
      <c r="C4" s="60"/>
      <c r="D4" s="60" t="n">
        <v>283280</v>
      </c>
      <c r="E4" s="60" t="s">
        <v>524</v>
      </c>
      <c r="F4" s="1" t="n">
        <f aca="false">DATEDIF($E$2, E4, "M")</f>
        <v>3</v>
      </c>
      <c r="G4" s="60" t="s">
        <v>525</v>
      </c>
      <c r="H4" s="62" t="b">
        <f aca="false">TRUE()</f>
        <v>1</v>
      </c>
      <c r="I4" s="60"/>
      <c r="J4" s="60"/>
      <c r="K4" s="60"/>
      <c r="L4" s="60"/>
      <c r="M4" s="62" t="b">
        <f aca="false">TRUE()</f>
        <v>1</v>
      </c>
      <c r="N4" s="60"/>
      <c r="O4" s="60"/>
      <c r="P4" s="60"/>
      <c r="Q4" s="60"/>
      <c r="R4" s="60"/>
      <c r="S4" s="60"/>
      <c r="T4" s="60"/>
      <c r="U4" s="60"/>
      <c r="V4" s="60"/>
      <c r="W4" s="60"/>
      <c r="X4" s="60"/>
      <c r="Y4" s="60"/>
      <c r="Z4" s="60"/>
      <c r="AA4" s="60"/>
      <c r="AB4" s="60"/>
      <c r="AC4" s="60"/>
      <c r="AD4" s="60"/>
      <c r="AE4" s="60"/>
      <c r="AF4" s="60"/>
      <c r="AG4" s="60"/>
      <c r="AH4" s="60"/>
      <c r="AI4" s="60"/>
      <c r="AJ4" s="62" t="b">
        <f aca="false">TRUE()</f>
        <v>1</v>
      </c>
      <c r="AK4" s="60"/>
      <c r="AL4" s="60"/>
      <c r="AM4" s="60"/>
      <c r="AN4" s="60" t="s">
        <v>89</v>
      </c>
      <c r="AO4" s="60"/>
      <c r="AP4" s="60"/>
      <c r="AQ4" s="60" t="s">
        <v>101</v>
      </c>
      <c r="AR4" s="60" t="s">
        <v>91</v>
      </c>
      <c r="AS4" s="60"/>
      <c r="AT4" s="60" t="s">
        <v>521</v>
      </c>
      <c r="AU4" s="60"/>
      <c r="AV4" s="60"/>
      <c r="AW4" s="60"/>
      <c r="AX4" s="60"/>
      <c r="AY4" s="60"/>
      <c r="AZ4" s="60"/>
      <c r="BA4" s="60"/>
      <c r="BB4" s="60"/>
      <c r="BC4" s="60"/>
      <c r="BD4" s="60"/>
      <c r="BE4" s="62" t="b">
        <f aca="false">TRUE()</f>
        <v>1</v>
      </c>
      <c r="BF4" s="60"/>
      <c r="BG4" s="60"/>
      <c r="BH4" s="62" t="b">
        <f aca="false">TRUE()</f>
        <v>1</v>
      </c>
      <c r="BI4" s="60"/>
      <c r="BJ4" s="60"/>
      <c r="BK4" s="60"/>
      <c r="BL4" s="60"/>
      <c r="BM4" s="60"/>
      <c r="BN4" s="60"/>
      <c r="BO4" s="60"/>
      <c r="BP4" s="60"/>
      <c r="BQ4" s="60"/>
      <c r="BR4" s="60"/>
      <c r="BS4" s="60"/>
      <c r="BT4" s="60"/>
      <c r="BU4" s="60"/>
      <c r="BV4" s="60"/>
      <c r="BW4" s="60"/>
      <c r="BX4" s="60"/>
      <c r="BY4" s="60"/>
      <c r="BZ4" s="60"/>
      <c r="CA4" s="60"/>
      <c r="CB4" s="60"/>
      <c r="CC4" s="60"/>
      <c r="CD4" s="60"/>
      <c r="CE4" s="60"/>
      <c r="CF4" s="60"/>
      <c r="CG4" s="60"/>
      <c r="CH4" s="60"/>
      <c r="CI4" s="60"/>
      <c r="CJ4" s="60"/>
      <c r="CK4" s="60"/>
    </row>
    <row r="5" customFormat="false" ht="72.35" hidden="false" customHeight="false" outlineLevel="0" collapsed="false">
      <c r="A5" s="60"/>
      <c r="B5" s="60" t="n">
        <v>283280</v>
      </c>
      <c r="C5" s="60"/>
      <c r="D5" s="60" t="n">
        <v>283280</v>
      </c>
      <c r="E5" s="60" t="s">
        <v>526</v>
      </c>
      <c r="F5" s="1" t="n">
        <f aca="false">DATEDIF($E$2, E5, "M")</f>
        <v>4</v>
      </c>
      <c r="G5" s="60" t="s">
        <v>527</v>
      </c>
      <c r="H5" s="62" t="b">
        <f aca="false">TRUE()</f>
        <v>1</v>
      </c>
      <c r="I5" s="60"/>
      <c r="J5" s="60"/>
      <c r="K5" s="60"/>
      <c r="L5" s="60"/>
      <c r="M5" s="60"/>
      <c r="N5" s="60"/>
      <c r="O5" s="60"/>
      <c r="P5" s="60"/>
      <c r="Q5" s="60"/>
      <c r="R5" s="60"/>
      <c r="S5" s="60"/>
      <c r="T5" s="60"/>
      <c r="U5" s="60"/>
      <c r="V5" s="60"/>
      <c r="W5" s="60"/>
      <c r="X5" s="60"/>
      <c r="Y5" s="60"/>
      <c r="Z5" s="60"/>
      <c r="AA5" s="60"/>
      <c r="AB5" s="60"/>
      <c r="AC5" s="60"/>
      <c r="AD5" s="60"/>
      <c r="AE5" s="60"/>
      <c r="AF5" s="60"/>
      <c r="AG5" s="60"/>
      <c r="AH5" s="60"/>
      <c r="AI5" s="60"/>
      <c r="AJ5" s="60"/>
      <c r="AK5" s="60"/>
      <c r="AL5" s="60"/>
      <c r="AM5" s="60"/>
      <c r="AN5" s="60"/>
      <c r="AO5" s="60"/>
      <c r="AP5" s="60"/>
      <c r="AQ5" s="60"/>
      <c r="AR5" s="60"/>
      <c r="AS5" s="60"/>
      <c r="AT5" s="60" t="s">
        <v>521</v>
      </c>
      <c r="AU5" s="60" t="s">
        <v>455</v>
      </c>
      <c r="AV5" s="60"/>
      <c r="AW5" s="60"/>
      <c r="AX5" s="60"/>
      <c r="AY5" s="60"/>
      <c r="AZ5" s="60"/>
      <c r="BA5" s="60"/>
      <c r="BB5" s="60"/>
      <c r="BC5" s="60"/>
      <c r="BD5" s="60"/>
      <c r="BE5" s="60"/>
      <c r="BF5" s="60"/>
      <c r="BG5" s="60"/>
      <c r="BH5" s="60"/>
      <c r="BI5" s="60"/>
      <c r="BJ5" s="60"/>
      <c r="BK5" s="60"/>
      <c r="BL5" s="60"/>
      <c r="BM5" s="60"/>
      <c r="BN5" s="60"/>
      <c r="BO5" s="60"/>
      <c r="BP5" s="60"/>
      <c r="BQ5" s="60"/>
      <c r="BR5" s="60"/>
      <c r="BS5" s="60"/>
      <c r="BT5" s="60"/>
      <c r="BU5" s="60"/>
      <c r="BV5" s="60"/>
      <c r="BW5" s="60"/>
      <c r="BX5" s="60"/>
      <c r="BY5" s="60"/>
      <c r="BZ5" s="60"/>
      <c r="CA5" s="60"/>
      <c r="CB5" s="60"/>
      <c r="CC5" s="60"/>
      <c r="CD5" s="60"/>
      <c r="CE5" s="60"/>
      <c r="CF5" s="60"/>
      <c r="CG5" s="60"/>
      <c r="CH5" s="60"/>
      <c r="CI5" s="60"/>
      <c r="CJ5" s="60"/>
      <c r="CK5" s="60"/>
    </row>
    <row r="6" customFormat="false" ht="72.35" hidden="false" customHeight="false" outlineLevel="0" collapsed="false">
      <c r="A6" s="60"/>
      <c r="B6" s="60" t="n">
        <v>283280</v>
      </c>
      <c r="C6" s="60"/>
      <c r="D6" s="60" t="n">
        <v>283280</v>
      </c>
      <c r="E6" s="60" t="s">
        <v>528</v>
      </c>
      <c r="F6" s="1" t="n">
        <f aca="false">DATEDIF($E$2, E6, "M")</f>
        <v>5</v>
      </c>
      <c r="G6" s="60" t="s">
        <v>529</v>
      </c>
      <c r="H6" s="62" t="b">
        <f aca="false">TRUE()</f>
        <v>1</v>
      </c>
      <c r="I6" s="60"/>
      <c r="J6" s="60"/>
      <c r="K6" s="60"/>
      <c r="L6" s="60"/>
      <c r="M6" s="60"/>
      <c r="N6" s="60"/>
      <c r="O6" s="62" t="b">
        <f aca="false">TRUE()</f>
        <v>1</v>
      </c>
      <c r="P6" s="60"/>
      <c r="Q6" s="60"/>
      <c r="R6" s="60"/>
      <c r="S6" s="60"/>
      <c r="T6" s="60"/>
      <c r="U6" s="60"/>
      <c r="V6" s="60"/>
      <c r="W6" s="60"/>
      <c r="X6" s="60"/>
      <c r="Y6" s="60"/>
      <c r="Z6" s="60"/>
      <c r="AA6" s="60"/>
      <c r="AB6" s="60"/>
      <c r="AC6" s="60"/>
      <c r="AD6" s="60"/>
      <c r="AE6" s="60"/>
      <c r="AF6" s="60"/>
      <c r="AG6" s="60"/>
      <c r="AH6" s="60"/>
      <c r="AI6" s="60"/>
      <c r="AJ6" s="60"/>
      <c r="AK6" s="60"/>
      <c r="AL6" s="60"/>
      <c r="AM6" s="60"/>
      <c r="AN6" s="60"/>
      <c r="AO6" s="60"/>
      <c r="AP6" s="60"/>
      <c r="AQ6" s="60" t="s">
        <v>101</v>
      </c>
      <c r="AR6" s="60" t="s">
        <v>91</v>
      </c>
      <c r="AS6" s="60" t="s">
        <v>96</v>
      </c>
      <c r="AT6" s="60" t="s">
        <v>131</v>
      </c>
      <c r="AU6" s="60" t="s">
        <v>455</v>
      </c>
      <c r="AV6" s="60"/>
      <c r="AW6" s="60"/>
      <c r="AX6" s="60"/>
      <c r="AY6" s="60"/>
      <c r="AZ6" s="60"/>
      <c r="BA6" s="60"/>
      <c r="BB6" s="60"/>
      <c r="BC6" s="60"/>
      <c r="BD6" s="60"/>
      <c r="BE6" s="62" t="b">
        <f aca="false">TRUE()</f>
        <v>1</v>
      </c>
      <c r="BF6" s="60"/>
      <c r="BG6" s="60"/>
      <c r="BH6" s="60"/>
      <c r="BI6" s="60"/>
      <c r="BJ6" s="60"/>
      <c r="BK6" s="60"/>
      <c r="BL6" s="60"/>
      <c r="BM6" s="60"/>
      <c r="BN6" s="60"/>
      <c r="BO6" s="60"/>
      <c r="BP6" s="60"/>
      <c r="BQ6" s="60"/>
      <c r="BR6" s="60"/>
      <c r="BS6" s="60"/>
      <c r="BT6" s="60"/>
      <c r="BU6" s="60"/>
      <c r="BV6" s="60"/>
      <c r="BW6" s="60"/>
      <c r="BX6" s="60"/>
      <c r="BY6" s="60"/>
      <c r="BZ6" s="60"/>
      <c r="CA6" s="60"/>
      <c r="CB6" s="60"/>
      <c r="CC6" s="60"/>
      <c r="CD6" s="60"/>
      <c r="CE6" s="60"/>
      <c r="CF6" s="60"/>
      <c r="CG6" s="60"/>
      <c r="CH6" s="60"/>
      <c r="CI6" s="60"/>
      <c r="CJ6" s="60"/>
      <c r="CK6" s="60"/>
    </row>
    <row r="7" customFormat="false" ht="118.5" hidden="false" customHeight="false" outlineLevel="0" collapsed="false">
      <c r="A7" s="60"/>
      <c r="B7" s="60" t="n">
        <v>283280</v>
      </c>
      <c r="C7" s="60"/>
      <c r="D7" s="60" t="n">
        <v>283280</v>
      </c>
      <c r="E7" s="60" t="s">
        <v>530</v>
      </c>
      <c r="F7" s="1" t="n">
        <f aca="false">DATEDIF($E$2, E7, "M")</f>
        <v>6</v>
      </c>
      <c r="G7" s="60" t="s">
        <v>531</v>
      </c>
      <c r="H7" s="62" t="b">
        <f aca="false">TRUE()</f>
        <v>1</v>
      </c>
      <c r="I7" s="60"/>
      <c r="J7" s="60"/>
      <c r="K7" s="60"/>
      <c r="L7" s="60"/>
      <c r="M7" s="60"/>
      <c r="N7" s="60"/>
      <c r="O7" s="60"/>
      <c r="P7" s="60"/>
      <c r="Q7" s="60"/>
      <c r="R7" s="60"/>
      <c r="S7" s="60"/>
      <c r="T7" s="60"/>
      <c r="U7" s="60"/>
      <c r="V7" s="60"/>
      <c r="W7" s="60"/>
      <c r="X7" s="60"/>
      <c r="Y7" s="60"/>
      <c r="Z7" s="60"/>
      <c r="AA7" s="60"/>
      <c r="AB7" s="60"/>
      <c r="AC7" s="60"/>
      <c r="AD7" s="60"/>
      <c r="AE7" s="60"/>
      <c r="AF7" s="60"/>
      <c r="AG7" s="60"/>
      <c r="AH7" s="60"/>
      <c r="AI7" s="60"/>
      <c r="AJ7" s="62" t="b">
        <f aca="false">TRUE()</f>
        <v>1</v>
      </c>
      <c r="AK7" s="60"/>
      <c r="AL7" s="60"/>
      <c r="AM7" s="60"/>
      <c r="AN7" s="60"/>
      <c r="AO7" s="62" t="b">
        <f aca="false">TRUE()</f>
        <v>1</v>
      </c>
      <c r="AP7" s="62" t="b">
        <f aca="false">TRUE()</f>
        <v>1</v>
      </c>
      <c r="AQ7" s="60" t="s">
        <v>101</v>
      </c>
      <c r="AR7" s="60" t="s">
        <v>152</v>
      </c>
      <c r="AS7" s="60" t="s">
        <v>101</v>
      </c>
      <c r="AT7" s="60" t="s">
        <v>532</v>
      </c>
      <c r="AU7" s="60" t="s">
        <v>455</v>
      </c>
      <c r="AV7" s="60"/>
      <c r="AW7" s="60"/>
      <c r="AX7" s="60"/>
      <c r="AY7" s="60"/>
      <c r="AZ7" s="60"/>
      <c r="BA7" s="60"/>
      <c r="BB7" s="60"/>
      <c r="BC7" s="60"/>
      <c r="BD7" s="60"/>
      <c r="BE7" s="62" t="b">
        <f aca="false">TRUE()</f>
        <v>1</v>
      </c>
      <c r="BF7" s="60"/>
      <c r="BG7" s="60"/>
      <c r="BH7" s="60"/>
      <c r="BI7" s="60"/>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60"/>
      <c r="CJ7" s="60"/>
      <c r="CK7" s="60"/>
    </row>
    <row r="8" customFormat="false" ht="33.75" hidden="false" customHeight="false" outlineLevel="0" collapsed="false">
      <c r="A8" s="60"/>
      <c r="B8" s="60" t="n">
        <v>283280</v>
      </c>
      <c r="C8" s="60"/>
      <c r="D8" s="60" t="n">
        <v>283280</v>
      </c>
      <c r="E8" s="60" t="s">
        <v>533</v>
      </c>
      <c r="F8" s="1" t="n">
        <f aca="false">DATEDIF($E$2, E8, "M")</f>
        <v>7</v>
      </c>
      <c r="G8" s="60" t="s">
        <v>534</v>
      </c>
      <c r="H8" s="61" t="b">
        <f aca="false">TRUE()</f>
        <v>1</v>
      </c>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1" t="b">
        <f aca="false">FALSE()</f>
        <v>0</v>
      </c>
      <c r="AP8" s="61" t="b">
        <f aca="false">TRUE()</f>
        <v>1</v>
      </c>
      <c r="AQ8" s="60" t="s">
        <v>101</v>
      </c>
      <c r="AR8" s="60" t="s">
        <v>152</v>
      </c>
      <c r="AS8" s="60" t="s">
        <v>96</v>
      </c>
      <c r="AT8" s="60" t="s">
        <v>164</v>
      </c>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row>
    <row r="9" customFormat="false" ht="51" hidden="false" customHeight="false" outlineLevel="0" collapsed="false">
      <c r="A9" s="60"/>
      <c r="B9" s="60" t="n">
        <v>283280</v>
      </c>
      <c r="C9" s="60"/>
      <c r="D9" s="60" t="n">
        <v>283280</v>
      </c>
      <c r="E9" s="60" t="s">
        <v>535</v>
      </c>
      <c r="F9" s="1" t="n">
        <f aca="false">DATEDIF($E$2, E9, "M")</f>
        <v>8</v>
      </c>
      <c r="G9" s="60" t="s">
        <v>536</v>
      </c>
      <c r="H9" s="61" t="b">
        <f aca="false">TRUE()</f>
        <v>1</v>
      </c>
      <c r="I9" s="60"/>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t="s">
        <v>537</v>
      </c>
      <c r="AP9" s="61" t="b">
        <f aca="false">FALSE()</f>
        <v>0</v>
      </c>
      <c r="AQ9" s="60" t="s">
        <v>101</v>
      </c>
      <c r="AR9" s="60" t="s">
        <v>152</v>
      </c>
      <c r="AS9" s="60" t="s">
        <v>96</v>
      </c>
      <c r="AT9" s="60" t="s">
        <v>164</v>
      </c>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c r="CH9" s="60"/>
      <c r="CI9" s="60"/>
      <c r="CJ9" s="60"/>
      <c r="CK9" s="60"/>
    </row>
    <row r="10" customFormat="false" ht="67.5" hidden="false" customHeight="false" outlineLevel="0" collapsed="false">
      <c r="A10" s="60"/>
      <c r="B10" s="60" t="n">
        <v>283280</v>
      </c>
      <c r="C10" s="60"/>
      <c r="D10" s="60" t="n">
        <v>283280</v>
      </c>
      <c r="E10" s="60" t="s">
        <v>538</v>
      </c>
      <c r="F10" s="1" t="n">
        <f aca="false">DATEDIF($E$2, E10, "M")</f>
        <v>8</v>
      </c>
      <c r="G10" s="60" t="s">
        <v>539</v>
      </c>
      <c r="H10" s="61" t="b">
        <f aca="false">TRUE()</f>
        <v>1</v>
      </c>
      <c r="I10" s="60"/>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1" t="b">
        <f aca="false">TRUE()</f>
        <v>1</v>
      </c>
      <c r="AP10" s="61" t="b">
        <f aca="false">TRUE()</f>
        <v>1</v>
      </c>
      <c r="AQ10" s="60" t="s">
        <v>96</v>
      </c>
      <c r="AR10" s="60" t="s">
        <v>164</v>
      </c>
      <c r="AS10" s="60" t="s">
        <v>122</v>
      </c>
      <c r="AT10" s="60" t="s">
        <v>97</v>
      </c>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c r="CH10" s="60"/>
      <c r="CI10" s="60"/>
      <c r="CJ10" s="60"/>
      <c r="CK10" s="60"/>
    </row>
    <row r="11" customFormat="false" ht="33.75" hidden="false" customHeight="false" outlineLevel="0" collapsed="false">
      <c r="A11" s="60"/>
      <c r="B11" s="60" t="n">
        <v>283280</v>
      </c>
      <c r="C11" s="60"/>
      <c r="D11" s="60" t="n">
        <v>283280</v>
      </c>
      <c r="E11" s="60" t="s">
        <v>540</v>
      </c>
      <c r="F11" s="1" t="n">
        <f aca="false">DATEDIF($E$2, E11, "M")</f>
        <v>10</v>
      </c>
      <c r="G11" s="60" t="s">
        <v>541</v>
      </c>
      <c r="H11" s="60" t="b">
        <f aca="false">TRUE()</f>
        <v>1</v>
      </c>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t="s">
        <v>113</v>
      </c>
      <c r="AH11" s="60"/>
      <c r="AI11" s="60"/>
      <c r="AJ11" s="60"/>
      <c r="AK11" s="60"/>
      <c r="AL11" s="60"/>
      <c r="AM11" s="60"/>
      <c r="AN11" s="60"/>
      <c r="AO11" s="61" t="b">
        <f aca="false">TRUE()</f>
        <v>1</v>
      </c>
      <c r="AP11" s="61" t="b">
        <f aca="false">FALSE()</f>
        <v>0</v>
      </c>
      <c r="AQ11" s="60" t="s">
        <v>122</v>
      </c>
      <c r="AR11" s="60" t="s">
        <v>97</v>
      </c>
      <c r="AS11" s="60" t="s">
        <v>122</v>
      </c>
      <c r="AT11" s="60" t="s">
        <v>97</v>
      </c>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2" t="b">
        <f aca="false">TRUE()</f>
        <v>1</v>
      </c>
      <c r="CB11" s="61" t="b">
        <f aca="false">TRUE()</f>
        <v>1</v>
      </c>
      <c r="CC11" s="60"/>
      <c r="CD11" s="60"/>
      <c r="CE11" s="60"/>
      <c r="CF11" s="60"/>
      <c r="CG11" s="60"/>
      <c r="CH11" s="60"/>
      <c r="CI11" s="60"/>
      <c r="CJ11" s="60"/>
      <c r="CK11" s="60"/>
    </row>
    <row r="12" customFormat="false" ht="102" hidden="false" customHeight="false" outlineLevel="0" collapsed="false">
      <c r="A12" s="60"/>
      <c r="B12" s="60" t="n">
        <v>283280</v>
      </c>
      <c r="C12" s="60"/>
      <c r="D12" s="60" t="n">
        <v>283280</v>
      </c>
      <c r="E12" s="60" t="s">
        <v>542</v>
      </c>
      <c r="F12" s="1" t="n">
        <f aca="false">DATEDIF($E$2, E12, "M")</f>
        <v>11</v>
      </c>
      <c r="G12" s="60" t="s">
        <v>543</v>
      </c>
      <c r="H12" s="60" t="b">
        <f aca="false">TRUE()</f>
        <v>1</v>
      </c>
      <c r="I12" s="60"/>
      <c r="J12" s="60"/>
      <c r="K12" s="60"/>
      <c r="L12" s="60"/>
      <c r="M12" s="60"/>
      <c r="N12" s="60"/>
      <c r="O12" s="60"/>
      <c r="P12" s="60"/>
      <c r="Q12" s="61" t="b">
        <f aca="false">TRUE()</f>
        <v>1</v>
      </c>
      <c r="R12" s="60"/>
      <c r="S12" s="61" t="b">
        <f aca="false">TRUE()</f>
        <v>1</v>
      </c>
      <c r="T12" s="60"/>
      <c r="U12" s="60"/>
      <c r="V12" s="60"/>
      <c r="W12" s="60"/>
      <c r="X12" s="60"/>
      <c r="Y12" s="60"/>
      <c r="Z12" s="60"/>
      <c r="AA12" s="60"/>
      <c r="AB12" s="60" t="s">
        <v>133</v>
      </c>
      <c r="AC12" s="60" t="s">
        <v>133</v>
      </c>
      <c r="AD12" s="60" t="s">
        <v>133</v>
      </c>
      <c r="AE12" s="60" t="s">
        <v>133</v>
      </c>
      <c r="AF12" s="60"/>
      <c r="AG12" s="60" t="s">
        <v>113</v>
      </c>
      <c r="AH12" s="60"/>
      <c r="AI12" s="60"/>
      <c r="AJ12" s="60"/>
      <c r="AK12" s="60"/>
      <c r="AL12" s="60"/>
      <c r="AM12" s="60"/>
      <c r="AN12" s="60"/>
      <c r="AO12" s="61" t="b">
        <f aca="false">FALSE()</f>
        <v>0</v>
      </c>
      <c r="AP12" s="61" t="b">
        <f aca="false">FALSE()</f>
        <v>0</v>
      </c>
      <c r="AQ12" s="60" t="s">
        <v>122</v>
      </c>
      <c r="AR12" s="60" t="s">
        <v>97</v>
      </c>
      <c r="AS12" s="60" t="s">
        <v>122</v>
      </c>
      <c r="AT12" s="60" t="s">
        <v>97</v>
      </c>
      <c r="AU12" s="60" t="s">
        <v>168</v>
      </c>
      <c r="AV12" s="60" t="s">
        <v>150</v>
      </c>
      <c r="AW12" s="60" t="s">
        <v>206</v>
      </c>
      <c r="AX12" s="60" t="s">
        <v>150</v>
      </c>
      <c r="AY12" s="60" t="s">
        <v>206</v>
      </c>
      <c r="AZ12" s="60"/>
      <c r="BA12" s="61" t="b">
        <f aca="false">TRUE()</f>
        <v>1</v>
      </c>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2" t="b">
        <f aca="false">TRUE()</f>
        <v>1</v>
      </c>
      <c r="CC12" s="60"/>
      <c r="CD12" s="60"/>
      <c r="CE12" s="60"/>
      <c r="CF12" s="60"/>
      <c r="CG12" s="60"/>
      <c r="CH12" s="60"/>
      <c r="CI12" s="60"/>
      <c r="CJ12" s="60"/>
      <c r="CK12" s="60"/>
    </row>
    <row r="13" customFormat="false" ht="51" hidden="false" customHeight="false" outlineLevel="0" collapsed="false">
      <c r="A13" s="60"/>
      <c r="B13" s="60" t="n">
        <v>283280</v>
      </c>
      <c r="C13" s="60"/>
      <c r="D13" s="60" t="n">
        <v>283280</v>
      </c>
      <c r="E13" s="60" t="s">
        <v>544</v>
      </c>
      <c r="F13" s="1" t="n">
        <f aca="false">DATEDIF($E$2, E13, "M")</f>
        <v>12</v>
      </c>
      <c r="G13" s="60" t="s">
        <v>545</v>
      </c>
      <c r="H13" s="60" t="b">
        <f aca="false">TRUE()</f>
        <v>1</v>
      </c>
      <c r="I13" s="60"/>
      <c r="J13" s="60"/>
      <c r="K13" s="60"/>
      <c r="L13" s="60"/>
      <c r="M13" s="60"/>
      <c r="N13" s="60"/>
      <c r="O13" s="60"/>
      <c r="P13" s="60"/>
      <c r="Q13" s="61" t="b">
        <f aca="false">TRUE()</f>
        <v>1</v>
      </c>
      <c r="R13" s="60"/>
      <c r="S13" s="61" t="b">
        <f aca="false">TRUE()</f>
        <v>1</v>
      </c>
      <c r="T13" s="60"/>
      <c r="U13" s="60"/>
      <c r="V13" s="60"/>
      <c r="W13" s="60"/>
      <c r="X13" s="60"/>
      <c r="Y13" s="60"/>
      <c r="Z13" s="60"/>
      <c r="AA13" s="60"/>
      <c r="AB13" s="60"/>
      <c r="AC13" s="60"/>
      <c r="AD13" s="60"/>
      <c r="AE13" s="60"/>
      <c r="AF13" s="60"/>
      <c r="AG13" s="60" t="s">
        <v>113</v>
      </c>
      <c r="AH13" s="60"/>
      <c r="AI13" s="60"/>
      <c r="AJ13" s="60"/>
      <c r="AK13" s="60"/>
      <c r="AL13" s="60"/>
      <c r="AM13" s="60"/>
      <c r="AN13" s="60"/>
      <c r="AO13" s="62" t="b">
        <f aca="false">FALSE()</f>
        <v>0</v>
      </c>
      <c r="AP13" s="62" t="b">
        <f aca="false">FALSE()</f>
        <v>0</v>
      </c>
      <c r="AQ13" s="60" t="s">
        <v>122</v>
      </c>
      <c r="AR13" s="60" t="s">
        <v>97</v>
      </c>
      <c r="AS13" s="60" t="s">
        <v>122</v>
      </c>
      <c r="AT13" s="60" t="s">
        <v>97</v>
      </c>
      <c r="AU13" s="60" t="s">
        <v>168</v>
      </c>
      <c r="AV13" s="60" t="s">
        <v>150</v>
      </c>
      <c r="AW13" s="60" t="s">
        <v>206</v>
      </c>
      <c r="AX13" s="60" t="s">
        <v>150</v>
      </c>
      <c r="AY13" s="60" t="s">
        <v>206</v>
      </c>
      <c r="AZ13" s="60"/>
      <c r="BA13" s="61" t="b">
        <f aca="false">TRUE()</f>
        <v>1</v>
      </c>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2" t="b">
        <f aca="false">TRUE()</f>
        <v>1</v>
      </c>
      <c r="CC13" s="60"/>
      <c r="CD13" s="60"/>
      <c r="CE13" s="60"/>
      <c r="CF13" s="60"/>
      <c r="CG13" s="60"/>
      <c r="CH13" s="60"/>
      <c r="CI13" s="60"/>
      <c r="CJ13" s="60"/>
      <c r="CK13" s="60"/>
    </row>
    <row r="14" customFormat="false" ht="29.85" hidden="false" customHeight="false" outlineLevel="0" collapsed="false">
      <c r="A14" s="60"/>
      <c r="B14" s="60" t="n">
        <v>283280</v>
      </c>
      <c r="C14" s="60"/>
      <c r="D14" s="60" t="n">
        <v>283280</v>
      </c>
      <c r="E14" s="60" t="s">
        <v>546</v>
      </c>
      <c r="F14" s="1" t="n">
        <f aca="false">DATEDIF($E$2, E14, "M")</f>
        <v>14</v>
      </c>
      <c r="G14" s="60" t="s">
        <v>547</v>
      </c>
      <c r="H14" s="60" t="b">
        <f aca="false">TRUE()</f>
        <v>1</v>
      </c>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1" t="b">
        <f aca="false">TRUE()</f>
        <v>1</v>
      </c>
      <c r="AN14" s="60"/>
      <c r="AO14" s="62" t="b">
        <f aca="false">FALSE()</f>
        <v>0</v>
      </c>
      <c r="AP14" s="62" t="b">
        <f aca="false">FALSE()</f>
        <v>0</v>
      </c>
      <c r="AQ14" s="60" t="s">
        <v>122</v>
      </c>
      <c r="AR14" s="60" t="s">
        <v>97</v>
      </c>
      <c r="AS14" s="60" t="s">
        <v>122</v>
      </c>
      <c r="AT14" s="60" t="s">
        <v>97</v>
      </c>
      <c r="AU14" s="60"/>
      <c r="AV14" s="60" t="s">
        <v>150</v>
      </c>
      <c r="AW14" s="60" t="s">
        <v>206</v>
      </c>
      <c r="AX14" s="60" t="s">
        <v>150</v>
      </c>
      <c r="AY14" s="60" t="s">
        <v>206</v>
      </c>
      <c r="AZ14" s="60"/>
      <c r="BA14" s="61" t="b">
        <f aca="false">TRUE()</f>
        <v>1</v>
      </c>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60"/>
      <c r="CJ14" s="60"/>
      <c r="CK14" s="60"/>
    </row>
    <row r="15" customFormat="false" ht="29.85" hidden="false" customHeight="false" outlineLevel="0" collapsed="false">
      <c r="A15" s="60"/>
      <c r="B15" s="60" t="n">
        <v>283280</v>
      </c>
      <c r="C15" s="60"/>
      <c r="D15" s="60" t="n">
        <v>283280</v>
      </c>
      <c r="E15" s="60" t="s">
        <v>548</v>
      </c>
      <c r="F15" s="1" t="n">
        <f aca="false">DATEDIF($E$2, E15, "M")</f>
        <v>14</v>
      </c>
      <c r="G15" s="60" t="s">
        <v>547</v>
      </c>
      <c r="H15" s="60" t="b">
        <f aca="false">TRUE()</f>
        <v>1</v>
      </c>
      <c r="I15" s="60"/>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1" t="b">
        <f aca="false">TRUE()</f>
        <v>1</v>
      </c>
      <c r="AN15" s="60"/>
      <c r="AO15" s="62" t="b">
        <f aca="false">FALSE()</f>
        <v>0</v>
      </c>
      <c r="AP15" s="62" t="b">
        <f aca="false">FALSE()</f>
        <v>0</v>
      </c>
      <c r="AQ15" s="60" t="s">
        <v>122</v>
      </c>
      <c r="AR15" s="60" t="s">
        <v>97</v>
      </c>
      <c r="AS15" s="60" t="s">
        <v>122</v>
      </c>
      <c r="AT15" s="60" t="s">
        <v>97</v>
      </c>
      <c r="AU15" s="60"/>
      <c r="AV15" s="60" t="s">
        <v>150</v>
      </c>
      <c r="AW15" s="60" t="s">
        <v>206</v>
      </c>
      <c r="AX15" s="60" t="s">
        <v>150</v>
      </c>
      <c r="AY15" s="60" t="s">
        <v>206</v>
      </c>
      <c r="AZ15" s="60"/>
      <c r="BA15" s="62" t="b">
        <f aca="false">TRUE()</f>
        <v>1</v>
      </c>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60"/>
      <c r="CJ15" s="60"/>
      <c r="CK15" s="60"/>
    </row>
    <row r="16" customFormat="false" ht="44" hidden="false" customHeight="false" outlineLevel="0" collapsed="false">
      <c r="A16" s="60"/>
      <c r="B16" s="60" t="n">
        <v>283280</v>
      </c>
      <c r="C16" s="60"/>
      <c r="D16" s="60" t="n">
        <v>283280</v>
      </c>
      <c r="E16" s="60" t="s">
        <v>549</v>
      </c>
      <c r="F16" s="1" t="n">
        <f aca="false">DATEDIF($E$2, E16, "M")</f>
        <v>14</v>
      </c>
      <c r="G16" s="60" t="s">
        <v>550</v>
      </c>
      <c r="H16" s="60" t="b">
        <f aca="false">TRUE()</f>
        <v>1</v>
      </c>
      <c r="I16" s="61" t="b">
        <f aca="false">TRUE()</f>
        <v>1</v>
      </c>
      <c r="J16" s="61" t="b">
        <f aca="false">TRUE()</f>
        <v>1</v>
      </c>
      <c r="K16" s="61" t="b">
        <f aca="false">TRUE()</f>
        <v>1</v>
      </c>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t="s">
        <v>521</v>
      </c>
      <c r="AU16" s="60"/>
      <c r="AV16" s="60"/>
      <c r="AW16" s="60"/>
      <c r="AX16" s="60"/>
      <c r="AY16" s="60"/>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t="s">
        <v>138</v>
      </c>
      <c r="BZ16" s="60" t="s">
        <v>138</v>
      </c>
      <c r="CA16" s="60"/>
      <c r="CB16" s="60"/>
      <c r="CC16" s="60"/>
      <c r="CD16" s="60"/>
      <c r="CE16" s="60"/>
      <c r="CF16" s="60"/>
      <c r="CG16" s="60"/>
      <c r="CH16" s="61" t="b">
        <f aca="false">TRUE()</f>
        <v>1</v>
      </c>
      <c r="CI16" s="61" t="b">
        <f aca="false">TRUE()</f>
        <v>1</v>
      </c>
      <c r="CJ16" s="60"/>
      <c r="CK16" s="60"/>
    </row>
    <row r="17" customFormat="false" ht="44" hidden="false" customHeight="false" outlineLevel="0" collapsed="false">
      <c r="A17" s="60"/>
      <c r="B17" s="60" t="n">
        <v>283280</v>
      </c>
      <c r="C17" s="60"/>
      <c r="D17" s="60" t="n">
        <v>283280</v>
      </c>
      <c r="E17" s="60" t="s">
        <v>551</v>
      </c>
      <c r="F17" s="1" t="n">
        <f aca="false">DATEDIF($E$2, E17, "M")</f>
        <v>15</v>
      </c>
      <c r="G17" s="60" t="s">
        <v>552</v>
      </c>
      <c r="H17" s="60" t="b">
        <f aca="false">TRUE()</f>
        <v>1</v>
      </c>
      <c r="I17" s="60"/>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t="s">
        <v>521</v>
      </c>
      <c r="AU17" s="60"/>
      <c r="AV17" s="60"/>
      <c r="AW17" s="60"/>
      <c r="AX17" s="60"/>
      <c r="AY17" s="60"/>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t="s">
        <v>138</v>
      </c>
      <c r="BZ17" s="60" t="s">
        <v>138</v>
      </c>
      <c r="CA17" s="60"/>
      <c r="CB17" s="60"/>
      <c r="CC17" s="60"/>
      <c r="CD17" s="60"/>
      <c r="CE17" s="60"/>
      <c r="CF17" s="60"/>
      <c r="CG17" s="60"/>
      <c r="CH17" s="60"/>
      <c r="CI17" s="60"/>
      <c r="CJ17" s="61" t="b">
        <f aca="false">TRUE()</f>
        <v>1</v>
      </c>
      <c r="CK17" s="60"/>
    </row>
    <row r="18" customFormat="false" ht="44" hidden="false" customHeight="false" outlineLevel="0" collapsed="false">
      <c r="A18" s="60"/>
      <c r="B18" s="60" t="n">
        <v>283280</v>
      </c>
      <c r="C18" s="60"/>
      <c r="D18" s="60" t="n">
        <v>283280</v>
      </c>
      <c r="E18" s="60" t="s">
        <v>553</v>
      </c>
      <c r="F18" s="1" t="n">
        <f aca="false">DATEDIF($E$2, E18, "M")</f>
        <v>16</v>
      </c>
      <c r="G18" s="60" t="s">
        <v>554</v>
      </c>
      <c r="H18" s="60" t="b">
        <f aca="false">TRUE()</f>
        <v>1</v>
      </c>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t="s">
        <v>521</v>
      </c>
      <c r="AU18" s="60"/>
      <c r="AV18" s="60"/>
      <c r="AW18" s="60"/>
      <c r="AX18" s="60"/>
      <c r="AY18" s="60"/>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t="s">
        <v>138</v>
      </c>
      <c r="BZ18" s="60" t="s">
        <v>138</v>
      </c>
      <c r="CA18" s="60"/>
      <c r="CB18" s="60"/>
      <c r="CC18" s="60"/>
      <c r="CD18" s="60"/>
      <c r="CE18" s="60"/>
      <c r="CF18" s="60"/>
      <c r="CG18" s="60"/>
      <c r="CH18" s="60"/>
      <c r="CI18" s="60"/>
      <c r="CJ18" s="61" t="b">
        <f aca="false">TRUE()</f>
        <v>1</v>
      </c>
      <c r="CK18" s="60"/>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36"/>
  <sheetViews>
    <sheetView showFormulas="false" showGridLines="true" showRowColHeaders="true" showZeros="true" rightToLeft="false" tabSelected="true" showOutlineSymbols="true" defaultGridColor="true" view="normal" topLeftCell="A1" colorId="64" zoomScale="42" zoomScaleNormal="42" zoomScalePageLayoutView="100" workbookViewId="0">
      <pane xSplit="6" ySplit="1" topLeftCell="AR2" activePane="bottomRight" state="frozen"/>
      <selection pane="topLeft" activeCell="A1" activeCellId="0" sqref="A1"/>
      <selection pane="topRight" activeCell="AR1" activeCellId="0" sqref="AR1"/>
      <selection pane="bottomLeft" activeCell="A2" activeCellId="0" sqref="A2"/>
      <selection pane="bottomRight" activeCell="BC21" activeCellId="0" sqref="BC21"/>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72.16"/>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false" hidden="false" outlineLevel="0" max="17" min="17" style="1" width="10.83"/>
    <col collapsed="false" customWidth="true" hidden="false" outlineLevel="0" max="18" min="18" style="1" width="19.83"/>
    <col collapsed="false" customWidth="false" hidden="false" outlineLevel="0" max="19" min="19" style="1" width="10.83"/>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3" min="50" style="1" width="10.83"/>
    <col collapsed="false" customWidth="true" hidden="false" outlineLevel="0" max="54" min="54" style="1" width="18.33"/>
    <col collapsed="false" customWidth="false" hidden="false" outlineLevel="0" max="56" min="55" style="1" width="10.83"/>
    <col collapsed="false" customWidth="true" hidden="false" outlineLevel="0" max="57" min="57" style="1" width="19.33"/>
    <col collapsed="false" customWidth="true" hidden="false" outlineLevel="0" max="58" min="58" style="1" width="16.16"/>
    <col collapsed="false" customWidth="false" hidden="false" outlineLevel="0" max="61" min="59" style="1" width="10.83"/>
    <col collapsed="false" customWidth="true" hidden="false" outlineLevel="0" max="62" min="62" style="1" width="21.34"/>
    <col collapsed="false" customWidth="true" hidden="false" outlineLevel="0" max="63" min="63" style="1" width="21.16"/>
    <col collapsed="false" customWidth="false" hidden="false" outlineLevel="0" max="65" min="64" style="1" width="10.83"/>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29.1" hidden="false" customHeight="false" outlineLevel="0" collapsed="false">
      <c r="B2" s="1" t="n">
        <v>301242</v>
      </c>
      <c r="C2" s="60" t="s">
        <v>555</v>
      </c>
      <c r="D2" s="60" t="n">
        <f aca="false">DATEDIF($C$2, C2, "M")</f>
        <v>0</v>
      </c>
      <c r="E2" s="60" t="s">
        <v>556</v>
      </c>
      <c r="F2" s="27" t="b">
        <f aca="false">TRUE()</f>
        <v>1</v>
      </c>
      <c r="G2" s="27" t="b">
        <f aca="false">TRUE()</f>
        <v>1</v>
      </c>
      <c r="H2" s="27" t="b">
        <f aca="false">TRUE()</f>
        <v>1</v>
      </c>
      <c r="I2" s="27" t="b">
        <f aca="false">TRUE()</f>
        <v>1</v>
      </c>
      <c r="Z2" s="1" t="s">
        <v>87</v>
      </c>
      <c r="AA2" s="1" t="s">
        <v>87</v>
      </c>
      <c r="AB2" s="1" t="s">
        <v>87</v>
      </c>
      <c r="AC2" s="1" t="s">
        <v>87</v>
      </c>
      <c r="AD2" s="30" t="s">
        <v>112</v>
      </c>
      <c r="AE2" s="30" t="s">
        <v>113</v>
      </c>
    </row>
    <row r="3" customFormat="false" ht="129.1" hidden="false" customHeight="false" outlineLevel="0" collapsed="false">
      <c r="B3" s="1" t="n">
        <v>301242</v>
      </c>
      <c r="C3" s="60" t="s">
        <v>557</v>
      </c>
      <c r="D3" s="60" t="n">
        <f aca="false">DATEDIF($C$2, C3, "M")</f>
        <v>20</v>
      </c>
      <c r="E3" s="60" t="s">
        <v>558</v>
      </c>
      <c r="F3" s="27" t="b">
        <f aca="false">TRUE()</f>
        <v>1</v>
      </c>
      <c r="K3" s="27" t="b">
        <f aca="false">TRUE()</f>
        <v>1</v>
      </c>
      <c r="M3" s="27" t="b">
        <f aca="false">TRUE()</f>
        <v>1</v>
      </c>
      <c r="AD3" s="30"/>
      <c r="AE3" s="30"/>
      <c r="AL3" s="1" t="s">
        <v>89</v>
      </c>
      <c r="AO3" s="1" t="s">
        <v>96</v>
      </c>
      <c r="AP3" s="1" t="s">
        <v>91</v>
      </c>
      <c r="AQ3" s="1" t="s">
        <v>96</v>
      </c>
      <c r="AR3" s="1" t="s">
        <v>91</v>
      </c>
      <c r="BC3" s="27" t="b">
        <f aca="false">TRUE()</f>
        <v>1</v>
      </c>
    </row>
    <row r="4" customFormat="false" ht="84.75" hidden="false" customHeight="false" outlineLevel="0" collapsed="false">
      <c r="B4" s="1" t="n">
        <v>301242</v>
      </c>
      <c r="C4" s="60" t="s">
        <v>559</v>
      </c>
      <c r="D4" s="60" t="n">
        <f aca="false">DATEDIF($C$2, C4, "M")</f>
        <v>20</v>
      </c>
      <c r="E4" s="60" t="s">
        <v>560</v>
      </c>
      <c r="F4" s="27" t="b">
        <f aca="false">TRUE()</f>
        <v>1</v>
      </c>
      <c r="T4" s="27" t="b">
        <f aca="false">TRUE()</f>
        <v>1</v>
      </c>
      <c r="Y4" s="1" t="s">
        <v>502</v>
      </c>
      <c r="AD4" s="30"/>
      <c r="AE4" s="30"/>
    </row>
    <row r="5" customFormat="false" ht="15.65" hidden="false" customHeight="false" outlineLevel="0" collapsed="false">
      <c r="B5" s="1" t="n">
        <v>301242</v>
      </c>
      <c r="C5" s="60" t="s">
        <v>561</v>
      </c>
      <c r="D5" s="60" t="n">
        <f aca="false">DATEDIF($C$2, C5, "M")</f>
        <v>22</v>
      </c>
      <c r="E5" s="60" t="s">
        <v>562</v>
      </c>
      <c r="F5" s="27" t="b">
        <f aca="false">TRUE()</f>
        <v>1</v>
      </c>
      <c r="O5" s="27" t="b">
        <f aca="false">TRUE()</f>
        <v>1</v>
      </c>
      <c r="AD5" s="30"/>
      <c r="AE5" s="30"/>
      <c r="AM5" s="27" t="b">
        <f aca="false">TRUE()</f>
        <v>1</v>
      </c>
      <c r="AN5" s="27" t="b">
        <f aca="false">FALSE()</f>
        <v>0</v>
      </c>
      <c r="AO5" s="1" t="s">
        <v>96</v>
      </c>
      <c r="AP5" s="1" t="s">
        <v>152</v>
      </c>
      <c r="AQ5" s="1" t="s">
        <v>96</v>
      </c>
      <c r="AR5" s="1" t="s">
        <v>91</v>
      </c>
      <c r="AS5" s="1" t="s">
        <v>102</v>
      </c>
      <c r="BC5" s="27" t="b">
        <f aca="false">TRUE()</f>
        <v>1</v>
      </c>
    </row>
    <row r="6" customFormat="false" ht="15.65" hidden="false" customHeight="false" outlineLevel="0" collapsed="false">
      <c r="B6" s="1" t="n">
        <v>301242</v>
      </c>
      <c r="C6" s="60" t="s">
        <v>563</v>
      </c>
      <c r="D6" s="60" t="n">
        <f aca="false">DATEDIF($C$2, C6, "M")</f>
        <v>23</v>
      </c>
      <c r="E6" s="60" t="s">
        <v>564</v>
      </c>
      <c r="F6" s="27" t="b">
        <f aca="false">TRUE()</f>
        <v>1</v>
      </c>
      <c r="AD6" s="30"/>
      <c r="AE6" s="30"/>
      <c r="AN6" s="27" t="b">
        <f aca="false">TRUE()</f>
        <v>1</v>
      </c>
      <c r="AQ6" s="1" t="s">
        <v>96</v>
      </c>
      <c r="AR6" s="1" t="s">
        <v>565</v>
      </c>
    </row>
    <row r="7" customFormat="false" ht="33.75" hidden="false" customHeight="false" outlineLevel="0" collapsed="false">
      <c r="B7" s="1" t="n">
        <v>301242</v>
      </c>
      <c r="C7" s="60" t="s">
        <v>566</v>
      </c>
      <c r="D7" s="60" t="n">
        <f aca="false">DATEDIF($C$2, C7, "M")</f>
        <v>23</v>
      </c>
      <c r="E7" s="60" t="s">
        <v>567</v>
      </c>
      <c r="F7" s="27" t="b">
        <f aca="false">TRUE()</f>
        <v>1</v>
      </c>
      <c r="AD7" s="30"/>
      <c r="AE7" s="30"/>
      <c r="AM7" s="27" t="b">
        <f aca="false">TRUE()</f>
        <v>1</v>
      </c>
      <c r="AN7" s="36" t="b">
        <f aca="false">FALSE()</f>
        <v>0</v>
      </c>
      <c r="AO7" s="1" t="s">
        <v>96</v>
      </c>
      <c r="AP7" s="30" t="s">
        <v>160</v>
      </c>
      <c r="AQ7" s="1" t="s">
        <v>96</v>
      </c>
      <c r="AR7" s="1" t="s">
        <v>565</v>
      </c>
      <c r="BT7" s="27" t="b">
        <f aca="false">TRUE()</f>
        <v>1</v>
      </c>
      <c r="BU7" s="26" t="s">
        <v>153</v>
      </c>
      <c r="BV7" s="27" t="b">
        <f aca="false">TRUE()</f>
        <v>1</v>
      </c>
    </row>
    <row r="8" customFormat="false" ht="16.5" hidden="false" customHeight="false" outlineLevel="0" collapsed="false">
      <c r="B8" s="1" t="n">
        <v>301242</v>
      </c>
      <c r="C8" s="60" t="s">
        <v>568</v>
      </c>
      <c r="D8" s="60" t="n">
        <f aca="false">DATEDIF($C$2, C8, "M")</f>
        <v>24</v>
      </c>
      <c r="E8" s="60" t="s">
        <v>569</v>
      </c>
      <c r="F8" s="27" t="b">
        <f aca="false">TRUE()</f>
        <v>1</v>
      </c>
      <c r="AD8" s="30"/>
      <c r="AE8" s="30"/>
      <c r="AM8" s="36" t="b">
        <f aca="false">FALSE()</f>
        <v>0</v>
      </c>
      <c r="AN8" s="36" t="b">
        <f aca="false">FALSE()</f>
        <v>0</v>
      </c>
      <c r="AO8" s="1" t="s">
        <v>96</v>
      </c>
      <c r="AP8" s="30" t="s">
        <v>160</v>
      </c>
      <c r="AQ8" s="1" t="s">
        <v>96</v>
      </c>
      <c r="AR8" s="1" t="s">
        <v>565</v>
      </c>
      <c r="AS8" s="1" t="s">
        <v>570</v>
      </c>
    </row>
    <row r="9" s="30" customFormat="true" ht="33.75" hidden="false" customHeight="false" outlineLevel="0" collapsed="false">
      <c r="B9" s="30" t="n">
        <v>301242</v>
      </c>
      <c r="C9" s="60" t="s">
        <v>571</v>
      </c>
      <c r="D9" s="60" t="n">
        <f aca="false">DATEDIF($C$2, C9, "M")</f>
        <v>25</v>
      </c>
      <c r="E9" s="60" t="s">
        <v>572</v>
      </c>
      <c r="F9" s="63" t="b">
        <f aca="false">TRUE()</f>
        <v>1</v>
      </c>
      <c r="O9" s="63" t="b">
        <f aca="false">TRUE()</f>
        <v>1</v>
      </c>
      <c r="AM9" s="63" t="b">
        <f aca="false">TRUE()</f>
        <v>1</v>
      </c>
      <c r="AN9" s="63" t="b">
        <f aca="false">FALSE()</f>
        <v>0</v>
      </c>
      <c r="AO9" s="30" t="s">
        <v>107</v>
      </c>
      <c r="AP9" s="30" t="s">
        <v>164</v>
      </c>
      <c r="AQ9" s="30" t="s">
        <v>96</v>
      </c>
      <c r="AR9" s="30" t="s">
        <v>565</v>
      </c>
      <c r="AS9" s="30" t="s">
        <v>573</v>
      </c>
    </row>
    <row r="10" customFormat="false" ht="16.5" hidden="false" customHeight="false" outlineLevel="0" collapsed="false">
      <c r="B10" s="1" t="n">
        <v>301242</v>
      </c>
      <c r="C10" s="60" t="s">
        <v>574</v>
      </c>
      <c r="D10" s="60" t="n">
        <f aca="false">DATEDIF($C$2, C10, "M")</f>
        <v>26</v>
      </c>
      <c r="E10" s="60" t="s">
        <v>575</v>
      </c>
      <c r="F10" s="27" t="b">
        <f aca="false">TRUE()</f>
        <v>1</v>
      </c>
      <c r="AD10" s="30"/>
      <c r="AE10" s="30"/>
      <c r="AM10" s="27" t="b">
        <f aca="false">FALSE()</f>
        <v>0</v>
      </c>
      <c r="AN10" s="27" t="b">
        <f aca="false">FALSE()</f>
        <v>0</v>
      </c>
      <c r="AO10" s="1" t="s">
        <v>107</v>
      </c>
      <c r="AP10" s="1" t="s">
        <v>164</v>
      </c>
      <c r="AQ10" s="1" t="s">
        <v>96</v>
      </c>
      <c r="AR10" s="1" t="s">
        <v>565</v>
      </c>
    </row>
    <row r="11" customFormat="false" ht="51" hidden="false" customHeight="false" outlineLevel="0" collapsed="false">
      <c r="B11" s="1" t="n">
        <v>301242</v>
      </c>
      <c r="C11" s="60" t="s">
        <v>576</v>
      </c>
      <c r="D11" s="60" t="n">
        <f aca="false">DATEDIF($C$2, C11, "M")</f>
        <v>27</v>
      </c>
      <c r="E11" s="60" t="s">
        <v>577</v>
      </c>
      <c r="F11" s="27" t="b">
        <f aca="false">TRUE()</f>
        <v>1</v>
      </c>
      <c r="O11" s="27" t="b">
        <f aca="false">TRUE()</f>
        <v>1</v>
      </c>
      <c r="AD11" s="30"/>
      <c r="AE11" s="30"/>
      <c r="AM11" s="27" t="b">
        <f aca="false">FALSE()</f>
        <v>0</v>
      </c>
      <c r="AN11" s="27" t="b">
        <f aca="false">TRUE()</f>
        <v>1</v>
      </c>
      <c r="AO11" s="1" t="s">
        <v>107</v>
      </c>
      <c r="AP11" s="1" t="s">
        <v>164</v>
      </c>
      <c r="AQ11" s="1" t="s">
        <v>96</v>
      </c>
      <c r="AR11" s="30" t="s">
        <v>160</v>
      </c>
      <c r="AS11" s="1" t="s">
        <v>168</v>
      </c>
      <c r="AT11" s="1" t="s">
        <v>150</v>
      </c>
      <c r="AV11" s="1" t="s">
        <v>150</v>
      </c>
      <c r="AY11" s="27" t="b">
        <f aca="false">TRUE()</f>
        <v>1</v>
      </c>
    </row>
    <row r="12" customFormat="false" ht="29.85" hidden="false" customHeight="false" outlineLevel="0" collapsed="false">
      <c r="B12" s="1" t="n">
        <v>301242</v>
      </c>
      <c r="C12" s="60" t="s">
        <v>578</v>
      </c>
      <c r="D12" s="60" t="n">
        <f aca="false">DATEDIF($C$2, C12, "M")</f>
        <v>28</v>
      </c>
      <c r="E12" s="60" t="s">
        <v>579</v>
      </c>
      <c r="F12" s="27" t="b">
        <f aca="false">TRUE()</f>
        <v>1</v>
      </c>
      <c r="O12" s="27" t="b">
        <f aca="false">TRUE()</f>
        <v>1</v>
      </c>
      <c r="AD12" s="30"/>
      <c r="AE12" s="30"/>
      <c r="AM12" s="27" t="b">
        <f aca="false">FALSE()</f>
        <v>0</v>
      </c>
      <c r="AN12" s="27" t="b">
        <f aca="false">TRUE()</f>
        <v>1</v>
      </c>
      <c r="AO12" s="1" t="s">
        <v>107</v>
      </c>
      <c r="AP12" s="1" t="s">
        <v>164</v>
      </c>
      <c r="AQ12" s="1" t="s">
        <v>107</v>
      </c>
      <c r="AR12" s="1" t="s">
        <v>164</v>
      </c>
      <c r="AS12" s="26" t="s">
        <v>105</v>
      </c>
      <c r="AT12" s="1" t="s">
        <v>150</v>
      </c>
      <c r="AU12" s="1" t="s">
        <v>268</v>
      </c>
      <c r="AV12" s="1" t="s">
        <v>150</v>
      </c>
      <c r="AW12" s="1" t="s">
        <v>268</v>
      </c>
      <c r="AY12" s="27" t="b">
        <f aca="false">TRUE()</f>
        <v>1</v>
      </c>
    </row>
    <row r="13" customFormat="false" ht="29.85" hidden="false" customHeight="false" outlineLevel="0" collapsed="false">
      <c r="B13" s="1" t="n">
        <v>301242</v>
      </c>
      <c r="C13" s="60" t="s">
        <v>580</v>
      </c>
      <c r="D13" s="60" t="n">
        <f aca="false">DATEDIF($C$2, C13, "M")</f>
        <v>29</v>
      </c>
      <c r="E13" s="60" t="s">
        <v>579</v>
      </c>
      <c r="F13" s="27" t="b">
        <f aca="false">TRUE()</f>
        <v>1</v>
      </c>
      <c r="O13" s="27" t="b">
        <f aca="false">TRUE()</f>
        <v>1</v>
      </c>
      <c r="AD13" s="30"/>
      <c r="AE13" s="30"/>
      <c r="AM13" s="27" t="b">
        <f aca="false">FALSE()</f>
        <v>0</v>
      </c>
      <c r="AN13" s="27" t="b">
        <f aca="false">FALSE()</f>
        <v>0</v>
      </c>
      <c r="AO13" s="1" t="s">
        <v>107</v>
      </c>
      <c r="AP13" s="1" t="s">
        <v>164</v>
      </c>
      <c r="AQ13" s="1" t="s">
        <v>107</v>
      </c>
      <c r="AR13" s="1" t="s">
        <v>164</v>
      </c>
      <c r="AS13" s="26" t="s">
        <v>105</v>
      </c>
      <c r="AT13" s="1" t="s">
        <v>150</v>
      </c>
      <c r="AU13" s="1" t="s">
        <v>268</v>
      </c>
      <c r="AV13" s="1" t="s">
        <v>150</v>
      </c>
      <c r="AW13" s="1" t="s">
        <v>268</v>
      </c>
      <c r="AY13" s="27" t="b">
        <f aca="false">TRUE()</f>
        <v>1</v>
      </c>
    </row>
    <row r="14" customFormat="false" ht="29.85" hidden="false" customHeight="false" outlineLevel="0" collapsed="false">
      <c r="B14" s="1" t="n">
        <v>301242</v>
      </c>
      <c r="C14" s="60" t="s">
        <v>581</v>
      </c>
      <c r="D14" s="60" t="n">
        <f aca="false">DATEDIF($C$2, C14, "M")</f>
        <v>30</v>
      </c>
      <c r="E14" s="60" t="s">
        <v>582</v>
      </c>
      <c r="F14" s="27" t="b">
        <f aca="false">TRUE()</f>
        <v>1</v>
      </c>
      <c r="O14" s="27" t="b">
        <f aca="false">TRUE()</f>
        <v>1</v>
      </c>
      <c r="AD14" s="30"/>
      <c r="AE14" s="30"/>
      <c r="AM14" s="27" t="b">
        <f aca="false">FALSE()</f>
        <v>0</v>
      </c>
      <c r="AN14" s="27" t="b">
        <f aca="false">FALSE()</f>
        <v>0</v>
      </c>
      <c r="AO14" s="1" t="s">
        <v>107</v>
      </c>
      <c r="AP14" s="1" t="s">
        <v>164</v>
      </c>
      <c r="AQ14" s="1" t="s">
        <v>107</v>
      </c>
      <c r="AR14" s="1" t="s">
        <v>164</v>
      </c>
      <c r="AS14" s="26" t="s">
        <v>105</v>
      </c>
      <c r="AT14" s="1" t="s">
        <v>150</v>
      </c>
      <c r="AU14" s="1" t="s">
        <v>268</v>
      </c>
      <c r="AV14" s="1" t="s">
        <v>150</v>
      </c>
      <c r="AW14" s="1" t="s">
        <v>268</v>
      </c>
      <c r="AY14" s="27" t="b">
        <f aca="false">TRUE()</f>
        <v>1</v>
      </c>
      <c r="CD14" s="27" t="b">
        <f aca="false">TRUE()</f>
        <v>1</v>
      </c>
    </row>
    <row r="15" customFormat="false" ht="29.85" hidden="false" customHeight="false" outlineLevel="0" collapsed="false">
      <c r="B15" s="1" t="n">
        <v>301242</v>
      </c>
      <c r="C15" s="60" t="s">
        <v>583</v>
      </c>
      <c r="D15" s="60" t="n">
        <f aca="false">DATEDIF($C$2, C15, "M")</f>
        <v>31</v>
      </c>
      <c r="E15" s="60" t="s">
        <v>584</v>
      </c>
      <c r="F15" s="27" t="b">
        <f aca="false">TRUE()</f>
        <v>1</v>
      </c>
      <c r="G15" s="27" t="b">
        <f aca="false">TRUE()</f>
        <v>1</v>
      </c>
      <c r="Q15" s="27" t="b">
        <f aca="false">TRUE()</f>
        <v>1</v>
      </c>
      <c r="AD15" s="30"/>
      <c r="AE15" s="30"/>
      <c r="AM15" s="27" t="b">
        <f aca="false">TRUE()</f>
        <v>1</v>
      </c>
      <c r="AN15" s="27" t="b">
        <f aca="false">TRUE()</f>
        <v>1</v>
      </c>
      <c r="AO15" s="1" t="s">
        <v>107</v>
      </c>
      <c r="AP15" s="1" t="s">
        <v>97</v>
      </c>
      <c r="AQ15" s="1" t="s">
        <v>107</v>
      </c>
      <c r="AR15" s="1" t="s">
        <v>97</v>
      </c>
      <c r="AS15" s="26" t="s">
        <v>105</v>
      </c>
      <c r="AT15" s="1" t="s">
        <v>150</v>
      </c>
      <c r="AU15" s="1" t="s">
        <v>268</v>
      </c>
      <c r="AV15" s="1" t="s">
        <v>150</v>
      </c>
      <c r="AW15" s="1" t="s">
        <v>268</v>
      </c>
      <c r="AY15" s="27" t="b">
        <f aca="false">TRUE()</f>
        <v>1</v>
      </c>
      <c r="CD15" s="1" t="b">
        <f aca="false">TRUE()</f>
        <v>1</v>
      </c>
    </row>
    <row r="16" s="30" customFormat="true" ht="15.65" hidden="false" customHeight="false" outlineLevel="0" collapsed="false">
      <c r="B16" s="30" t="n">
        <v>301242</v>
      </c>
      <c r="C16" s="60" t="s">
        <v>585</v>
      </c>
      <c r="D16" s="60" t="n">
        <f aca="false">DATEDIF($C$2, C16, "M")</f>
        <v>32</v>
      </c>
      <c r="E16" s="60" t="s">
        <v>586</v>
      </c>
      <c r="F16" s="63" t="b">
        <f aca="false">TRUE()</f>
        <v>1</v>
      </c>
      <c r="AM16" s="63" t="b">
        <f aca="false">FALSE()</f>
        <v>0</v>
      </c>
      <c r="AN16" s="63" t="b">
        <f aca="false">FALSE()</f>
        <v>0</v>
      </c>
      <c r="AO16" s="30" t="s">
        <v>107</v>
      </c>
      <c r="AP16" s="30" t="s">
        <v>97</v>
      </c>
      <c r="AQ16" s="30" t="s">
        <v>107</v>
      </c>
      <c r="AR16" s="30" t="s">
        <v>97</v>
      </c>
      <c r="AT16" s="30" t="s">
        <v>133</v>
      </c>
      <c r="AU16" s="30" t="s">
        <v>268</v>
      </c>
      <c r="AV16" s="30" t="s">
        <v>133</v>
      </c>
      <c r="AW16" s="30" t="s">
        <v>268</v>
      </c>
      <c r="AX16" s="63" t="b">
        <f aca="false">TRUE()</f>
        <v>1</v>
      </c>
      <c r="AY16" s="63" t="b">
        <f aca="false">FALSE()</f>
        <v>0</v>
      </c>
    </row>
    <row r="17" customFormat="false" ht="15.65" hidden="false" customHeight="false" outlineLevel="0" collapsed="false">
      <c r="B17" s="1" t="n">
        <v>301242</v>
      </c>
      <c r="C17" s="60" t="s">
        <v>587</v>
      </c>
      <c r="D17" s="60" t="n">
        <f aca="false">DATEDIF($C$2, C17, "M")</f>
        <v>33</v>
      </c>
      <c r="E17" s="60" t="s">
        <v>588</v>
      </c>
      <c r="F17" s="27" t="b">
        <f aca="false">TRUE()</f>
        <v>1</v>
      </c>
      <c r="AD17" s="30"/>
      <c r="AE17" s="30"/>
    </row>
    <row r="18" customFormat="false" ht="15.65" hidden="false" customHeight="false" outlineLevel="0" collapsed="false">
      <c r="B18" s="1" t="n">
        <v>301242</v>
      </c>
      <c r="C18" s="60" t="s">
        <v>589</v>
      </c>
      <c r="D18" s="60" t="n">
        <f aca="false">DATEDIF($C$2, C18, "M")</f>
        <v>37</v>
      </c>
      <c r="E18" s="60" t="s">
        <v>590</v>
      </c>
      <c r="F18" s="1" t="b">
        <f aca="false">TRUE()</f>
        <v>1</v>
      </c>
      <c r="AD18" s="30"/>
      <c r="AE18" s="30" t="s">
        <v>100</v>
      </c>
      <c r="AS18" s="30"/>
      <c r="AT18" s="30" t="s">
        <v>133</v>
      </c>
      <c r="AU18" s="30" t="s">
        <v>268</v>
      </c>
      <c r="AV18" s="30" t="s">
        <v>133</v>
      </c>
      <c r="AW18" s="30" t="s">
        <v>268</v>
      </c>
      <c r="AX18" s="27" t="b">
        <f aca="false">TRUE()</f>
        <v>1</v>
      </c>
    </row>
    <row r="19" s="30" customFormat="true" ht="15.65" hidden="false" customHeight="false" outlineLevel="0" collapsed="false">
      <c r="B19" s="30" t="n">
        <v>301242</v>
      </c>
      <c r="C19" s="60" t="s">
        <v>591</v>
      </c>
      <c r="D19" s="60" t="n">
        <f aca="false">DATEDIF($C$2, C19, "M")</f>
        <v>38</v>
      </c>
      <c r="E19" s="60" t="s">
        <v>592</v>
      </c>
      <c r="F19" s="30" t="b">
        <f aca="false">TRUE()</f>
        <v>1</v>
      </c>
      <c r="AT19" s="30" t="s">
        <v>150</v>
      </c>
      <c r="AU19" s="30" t="s">
        <v>268</v>
      </c>
      <c r="AV19" s="30" t="s">
        <v>150</v>
      </c>
      <c r="AW19" s="30" t="s">
        <v>268</v>
      </c>
      <c r="AX19" s="63" t="b">
        <f aca="false">FALSE()</f>
        <v>0</v>
      </c>
      <c r="AY19" s="63" t="b">
        <f aca="false">TRUE()</f>
        <v>1</v>
      </c>
      <c r="BY19" s="30" t="b">
        <f aca="false">TRUE()</f>
        <v>1</v>
      </c>
      <c r="BZ19" s="63" t="b">
        <f aca="false">TRUE()</f>
        <v>1</v>
      </c>
    </row>
    <row r="20" customFormat="false" ht="322.5" hidden="false" customHeight="false" outlineLevel="0" collapsed="false">
      <c r="B20" s="1" t="n">
        <v>301242</v>
      </c>
      <c r="C20" s="60" t="s">
        <v>593</v>
      </c>
      <c r="D20" s="60" t="n">
        <f aca="false">DATEDIF($C$2, C20, "M")</f>
        <v>40</v>
      </c>
      <c r="E20" s="60" t="s">
        <v>594</v>
      </c>
      <c r="F20" s="1" t="b">
        <f aca="false">TRUE()</f>
        <v>1</v>
      </c>
      <c r="G20" s="27" t="b">
        <f aca="false">TRUE()</f>
        <v>1</v>
      </c>
      <c r="AD20" s="30"/>
      <c r="AE20" s="30"/>
      <c r="AF20" s="1" t="b">
        <f aca="false">TRUE()</f>
        <v>1</v>
      </c>
      <c r="AT20" s="1" t="s">
        <v>150</v>
      </c>
      <c r="AU20" s="1" t="s">
        <v>268</v>
      </c>
      <c r="AV20" s="1" t="s">
        <v>150</v>
      </c>
      <c r="AW20" s="1" t="s">
        <v>268</v>
      </c>
      <c r="AY20" s="27" t="b">
        <f aca="false">TRUE()</f>
        <v>1</v>
      </c>
      <c r="BQ20" s="1" t="s">
        <v>473</v>
      </c>
      <c r="BR20" s="1" t="s">
        <v>108</v>
      </c>
    </row>
    <row r="21" customFormat="false" ht="204" hidden="false" customHeight="false" outlineLevel="0" collapsed="false">
      <c r="B21" s="1" t="n">
        <v>301242</v>
      </c>
      <c r="C21" s="60" t="s">
        <v>595</v>
      </c>
      <c r="D21" s="60" t="n">
        <f aca="false">DATEDIF($C$2, C21, "M")</f>
        <v>42</v>
      </c>
      <c r="E21" s="60" t="s">
        <v>596</v>
      </c>
      <c r="F21" s="1" t="b">
        <f aca="false">TRUE()</f>
        <v>1</v>
      </c>
      <c r="Q21" s="27" t="b">
        <f aca="false">TRUE()</f>
        <v>1</v>
      </c>
      <c r="Z21" s="1" t="s">
        <v>115</v>
      </c>
      <c r="AA21" s="1" t="s">
        <v>115</v>
      </c>
      <c r="AB21" s="1" t="s">
        <v>87</v>
      </c>
      <c r="AC21" s="1" t="s">
        <v>87</v>
      </c>
      <c r="AD21" s="30" t="s">
        <v>100</v>
      </c>
      <c r="AE21" s="30" t="s">
        <v>100</v>
      </c>
      <c r="AF21" s="27" t="b">
        <f aca="false">TRUE()</f>
        <v>1</v>
      </c>
      <c r="AM21" s="27" t="b">
        <f aca="false">FALSE()</f>
        <v>0</v>
      </c>
      <c r="AN21" s="27" t="b">
        <f aca="false">FALSE()</f>
        <v>0</v>
      </c>
      <c r="AO21" s="1" t="s">
        <v>107</v>
      </c>
      <c r="AP21" s="1" t="s">
        <v>97</v>
      </c>
      <c r="AQ21" s="1" t="s">
        <v>107</v>
      </c>
      <c r="AR21" s="1" t="s">
        <v>97</v>
      </c>
      <c r="AS21" s="1" t="s">
        <v>102</v>
      </c>
      <c r="AT21" s="1" t="s">
        <v>116</v>
      </c>
      <c r="AU21" s="1" t="s">
        <v>117</v>
      </c>
      <c r="AV21" s="1" t="s">
        <v>133</v>
      </c>
      <c r="AW21" s="1" t="s">
        <v>206</v>
      </c>
      <c r="AX21" s="27" t="b">
        <f aca="false">TRUE()</f>
        <v>1</v>
      </c>
      <c r="AY21" s="27" t="b">
        <f aca="false">FALSE()</f>
        <v>0</v>
      </c>
      <c r="AZ21" s="27" t="b">
        <f aca="false">TRUE()</f>
        <v>1</v>
      </c>
      <c r="BR21" s="1" t="s">
        <v>108</v>
      </c>
    </row>
    <row r="22" s="30" customFormat="true" ht="186.75" hidden="false" customHeight="false" outlineLevel="0" collapsed="false">
      <c r="B22" s="30" t="n">
        <v>301242</v>
      </c>
      <c r="C22" s="60" t="s">
        <v>597</v>
      </c>
      <c r="D22" s="60" t="n">
        <f aca="false">DATEDIF($C$2, C22, "M")</f>
        <v>44</v>
      </c>
      <c r="E22" s="60" t="s">
        <v>598</v>
      </c>
      <c r="F22" s="30" t="b">
        <f aca="false">TRUE()</f>
        <v>1</v>
      </c>
      <c r="Z22" s="30" t="s">
        <v>128</v>
      </c>
      <c r="AA22" s="30" t="s">
        <v>128</v>
      </c>
      <c r="AB22" s="30" t="s">
        <v>87</v>
      </c>
      <c r="AC22" s="30" t="s">
        <v>87</v>
      </c>
      <c r="AD22" s="30" t="s">
        <v>112</v>
      </c>
      <c r="AE22" s="30" t="s">
        <v>112</v>
      </c>
      <c r="AF22" s="30" t="b">
        <f aca="false">TRUE()</f>
        <v>1</v>
      </c>
      <c r="AT22" s="30" t="s">
        <v>150</v>
      </c>
      <c r="AU22" s="30" t="s">
        <v>599</v>
      </c>
      <c r="AV22" s="30" t="s">
        <v>150</v>
      </c>
      <c r="AW22" s="30" t="s">
        <v>599</v>
      </c>
      <c r="AX22" s="63" t="b">
        <f aca="false">FALSE()</f>
        <v>0</v>
      </c>
      <c r="AY22" s="63" t="b">
        <f aca="false">TRUE()</f>
        <v>1</v>
      </c>
      <c r="AZ22" s="63" t="b">
        <f aca="false">FALSE()</f>
        <v>0</v>
      </c>
      <c r="BR22" s="30" t="s">
        <v>103</v>
      </c>
      <c r="BY22" s="64" t="b">
        <f aca="false">TRUE()</f>
        <v>1</v>
      </c>
      <c r="BZ22" s="63" t="b">
        <f aca="false">TRUE()</f>
        <v>1</v>
      </c>
    </row>
    <row r="23" customFormat="false" ht="255" hidden="false" customHeight="false" outlineLevel="0" collapsed="false">
      <c r="B23" s="1" t="n">
        <v>301242</v>
      </c>
      <c r="C23" s="60" t="s">
        <v>600</v>
      </c>
      <c r="D23" s="60" t="n">
        <f aca="false">DATEDIF($C$2, C23, "M")</f>
        <v>44</v>
      </c>
      <c r="E23" s="60" t="s">
        <v>601</v>
      </c>
      <c r="F23" s="1" t="b">
        <f aca="false">TRUE()</f>
        <v>1</v>
      </c>
      <c r="Z23" s="1" t="s">
        <v>128</v>
      </c>
      <c r="AA23" s="1" t="s">
        <v>128</v>
      </c>
      <c r="AB23" s="1" t="s">
        <v>115</v>
      </c>
      <c r="AC23" s="1" t="s">
        <v>115</v>
      </c>
      <c r="AD23" s="30" t="s">
        <v>112</v>
      </c>
      <c r="AE23" s="30" t="s">
        <v>112</v>
      </c>
      <c r="AM23" s="27" t="b">
        <f aca="false">FALSE()</f>
        <v>0</v>
      </c>
      <c r="AN23" s="27" t="b">
        <f aca="false">FALSE()</f>
        <v>0</v>
      </c>
      <c r="AO23" s="1" t="s">
        <v>107</v>
      </c>
      <c r="AP23" s="1" t="s">
        <v>97</v>
      </c>
      <c r="AQ23" s="1" t="s">
        <v>107</v>
      </c>
      <c r="AR23" s="1" t="s">
        <v>97</v>
      </c>
      <c r="AT23" s="1" t="s">
        <v>133</v>
      </c>
      <c r="AU23" s="1" t="s">
        <v>206</v>
      </c>
      <c r="AV23" s="1" t="s">
        <v>116</v>
      </c>
      <c r="AW23" s="1" t="s">
        <v>206</v>
      </c>
      <c r="AX23" s="27" t="b">
        <f aca="false">TRUE()</f>
        <v>1</v>
      </c>
      <c r="AZ23" s="27" t="b">
        <f aca="false">TRUE()</f>
        <v>1</v>
      </c>
      <c r="BD23" s="27" t="b">
        <f aca="false">TRUE()</f>
        <v>1</v>
      </c>
      <c r="BR23" s="1" t="s">
        <v>103</v>
      </c>
      <c r="BY23" s="31" t="b">
        <f aca="false">TRUE()</f>
        <v>1</v>
      </c>
      <c r="BZ23" s="27" t="b">
        <f aca="false">TRUE()</f>
        <v>1</v>
      </c>
    </row>
    <row r="24" customFormat="false" ht="84.75" hidden="false" customHeight="false" outlineLevel="0" collapsed="false">
      <c r="B24" s="1" t="n">
        <v>301242</v>
      </c>
      <c r="C24" s="60" t="s">
        <v>602</v>
      </c>
      <c r="D24" s="60" t="n">
        <f aca="false">DATEDIF($C$2, C24, "M")</f>
        <v>44</v>
      </c>
      <c r="E24" s="60" t="s">
        <v>603</v>
      </c>
      <c r="F24" s="1" t="b">
        <f aca="false">TRUE()</f>
        <v>1</v>
      </c>
      <c r="AD24" s="30"/>
      <c r="AE24" s="30"/>
      <c r="AT24" s="1" t="s">
        <v>133</v>
      </c>
      <c r="AX24" s="27" t="b">
        <f aca="false">TRUE()</f>
        <v>1</v>
      </c>
      <c r="AZ24" s="27" t="b">
        <f aca="false">FALSE()</f>
        <v>0</v>
      </c>
      <c r="BD24" s="27" t="b">
        <f aca="false">TRUE()</f>
        <v>1</v>
      </c>
      <c r="BV24" s="1" t="b">
        <f aca="false">TRUE()</f>
        <v>1</v>
      </c>
      <c r="BZ24" s="27" t="b">
        <f aca="false">TRUE()</f>
        <v>1</v>
      </c>
    </row>
    <row r="25" customFormat="false" ht="186.75" hidden="false" customHeight="false" outlineLevel="0" collapsed="false">
      <c r="B25" s="1" t="n">
        <v>301242</v>
      </c>
      <c r="C25" s="60" t="s">
        <v>604</v>
      </c>
      <c r="D25" s="60" t="n">
        <f aca="false">DATEDIF($C$2, C25, "M")</f>
        <v>45</v>
      </c>
      <c r="E25" s="60" t="s">
        <v>605</v>
      </c>
      <c r="F25" s="1" t="b">
        <f aca="false">TRUE()</f>
        <v>1</v>
      </c>
      <c r="X25" s="26" t="s">
        <v>251</v>
      </c>
      <c r="Z25" s="1" t="s">
        <v>115</v>
      </c>
      <c r="AA25" s="1" t="s">
        <v>115</v>
      </c>
      <c r="AB25" s="1" t="s">
        <v>128</v>
      </c>
      <c r="AC25" s="1" t="s">
        <v>128</v>
      </c>
      <c r="AD25" s="30" t="s">
        <v>112</v>
      </c>
      <c r="AE25" s="30" t="s">
        <v>112</v>
      </c>
      <c r="AM25" s="27" t="b">
        <f aca="false">FALSE()</f>
        <v>0</v>
      </c>
      <c r="AN25" s="27" t="b">
        <f aca="false">FALSE()</f>
        <v>0</v>
      </c>
      <c r="AO25" s="1" t="s">
        <v>606</v>
      </c>
      <c r="AP25" s="1" t="s">
        <v>97</v>
      </c>
      <c r="AQ25" s="1" t="s">
        <v>606</v>
      </c>
      <c r="AR25" s="1" t="s">
        <v>97</v>
      </c>
      <c r="AT25" s="1" t="s">
        <v>150</v>
      </c>
      <c r="AV25" s="1" t="s">
        <v>150</v>
      </c>
      <c r="AX25" s="27" t="b">
        <f aca="false">FALSE()</f>
        <v>0</v>
      </c>
      <c r="AY25" s="27" t="b">
        <f aca="false">TRUE()</f>
        <v>1</v>
      </c>
      <c r="BQ25" s="1" t="s">
        <v>103</v>
      </c>
      <c r="BR25" s="1" t="s">
        <v>119</v>
      </c>
    </row>
    <row r="26" customFormat="false" ht="114.9" hidden="false" customHeight="false" outlineLevel="0" collapsed="false">
      <c r="B26" s="1" t="n">
        <v>301242</v>
      </c>
      <c r="C26" s="60" t="s">
        <v>607</v>
      </c>
      <c r="D26" s="60" t="n">
        <f aca="false">DATEDIF($C$2, C26, "M")</f>
        <v>46</v>
      </c>
      <c r="E26" s="60" t="s">
        <v>608</v>
      </c>
      <c r="F26" s="31" t="b">
        <f aca="false">TRUE()</f>
        <v>1</v>
      </c>
      <c r="Z26" s="1" t="s">
        <v>128</v>
      </c>
      <c r="AA26" s="1" t="s">
        <v>128</v>
      </c>
      <c r="AB26" s="1" t="s">
        <v>128</v>
      </c>
      <c r="AC26" s="1" t="s">
        <v>128</v>
      </c>
      <c r="AD26" s="30" t="s">
        <v>112</v>
      </c>
      <c r="AE26" s="30" t="s">
        <v>112</v>
      </c>
      <c r="AM26" s="27" t="b">
        <f aca="false">FALSE()</f>
        <v>0</v>
      </c>
      <c r="AN26" s="27" t="b">
        <f aca="false">FALSE()</f>
        <v>0</v>
      </c>
      <c r="AO26" s="1" t="s">
        <v>606</v>
      </c>
      <c r="AP26" s="1" t="s">
        <v>97</v>
      </c>
      <c r="AQ26" s="1" t="s">
        <v>606</v>
      </c>
      <c r="AR26" s="1" t="s">
        <v>97</v>
      </c>
      <c r="AT26" s="1" t="s">
        <v>150</v>
      </c>
      <c r="AV26" s="1" t="s">
        <v>150</v>
      </c>
      <c r="AY26" s="27" t="b">
        <f aca="false">TRUE()</f>
        <v>1</v>
      </c>
      <c r="BY26" s="31" t="b">
        <f aca="false">TRUE()</f>
        <v>1</v>
      </c>
      <c r="BZ26" s="27" t="b">
        <f aca="false">TRUE()</f>
        <v>1</v>
      </c>
    </row>
    <row r="27" customFormat="false" ht="114.9" hidden="false" customHeight="false" outlineLevel="0" collapsed="false">
      <c r="B27" s="1" t="n">
        <v>301242</v>
      </c>
      <c r="C27" s="60" t="s">
        <v>609</v>
      </c>
      <c r="D27" s="60" t="n">
        <f aca="false">DATEDIF($C$2, C27, "M")</f>
        <v>47</v>
      </c>
      <c r="E27" s="60" t="s">
        <v>610</v>
      </c>
      <c r="F27" s="31" t="b">
        <f aca="false">TRUE()</f>
        <v>1</v>
      </c>
      <c r="Z27" s="1" t="s">
        <v>128</v>
      </c>
      <c r="AA27" s="1" t="s">
        <v>128</v>
      </c>
      <c r="AB27" s="1" t="s">
        <v>128</v>
      </c>
      <c r="AC27" s="1" t="s">
        <v>128</v>
      </c>
      <c r="AD27" s="30" t="s">
        <v>112</v>
      </c>
      <c r="AE27" s="30" t="s">
        <v>112</v>
      </c>
      <c r="AM27" s="27" t="b">
        <f aca="false">FALSE()</f>
        <v>0</v>
      </c>
      <c r="AN27" s="27" t="b">
        <f aca="false">FALSE()</f>
        <v>0</v>
      </c>
      <c r="AO27" s="1" t="s">
        <v>107</v>
      </c>
      <c r="AP27" s="1" t="s">
        <v>97</v>
      </c>
      <c r="AQ27" s="1" t="s">
        <v>107</v>
      </c>
      <c r="AR27" s="1" t="s">
        <v>97</v>
      </c>
      <c r="AT27" s="1" t="s">
        <v>150</v>
      </c>
      <c r="AU27" s="1" t="s">
        <v>206</v>
      </c>
      <c r="AV27" s="1" t="s">
        <v>150</v>
      </c>
      <c r="AW27" s="1" t="s">
        <v>206</v>
      </c>
      <c r="AY27" s="27" t="b">
        <f aca="false">TRUE()</f>
        <v>1</v>
      </c>
      <c r="BR27" s="1" t="s">
        <v>103</v>
      </c>
      <c r="BZ27" s="31" t="b">
        <f aca="false">TRUE()</f>
        <v>1</v>
      </c>
    </row>
    <row r="28" customFormat="false" ht="114.9" hidden="false" customHeight="false" outlineLevel="0" collapsed="false">
      <c r="B28" s="1" t="n">
        <v>301242</v>
      </c>
      <c r="C28" s="60" t="s">
        <v>611</v>
      </c>
      <c r="D28" s="60" t="n">
        <f aca="false">DATEDIF($C$2, C28, "M")</f>
        <v>49</v>
      </c>
      <c r="E28" s="60" t="s">
        <v>612</v>
      </c>
      <c r="F28" s="31" t="b">
        <f aca="false">TRUE()</f>
        <v>1</v>
      </c>
      <c r="Z28" s="1" t="s">
        <v>87</v>
      </c>
      <c r="AB28" s="1" t="s">
        <v>115</v>
      </c>
      <c r="AD28" s="30" t="s">
        <v>112</v>
      </c>
      <c r="AE28" s="30" t="s">
        <v>112</v>
      </c>
      <c r="AM28" s="27" t="b">
        <f aca="false">FALSE()</f>
        <v>0</v>
      </c>
      <c r="AN28" s="27" t="b">
        <f aca="false">FALSE()</f>
        <v>0</v>
      </c>
      <c r="AO28" s="1" t="s">
        <v>107</v>
      </c>
      <c r="AP28" s="1" t="s">
        <v>97</v>
      </c>
      <c r="AQ28" s="1" t="s">
        <v>107</v>
      </c>
      <c r="AR28" s="1" t="s">
        <v>97</v>
      </c>
      <c r="AT28" s="1" t="s">
        <v>150</v>
      </c>
      <c r="AU28" s="1" t="s">
        <v>206</v>
      </c>
      <c r="AV28" s="1" t="s">
        <v>133</v>
      </c>
      <c r="AW28" s="1" t="s">
        <v>206</v>
      </c>
      <c r="AX28" s="27" t="b">
        <f aca="false">TRUE()</f>
        <v>1</v>
      </c>
      <c r="AY28" s="31" t="b">
        <f aca="false">TRUE()</f>
        <v>1</v>
      </c>
      <c r="BR28" s="1" t="s">
        <v>103</v>
      </c>
      <c r="BY28" s="31" t="b">
        <f aca="false">TRUE()</f>
        <v>1</v>
      </c>
      <c r="BZ28" s="27" t="b">
        <f aca="false">TRUE()</f>
        <v>1</v>
      </c>
    </row>
    <row r="29" customFormat="false" ht="114.9" hidden="false" customHeight="false" outlineLevel="0" collapsed="false">
      <c r="B29" s="1" t="n">
        <v>301242</v>
      </c>
      <c r="C29" s="60" t="s">
        <v>613</v>
      </c>
      <c r="D29" s="60" t="n">
        <f aca="false">DATEDIF($C$2, C29, "M")</f>
        <v>50</v>
      </c>
      <c r="E29" s="60" t="s">
        <v>614</v>
      </c>
      <c r="F29" s="31" t="b">
        <f aca="false">TRUE()</f>
        <v>1</v>
      </c>
      <c r="W29" s="1" t="s">
        <v>615</v>
      </c>
      <c r="Z29" s="1" t="s">
        <v>128</v>
      </c>
      <c r="AB29" s="1" t="s">
        <v>115</v>
      </c>
      <c r="AD29" s="30" t="s">
        <v>112</v>
      </c>
      <c r="AE29" s="30" t="s">
        <v>112</v>
      </c>
      <c r="AM29" s="27" t="b">
        <f aca="false">FALSE()</f>
        <v>0</v>
      </c>
      <c r="AN29" s="27" t="b">
        <f aca="false">FALSE()</f>
        <v>0</v>
      </c>
      <c r="AO29" s="1" t="s">
        <v>107</v>
      </c>
      <c r="AP29" s="1" t="s">
        <v>97</v>
      </c>
      <c r="AQ29" s="1" t="s">
        <v>107</v>
      </c>
      <c r="AR29" s="1" t="s">
        <v>97</v>
      </c>
      <c r="AT29" s="1" t="s">
        <v>150</v>
      </c>
      <c r="AU29" s="1" t="s">
        <v>206</v>
      </c>
      <c r="AV29" s="1" t="s">
        <v>116</v>
      </c>
      <c r="AW29" s="1" t="s">
        <v>206</v>
      </c>
      <c r="AX29" s="27" t="b">
        <f aca="false">FALSE()</f>
        <v>0</v>
      </c>
      <c r="AY29" s="31" t="b">
        <f aca="false">TRUE()</f>
        <v>1</v>
      </c>
      <c r="AZ29" s="27" t="b">
        <f aca="false">TRUE()</f>
        <v>1</v>
      </c>
      <c r="BR29" s="1" t="s">
        <v>108</v>
      </c>
      <c r="BY29" s="31" t="b">
        <f aca="false">TRUE()</f>
        <v>1</v>
      </c>
      <c r="BZ29" s="27" t="b">
        <f aca="false">TRUE()</f>
        <v>1</v>
      </c>
    </row>
    <row r="30" customFormat="false" ht="169.5" hidden="false" customHeight="false" outlineLevel="0" collapsed="false">
      <c r="B30" s="1" t="n">
        <v>301242</v>
      </c>
      <c r="C30" s="60" t="s">
        <v>616</v>
      </c>
      <c r="D30" s="60" t="n">
        <f aca="false">DATEDIF($C$2, C30, "M")</f>
        <v>51</v>
      </c>
      <c r="E30" s="60" t="s">
        <v>617</v>
      </c>
      <c r="F30" s="31" t="b">
        <f aca="false">TRUE()</f>
        <v>1</v>
      </c>
      <c r="W30" s="1" t="s">
        <v>615</v>
      </c>
      <c r="Z30" s="1" t="s">
        <v>128</v>
      </c>
      <c r="AB30" s="1" t="s">
        <v>115</v>
      </c>
      <c r="AD30" s="30" t="s">
        <v>112</v>
      </c>
      <c r="AE30" s="30" t="s">
        <v>112</v>
      </c>
      <c r="AM30" s="27" t="b">
        <f aca="false">FALSE()</f>
        <v>0</v>
      </c>
      <c r="AN30" s="27" t="b">
        <f aca="false">FALSE()</f>
        <v>0</v>
      </c>
      <c r="AO30" s="1" t="s">
        <v>107</v>
      </c>
      <c r="AP30" s="1" t="s">
        <v>97</v>
      </c>
      <c r="AQ30" s="1" t="s">
        <v>107</v>
      </c>
      <c r="AR30" s="1" t="s">
        <v>97</v>
      </c>
      <c r="AT30" s="1" t="s">
        <v>150</v>
      </c>
      <c r="AV30" s="1" t="s">
        <v>116</v>
      </c>
      <c r="AY30" s="31" t="b">
        <f aca="false">TRUE()</f>
        <v>1</v>
      </c>
      <c r="AZ30" s="27" t="b">
        <f aca="false">TRUE()</f>
        <v>1</v>
      </c>
      <c r="BR30" s="1" t="s">
        <v>474</v>
      </c>
      <c r="BY30" s="31" t="b">
        <f aca="false">TRUE()</f>
        <v>1</v>
      </c>
      <c r="BZ30" s="27" t="b">
        <f aca="false">TRUE()</f>
        <v>1</v>
      </c>
    </row>
    <row r="31" customFormat="false" ht="186.75" hidden="false" customHeight="false" outlineLevel="0" collapsed="false">
      <c r="B31" s="1" t="n">
        <v>301242</v>
      </c>
      <c r="C31" s="60" t="s">
        <v>618</v>
      </c>
      <c r="D31" s="60" t="n">
        <f aca="false">DATEDIF($C$2, C31, "M")</f>
        <v>53</v>
      </c>
      <c r="E31" s="60" t="s">
        <v>619</v>
      </c>
      <c r="F31" s="31" t="b">
        <f aca="false">TRUE()</f>
        <v>1</v>
      </c>
      <c r="W31" s="1" t="s">
        <v>615</v>
      </c>
      <c r="Z31" s="1" t="s">
        <v>128</v>
      </c>
      <c r="AB31" s="1" t="s">
        <v>115</v>
      </c>
      <c r="AD31" s="30" t="s">
        <v>112</v>
      </c>
      <c r="AE31" s="30" t="s">
        <v>112</v>
      </c>
      <c r="AM31" s="27" t="b">
        <f aca="false">FALSE()</f>
        <v>0</v>
      </c>
      <c r="AN31" s="27" t="b">
        <f aca="false">FALSE()</f>
        <v>0</v>
      </c>
      <c r="AO31" s="1" t="s">
        <v>107</v>
      </c>
      <c r="AP31" s="1" t="s">
        <v>97</v>
      </c>
      <c r="AQ31" s="1" t="s">
        <v>107</v>
      </c>
      <c r="AR31" s="1" t="s">
        <v>97</v>
      </c>
      <c r="AT31" s="1" t="s">
        <v>133</v>
      </c>
      <c r="AV31" s="1" t="s">
        <v>133</v>
      </c>
      <c r="AX31" s="31" t="b">
        <f aca="false">TRUE()</f>
        <v>1</v>
      </c>
      <c r="AY31" s="31" t="b">
        <f aca="false">FALSE()</f>
        <v>0</v>
      </c>
      <c r="AZ31" s="31" t="b">
        <f aca="false">FALSE()</f>
        <v>0</v>
      </c>
      <c r="BR31" s="1" t="s">
        <v>620</v>
      </c>
      <c r="BZ31" s="31" t="b">
        <f aca="false">TRUE()</f>
        <v>1</v>
      </c>
    </row>
    <row r="32" customFormat="false" ht="153" hidden="false" customHeight="false" outlineLevel="0" collapsed="false">
      <c r="B32" s="1" t="n">
        <v>301242</v>
      </c>
      <c r="C32" s="60" t="s">
        <v>621</v>
      </c>
      <c r="D32" s="60" t="n">
        <f aca="false">DATEDIF($C$2, C32, "M")</f>
        <v>54</v>
      </c>
      <c r="E32" s="60" t="s">
        <v>622</v>
      </c>
      <c r="F32" s="31" t="b">
        <f aca="false">TRUE()</f>
        <v>1</v>
      </c>
      <c r="Z32" s="1" t="s">
        <v>128</v>
      </c>
      <c r="AB32" s="1" t="s">
        <v>115</v>
      </c>
      <c r="AD32" s="30" t="s">
        <v>112</v>
      </c>
      <c r="AE32" s="30" t="s">
        <v>112</v>
      </c>
      <c r="AM32" s="27" t="b">
        <f aca="false">FALSE()</f>
        <v>0</v>
      </c>
      <c r="AN32" s="27" t="b">
        <f aca="false">FALSE()</f>
        <v>0</v>
      </c>
      <c r="AO32" s="1" t="s">
        <v>107</v>
      </c>
      <c r="AP32" s="1" t="s">
        <v>97</v>
      </c>
      <c r="AQ32" s="1" t="s">
        <v>107</v>
      </c>
      <c r="AR32" s="1" t="s">
        <v>97</v>
      </c>
      <c r="AT32" s="1" t="s">
        <v>133</v>
      </c>
      <c r="AV32" s="1" t="s">
        <v>133</v>
      </c>
      <c r="AX32" s="31" t="b">
        <f aca="false">TRUE()</f>
        <v>1</v>
      </c>
      <c r="BR32" s="1" t="s">
        <v>135</v>
      </c>
      <c r="BY32" s="31" t="b">
        <f aca="false">TRUE()</f>
        <v>1</v>
      </c>
      <c r="BZ32" s="27" t="b">
        <f aca="false">TRUE()</f>
        <v>1</v>
      </c>
    </row>
    <row r="33" customFormat="false" ht="143.25" hidden="false" customHeight="false" outlineLevel="0" collapsed="false">
      <c r="B33" s="1" t="n">
        <v>301242</v>
      </c>
      <c r="C33" s="60" t="s">
        <v>623</v>
      </c>
      <c r="D33" s="60" t="n">
        <f aca="false">DATEDIF($C$2, C33, "M")</f>
        <v>55</v>
      </c>
      <c r="E33" s="60" t="s">
        <v>624</v>
      </c>
      <c r="F33" s="31" t="b">
        <f aca="false">TRUE()</f>
        <v>1</v>
      </c>
      <c r="Z33" s="1" t="s">
        <v>128</v>
      </c>
      <c r="AB33" s="1" t="s">
        <v>115</v>
      </c>
      <c r="AD33" s="30" t="s">
        <v>112</v>
      </c>
      <c r="AE33" s="30" t="s">
        <v>112</v>
      </c>
      <c r="AM33" s="27" t="b">
        <f aca="false">FALSE()</f>
        <v>0</v>
      </c>
      <c r="AN33" s="27" t="b">
        <f aca="false">FALSE()</f>
        <v>0</v>
      </c>
      <c r="AO33" s="1" t="s">
        <v>107</v>
      </c>
      <c r="AP33" s="1" t="s">
        <v>97</v>
      </c>
      <c r="AQ33" s="1" t="s">
        <v>107</v>
      </c>
      <c r="AR33" s="1" t="s">
        <v>97</v>
      </c>
    </row>
    <row r="34" customFormat="false" ht="143.25" hidden="false" customHeight="false" outlineLevel="0" collapsed="false">
      <c r="B34" s="1" t="n">
        <v>301242</v>
      </c>
      <c r="C34" s="60" t="s">
        <v>625</v>
      </c>
      <c r="D34" s="60" t="n">
        <f aca="false">DATEDIF($C$2, C34, "M")</f>
        <v>56</v>
      </c>
      <c r="E34" s="60" t="s">
        <v>626</v>
      </c>
      <c r="F34" s="31" t="b">
        <f aca="false">TRUE()</f>
        <v>1</v>
      </c>
      <c r="I34" s="27" t="b">
        <f aca="false">TRUE()</f>
        <v>1</v>
      </c>
      <c r="Z34" s="1" t="s">
        <v>128</v>
      </c>
      <c r="AB34" s="1" t="s">
        <v>115</v>
      </c>
      <c r="AD34" s="30" t="s">
        <v>112</v>
      </c>
      <c r="AE34" s="30" t="s">
        <v>112</v>
      </c>
      <c r="CF34" s="31" t="b">
        <f aca="false">TRUE()</f>
        <v>1</v>
      </c>
      <c r="CG34" s="27" t="b">
        <f aca="false">TRUE()</f>
        <v>1</v>
      </c>
    </row>
    <row r="35" customFormat="false" ht="29.85" hidden="false" customHeight="false" outlineLevel="0" collapsed="false">
      <c r="B35" s="1" t="n">
        <v>301242</v>
      </c>
      <c r="C35" s="60" t="s">
        <v>627</v>
      </c>
      <c r="D35" s="60" t="n">
        <f aca="false">DATEDIF($C$2, C35, "M")</f>
        <v>57</v>
      </c>
      <c r="E35" s="60" t="s">
        <v>628</v>
      </c>
      <c r="F35" s="31" t="b">
        <f aca="false">TRUE()</f>
        <v>1</v>
      </c>
      <c r="AD35" s="30"/>
      <c r="AE35" s="30"/>
      <c r="BW35" s="1" t="s">
        <v>224</v>
      </c>
      <c r="BX35" s="1" t="s">
        <v>224</v>
      </c>
      <c r="CH35" s="27" t="b">
        <f aca="false">TRUE()</f>
        <v>1</v>
      </c>
    </row>
    <row r="36" customFormat="false" ht="29.85" hidden="false" customHeight="false" outlineLevel="0" collapsed="false">
      <c r="B36" s="1" t="n">
        <v>301242</v>
      </c>
      <c r="C36" s="60" t="s">
        <v>629</v>
      </c>
      <c r="D36" s="60" t="n">
        <f aca="false">DATEDIF($C$2, C36, "M")</f>
        <v>57</v>
      </c>
      <c r="E36" s="60" t="s">
        <v>630</v>
      </c>
      <c r="F36" s="31" t="b">
        <f aca="false">TRUE()</f>
        <v>1</v>
      </c>
      <c r="AD36" s="30"/>
      <c r="AE36" s="30"/>
      <c r="BR36" s="1" t="s">
        <v>473</v>
      </c>
      <c r="BW36" s="1" t="s">
        <v>224</v>
      </c>
      <c r="BX36" s="1" t="s">
        <v>224</v>
      </c>
      <c r="CH36" s="27" t="b">
        <f aca="false">TRUE()</f>
        <v>1</v>
      </c>
      <c r="CI36" s="27" t="b">
        <f aca="false">FALSE()</f>
        <v>0</v>
      </c>
    </row>
    <row r="37" customFormat="false" ht="15.75" hidden="false" customHeight="false" outlineLevel="0" collapsed="false">
      <c r="AD37" s="30"/>
      <c r="AE37" s="30"/>
    </row>
    <row r="38" customFormat="false" ht="15.75" hidden="false" customHeight="false" outlineLevel="0" collapsed="false">
      <c r="AD38" s="30"/>
      <c r="AE38" s="30"/>
    </row>
    <row r="39" customFormat="false" ht="15.75" hidden="false" customHeight="false" outlineLevel="0" collapsed="false">
      <c r="AD39" s="30"/>
      <c r="AE39" s="30"/>
    </row>
    <row r="40" customFormat="false" ht="15.75" hidden="false" customHeight="false" outlineLevel="0" collapsed="false">
      <c r="AD40" s="30"/>
      <c r="AE40" s="30"/>
    </row>
    <row r="41" customFormat="false" ht="15.75" hidden="false" customHeight="false" outlineLevel="0" collapsed="false">
      <c r="AD41" s="30"/>
      <c r="AE41" s="30"/>
    </row>
    <row r="42" customFormat="false" ht="15.75" hidden="false" customHeight="false" outlineLevel="0" collapsed="false">
      <c r="AD42" s="30"/>
      <c r="AE42" s="30"/>
    </row>
    <row r="43" customFormat="false" ht="15.75" hidden="false" customHeight="false" outlineLevel="0" collapsed="false">
      <c r="AD43" s="30"/>
      <c r="AE43" s="30"/>
    </row>
    <row r="44" customFormat="false" ht="15.75" hidden="false" customHeight="false" outlineLevel="0" collapsed="false">
      <c r="AD44" s="30"/>
      <c r="AE44" s="30"/>
    </row>
    <row r="45" customFormat="false" ht="15.75" hidden="false" customHeight="false" outlineLevel="0" collapsed="false">
      <c r="AD45" s="30"/>
      <c r="AE45" s="30"/>
    </row>
    <row r="46" customFormat="false" ht="15.75" hidden="false" customHeight="false" outlineLevel="0" collapsed="false">
      <c r="AD46" s="30"/>
      <c r="AE46" s="30"/>
    </row>
    <row r="47" customFormat="false" ht="15.75" hidden="false" customHeight="false" outlineLevel="0" collapsed="false">
      <c r="AD47" s="30"/>
      <c r="AE47" s="30"/>
    </row>
    <row r="48" customFormat="false" ht="15.75" hidden="false" customHeight="false" outlineLevel="0" collapsed="false">
      <c r="AD48" s="30"/>
      <c r="AE48" s="30"/>
    </row>
    <row r="49" customFormat="false" ht="15.75" hidden="false" customHeight="false" outlineLevel="0" collapsed="false">
      <c r="AD49" s="30"/>
      <c r="AE49" s="30"/>
    </row>
    <row r="50" customFormat="false" ht="15.75" hidden="false" customHeight="false" outlineLevel="0" collapsed="false">
      <c r="AD50" s="30"/>
      <c r="AE50" s="30"/>
    </row>
    <row r="51" customFormat="false" ht="15.75" hidden="false" customHeight="false" outlineLevel="0" collapsed="false">
      <c r="AD51" s="30"/>
      <c r="AE51" s="30"/>
    </row>
    <row r="52" customFormat="false" ht="15.75" hidden="false" customHeight="false" outlineLevel="0" collapsed="false">
      <c r="AD52" s="30"/>
      <c r="AE52" s="30"/>
    </row>
    <row r="53" customFormat="false" ht="15.75" hidden="false" customHeight="false" outlineLevel="0" collapsed="false">
      <c r="AD53" s="30"/>
      <c r="AE53" s="30"/>
    </row>
    <row r="54" customFormat="false" ht="15.75" hidden="false" customHeight="false" outlineLevel="0" collapsed="false">
      <c r="AD54" s="30"/>
      <c r="AE54" s="30"/>
    </row>
    <row r="55" customFormat="false" ht="15.75" hidden="false" customHeight="false" outlineLevel="0" collapsed="false">
      <c r="AD55" s="30"/>
      <c r="AE55" s="30"/>
    </row>
    <row r="56" customFormat="false" ht="15.75" hidden="false" customHeight="false" outlineLevel="0" collapsed="false">
      <c r="AD56" s="30"/>
      <c r="AE56" s="30"/>
    </row>
    <row r="57" customFormat="false" ht="15.75" hidden="false" customHeight="false" outlineLevel="0" collapsed="false">
      <c r="AD57" s="30"/>
      <c r="AE57" s="30"/>
    </row>
    <row r="58" customFormat="false" ht="15.75" hidden="false" customHeight="false" outlineLevel="0" collapsed="false">
      <c r="AD58" s="30"/>
      <c r="AE58" s="30"/>
    </row>
    <row r="59" customFormat="false" ht="15.75" hidden="false" customHeight="false" outlineLevel="0" collapsed="false">
      <c r="AD59" s="30"/>
      <c r="AE59" s="30"/>
    </row>
    <row r="60" customFormat="false" ht="15.75" hidden="false" customHeight="false" outlineLevel="0" collapsed="false">
      <c r="AD60" s="30"/>
      <c r="AE60" s="30"/>
    </row>
    <row r="61" customFormat="false" ht="15.75" hidden="false" customHeight="false" outlineLevel="0" collapsed="false">
      <c r="AD61" s="30"/>
      <c r="AE61" s="30"/>
    </row>
    <row r="62" customFormat="false" ht="15.75" hidden="false" customHeight="false" outlineLevel="0" collapsed="false">
      <c r="AD62" s="30"/>
      <c r="AE62" s="30"/>
    </row>
    <row r="63" customFormat="false" ht="15.75" hidden="false" customHeight="false" outlineLevel="0" collapsed="false">
      <c r="AD63" s="30"/>
      <c r="AE63" s="30"/>
    </row>
    <row r="64" customFormat="false" ht="15.75" hidden="false" customHeight="false" outlineLevel="0" collapsed="false">
      <c r="AD64" s="30"/>
      <c r="AE64" s="30"/>
    </row>
    <row r="65" customFormat="false" ht="15.75" hidden="false" customHeight="false" outlineLevel="0" collapsed="false">
      <c r="AD65" s="30"/>
      <c r="AE65" s="30"/>
    </row>
    <row r="66" customFormat="false" ht="15.75" hidden="false" customHeight="false" outlineLevel="0" collapsed="false">
      <c r="AD66" s="30"/>
      <c r="AE66" s="30"/>
    </row>
    <row r="67" customFormat="false" ht="15.75" hidden="false" customHeight="false" outlineLevel="0" collapsed="false">
      <c r="AD67" s="30"/>
      <c r="AE67" s="30"/>
    </row>
    <row r="68" customFormat="false" ht="15.75" hidden="false" customHeight="false" outlineLevel="0" collapsed="false">
      <c r="AD68" s="30"/>
      <c r="AE68" s="30"/>
    </row>
    <row r="69" customFormat="false" ht="15.75" hidden="false" customHeight="false" outlineLevel="0" collapsed="false">
      <c r="AD69" s="30"/>
      <c r="AE69" s="30"/>
    </row>
    <row r="70" customFormat="false" ht="15.75" hidden="false" customHeight="false" outlineLevel="0" collapsed="false">
      <c r="AD70" s="30"/>
      <c r="AE70" s="30"/>
    </row>
    <row r="71" customFormat="false" ht="15.75" hidden="false" customHeight="false" outlineLevel="0" collapsed="false">
      <c r="AD71" s="30"/>
      <c r="AE71" s="30"/>
    </row>
    <row r="72" customFormat="false" ht="15.75" hidden="false" customHeight="false" outlineLevel="0" collapsed="false">
      <c r="AD72" s="30"/>
      <c r="AE72" s="30"/>
    </row>
    <row r="73" customFormat="false" ht="15.75" hidden="false" customHeight="false" outlineLevel="0" collapsed="false">
      <c r="AD73" s="30"/>
      <c r="AE73" s="30"/>
    </row>
    <row r="74" customFormat="false" ht="15.75" hidden="false" customHeight="false" outlineLevel="0" collapsed="false">
      <c r="AD74" s="30"/>
      <c r="AE74" s="30"/>
    </row>
    <row r="75" customFormat="false" ht="15.75" hidden="false" customHeight="false" outlineLevel="0" collapsed="false">
      <c r="AD75" s="30"/>
      <c r="AE75" s="30"/>
    </row>
    <row r="76" customFormat="false" ht="15.75" hidden="false" customHeight="false" outlineLevel="0" collapsed="false">
      <c r="AD76" s="30"/>
      <c r="AE76" s="30"/>
    </row>
    <row r="77" customFormat="false" ht="15.75" hidden="false" customHeight="false" outlineLevel="0" collapsed="false">
      <c r="AD77" s="30"/>
      <c r="AE77" s="30"/>
    </row>
    <row r="78" customFormat="false" ht="15.75" hidden="false" customHeight="false" outlineLevel="0" collapsed="false">
      <c r="AD78" s="30"/>
      <c r="AE78" s="30"/>
    </row>
    <row r="79" customFormat="false" ht="15.75" hidden="false" customHeight="false" outlineLevel="0" collapsed="false">
      <c r="AD79" s="30"/>
      <c r="AE79" s="30"/>
    </row>
    <row r="80" customFormat="false" ht="15.75" hidden="false" customHeight="false" outlineLevel="0" collapsed="false">
      <c r="AD80" s="30"/>
      <c r="AE80" s="30"/>
    </row>
    <row r="81" customFormat="false" ht="15.75" hidden="false" customHeight="false" outlineLevel="0" collapsed="false">
      <c r="AD81" s="30"/>
      <c r="AE81" s="30"/>
    </row>
    <row r="82" customFormat="false" ht="15.75" hidden="false" customHeight="false" outlineLevel="0" collapsed="false">
      <c r="AD82" s="30"/>
      <c r="AE82" s="30"/>
    </row>
    <row r="83" customFormat="false" ht="15.75" hidden="false" customHeight="false" outlineLevel="0" collapsed="false">
      <c r="AD83" s="30"/>
      <c r="AE83" s="30"/>
    </row>
    <row r="84" customFormat="false" ht="15.75" hidden="false" customHeight="false" outlineLevel="0" collapsed="false">
      <c r="AD84" s="30"/>
      <c r="AE84" s="30"/>
    </row>
    <row r="85" customFormat="false" ht="15.75" hidden="false" customHeight="false" outlineLevel="0" collapsed="false">
      <c r="AD85" s="30"/>
      <c r="AE85" s="30"/>
    </row>
    <row r="86" customFormat="false" ht="15.75" hidden="false" customHeight="false" outlineLevel="0" collapsed="false">
      <c r="AD86" s="30"/>
      <c r="AE86" s="30"/>
    </row>
    <row r="87" customFormat="false" ht="15.75" hidden="false" customHeight="false" outlineLevel="0" collapsed="false">
      <c r="AD87" s="30"/>
      <c r="AE87" s="30"/>
    </row>
    <row r="88" customFormat="false" ht="15.75" hidden="false" customHeight="false" outlineLevel="0" collapsed="false">
      <c r="AD88" s="30"/>
      <c r="AE88" s="30"/>
    </row>
    <row r="89" customFormat="false" ht="15.75" hidden="false" customHeight="false" outlineLevel="0" collapsed="false">
      <c r="AD89" s="30"/>
      <c r="AE89" s="30"/>
    </row>
    <row r="90" customFormat="false" ht="15.75" hidden="false" customHeight="false" outlineLevel="0" collapsed="false">
      <c r="AD90" s="30"/>
      <c r="AE90" s="30"/>
    </row>
    <row r="91" customFormat="false" ht="15.75" hidden="false" customHeight="false" outlineLevel="0" collapsed="false">
      <c r="AD91" s="30"/>
      <c r="AE91" s="30"/>
    </row>
    <row r="92" customFormat="false" ht="15.75" hidden="false" customHeight="false" outlineLevel="0" collapsed="false">
      <c r="AD92" s="30"/>
      <c r="AE92" s="30"/>
    </row>
    <row r="93" customFormat="false" ht="15.75" hidden="false" customHeight="false" outlineLevel="0" collapsed="false">
      <c r="AD93" s="30"/>
      <c r="AE93" s="30"/>
    </row>
    <row r="94" customFormat="false" ht="15.75" hidden="false" customHeight="false" outlineLevel="0" collapsed="false">
      <c r="AD94" s="30"/>
      <c r="AE94" s="30"/>
    </row>
    <row r="95" customFormat="false" ht="15.75" hidden="false" customHeight="false" outlineLevel="0" collapsed="false">
      <c r="AD95" s="30"/>
      <c r="AE95" s="30"/>
    </row>
    <row r="96" customFormat="false" ht="15.75" hidden="false" customHeight="false" outlineLevel="0" collapsed="false">
      <c r="AD96" s="30"/>
      <c r="AE96" s="30"/>
    </row>
    <row r="97" customFormat="false" ht="15.75" hidden="false" customHeight="false" outlineLevel="0" collapsed="false">
      <c r="AD97" s="30"/>
      <c r="AE97" s="30"/>
    </row>
    <row r="98" customFormat="false" ht="15.75" hidden="false" customHeight="false" outlineLevel="0" collapsed="false">
      <c r="AD98" s="30"/>
      <c r="AE98" s="30"/>
    </row>
    <row r="99" customFormat="false" ht="15.75" hidden="false" customHeight="false" outlineLevel="0" collapsed="false">
      <c r="AD99" s="30"/>
      <c r="AE99" s="30"/>
    </row>
    <row r="100" customFormat="false" ht="15.75" hidden="false" customHeight="false" outlineLevel="0" collapsed="false">
      <c r="AD100" s="30"/>
      <c r="AE100" s="30"/>
    </row>
    <row r="101" customFormat="false" ht="15.75" hidden="false" customHeight="false" outlineLevel="0" collapsed="false">
      <c r="AD101" s="30"/>
      <c r="AE101" s="30"/>
    </row>
    <row r="102" customFormat="false" ht="15.75" hidden="false" customHeight="false" outlineLevel="0" collapsed="false">
      <c r="AD102" s="30"/>
      <c r="AE102" s="30"/>
    </row>
    <row r="103" customFormat="false" ht="15.75" hidden="false" customHeight="false" outlineLevel="0" collapsed="false">
      <c r="AD103" s="30"/>
      <c r="AE103" s="30"/>
    </row>
    <row r="104" customFormat="false" ht="15.75" hidden="false" customHeight="false" outlineLevel="0" collapsed="false">
      <c r="AD104" s="30"/>
      <c r="AE104" s="30"/>
    </row>
    <row r="105" customFormat="false" ht="15.75" hidden="false" customHeight="false" outlineLevel="0" collapsed="false">
      <c r="AD105" s="30"/>
      <c r="AE105" s="30"/>
    </row>
    <row r="106" customFormat="false" ht="15.75" hidden="false" customHeight="false" outlineLevel="0" collapsed="false">
      <c r="AD106" s="30"/>
      <c r="AE106" s="30"/>
    </row>
    <row r="107" customFormat="false" ht="15.75" hidden="false" customHeight="false" outlineLevel="0" collapsed="false">
      <c r="AD107" s="30"/>
      <c r="AE107" s="30"/>
    </row>
    <row r="108" customFormat="false" ht="15.75" hidden="false" customHeight="false" outlineLevel="0" collapsed="false">
      <c r="AD108" s="30"/>
      <c r="AE108" s="30"/>
    </row>
    <row r="109" customFormat="false" ht="15.75" hidden="false" customHeight="false" outlineLevel="0" collapsed="false">
      <c r="AD109" s="30"/>
      <c r="AE109" s="30"/>
    </row>
    <row r="110" customFormat="false" ht="15.75" hidden="false" customHeight="false" outlineLevel="0" collapsed="false">
      <c r="AD110" s="30"/>
      <c r="AE110" s="30"/>
    </row>
    <row r="111" customFormat="false" ht="15.75" hidden="false" customHeight="false" outlineLevel="0" collapsed="false">
      <c r="AD111" s="30"/>
      <c r="AE111" s="30"/>
    </row>
    <row r="112" customFormat="false" ht="15.75" hidden="false" customHeight="false" outlineLevel="0" collapsed="false">
      <c r="AD112" s="30"/>
      <c r="AE112" s="30"/>
    </row>
    <row r="113" customFormat="false" ht="15.75" hidden="false" customHeight="false" outlineLevel="0" collapsed="false">
      <c r="AD113" s="30"/>
      <c r="AE113" s="30"/>
    </row>
    <row r="114" customFormat="false" ht="15.75" hidden="false" customHeight="false" outlineLevel="0" collapsed="false">
      <c r="AD114" s="30"/>
      <c r="AE114" s="30"/>
    </row>
    <row r="115" customFormat="false" ht="15.75" hidden="false" customHeight="false" outlineLevel="0" collapsed="false">
      <c r="AD115" s="30"/>
      <c r="AE115" s="30"/>
    </row>
    <row r="116" customFormat="false" ht="15.75" hidden="false" customHeight="false" outlineLevel="0" collapsed="false">
      <c r="AD116" s="30"/>
      <c r="AE116" s="30"/>
    </row>
    <row r="117" customFormat="false" ht="15.75" hidden="false" customHeight="false" outlineLevel="0" collapsed="false">
      <c r="AD117" s="30"/>
      <c r="AE117" s="30"/>
    </row>
    <row r="118" customFormat="false" ht="15.75" hidden="false" customHeight="false" outlineLevel="0" collapsed="false">
      <c r="AD118" s="30"/>
      <c r="AE118" s="30"/>
    </row>
    <row r="119" customFormat="false" ht="15.75" hidden="false" customHeight="false" outlineLevel="0" collapsed="false">
      <c r="AD119" s="30"/>
      <c r="AE119" s="30"/>
    </row>
    <row r="120" customFormat="false" ht="15.75" hidden="false" customHeight="false" outlineLevel="0" collapsed="false">
      <c r="AD120" s="30"/>
      <c r="AE120" s="30"/>
    </row>
    <row r="121" customFormat="false" ht="15.75" hidden="false" customHeight="false" outlineLevel="0" collapsed="false">
      <c r="AD121" s="30"/>
      <c r="AE121" s="30"/>
    </row>
    <row r="122" customFormat="false" ht="15.75" hidden="false" customHeight="false" outlineLevel="0" collapsed="false">
      <c r="AD122" s="30"/>
      <c r="AE122" s="30"/>
    </row>
    <row r="123" customFormat="false" ht="15.75" hidden="false" customHeight="false" outlineLevel="0" collapsed="false">
      <c r="AD123" s="30"/>
      <c r="AE123" s="30"/>
    </row>
    <row r="124" customFormat="false" ht="15.75" hidden="false" customHeight="false" outlineLevel="0" collapsed="false">
      <c r="AD124" s="30"/>
      <c r="AE124" s="30"/>
    </row>
    <row r="125" customFormat="false" ht="15.75" hidden="false" customHeight="false" outlineLevel="0" collapsed="false">
      <c r="AD125" s="30"/>
      <c r="AE125" s="30"/>
    </row>
    <row r="126" customFormat="false" ht="15.75" hidden="false" customHeight="false" outlineLevel="0" collapsed="false">
      <c r="AD126" s="30"/>
      <c r="AE126" s="30"/>
    </row>
    <row r="127" customFormat="false" ht="15.75" hidden="false" customHeight="false" outlineLevel="0" collapsed="false">
      <c r="AD127" s="30"/>
      <c r="AE127" s="30"/>
    </row>
    <row r="128" customFormat="false" ht="15.75" hidden="false" customHeight="false" outlineLevel="0" collapsed="false">
      <c r="AD128" s="30"/>
      <c r="AE128" s="30"/>
    </row>
    <row r="129" customFormat="false" ht="15.75" hidden="false" customHeight="false" outlineLevel="0" collapsed="false">
      <c r="AD129" s="30"/>
      <c r="AE129" s="30"/>
    </row>
    <row r="130" customFormat="false" ht="15.75" hidden="false" customHeight="false" outlineLevel="0" collapsed="false">
      <c r="AD130" s="30"/>
      <c r="AE130" s="30"/>
    </row>
    <row r="131" customFormat="false" ht="15.75" hidden="false" customHeight="false" outlineLevel="0" collapsed="false">
      <c r="AD131" s="30"/>
      <c r="AE131" s="30"/>
    </row>
    <row r="132" customFormat="false" ht="15.75" hidden="false" customHeight="false" outlineLevel="0" collapsed="false">
      <c r="AD132" s="30"/>
      <c r="AE132" s="30"/>
    </row>
    <row r="133" customFormat="false" ht="15.75" hidden="false" customHeight="false" outlineLevel="0" collapsed="false">
      <c r="AD133" s="30"/>
      <c r="AE133" s="30"/>
    </row>
    <row r="134" customFormat="false" ht="15.75" hidden="false" customHeight="false" outlineLevel="0" collapsed="false">
      <c r="AD134" s="30"/>
      <c r="AE134" s="30"/>
    </row>
    <row r="135" customFormat="false" ht="15.75" hidden="false" customHeight="false" outlineLevel="0" collapsed="false">
      <c r="AD135" s="30"/>
      <c r="AE135" s="30"/>
    </row>
    <row r="136" customFormat="false" ht="15.75" hidden="false" customHeight="false" outlineLevel="0" collapsed="false">
      <c r="AD136" s="30"/>
      <c r="AE136" s="30"/>
    </row>
    <row r="137" customFormat="false" ht="15.75" hidden="false" customHeight="false" outlineLevel="0" collapsed="false">
      <c r="AD137" s="30"/>
      <c r="AE137" s="30"/>
    </row>
    <row r="138" customFormat="false" ht="15.75" hidden="false" customHeight="false" outlineLevel="0" collapsed="false">
      <c r="AD138" s="30"/>
      <c r="AE138" s="30"/>
    </row>
    <row r="139" customFormat="false" ht="15.75" hidden="false" customHeight="false" outlineLevel="0" collapsed="false">
      <c r="AD139" s="30"/>
      <c r="AE139" s="30"/>
    </row>
    <row r="140" customFormat="false" ht="15.75" hidden="false" customHeight="false" outlineLevel="0" collapsed="false">
      <c r="AD140" s="30"/>
      <c r="AE140" s="30"/>
    </row>
    <row r="141" customFormat="false" ht="15.75" hidden="false" customHeight="false" outlineLevel="0" collapsed="false">
      <c r="AD141" s="30"/>
      <c r="AE141" s="30"/>
    </row>
    <row r="142" customFormat="false" ht="15.75" hidden="false" customHeight="false" outlineLevel="0" collapsed="false">
      <c r="AD142" s="30"/>
      <c r="AE142" s="30"/>
    </row>
    <row r="143" customFormat="false" ht="15.75" hidden="false" customHeight="false" outlineLevel="0" collapsed="false">
      <c r="AD143" s="30"/>
      <c r="AE143" s="30"/>
    </row>
    <row r="144" customFormat="false" ht="15.75" hidden="false" customHeight="false" outlineLevel="0" collapsed="false">
      <c r="AD144" s="30"/>
      <c r="AE144" s="30"/>
    </row>
    <row r="145" customFormat="false" ht="15.75" hidden="false" customHeight="false" outlineLevel="0" collapsed="false">
      <c r="AD145" s="30"/>
      <c r="AE145" s="30"/>
    </row>
    <row r="146" customFormat="false" ht="15.75" hidden="false" customHeight="false" outlineLevel="0" collapsed="false">
      <c r="AD146" s="30"/>
      <c r="AE146" s="30"/>
    </row>
    <row r="147" customFormat="false" ht="15.75" hidden="false" customHeight="false" outlineLevel="0" collapsed="false">
      <c r="AD147" s="30"/>
      <c r="AE147" s="30"/>
    </row>
    <row r="148" customFormat="false" ht="15.75" hidden="false" customHeight="false" outlineLevel="0" collapsed="false">
      <c r="AD148" s="30"/>
      <c r="AE148" s="30"/>
    </row>
    <row r="149" customFormat="false" ht="15.75" hidden="false" customHeight="false" outlineLevel="0" collapsed="false">
      <c r="AD149" s="30"/>
      <c r="AE149" s="30"/>
    </row>
    <row r="150" customFormat="false" ht="15.75" hidden="false" customHeight="false" outlineLevel="0" collapsed="false">
      <c r="AD150" s="30"/>
      <c r="AE150" s="30"/>
    </row>
    <row r="151" customFormat="false" ht="15.75" hidden="false" customHeight="false" outlineLevel="0" collapsed="false">
      <c r="AD151" s="30"/>
      <c r="AE151" s="30"/>
    </row>
    <row r="152" customFormat="false" ht="15.75" hidden="false" customHeight="false" outlineLevel="0" collapsed="false">
      <c r="AD152" s="30"/>
      <c r="AE152" s="30"/>
    </row>
    <row r="153" customFormat="false" ht="15.75" hidden="false" customHeight="false" outlineLevel="0" collapsed="false">
      <c r="AD153" s="30"/>
      <c r="AE153" s="30"/>
    </row>
    <row r="154" customFormat="false" ht="15.75" hidden="false" customHeight="false" outlineLevel="0" collapsed="false">
      <c r="AD154" s="30"/>
      <c r="AE154" s="30"/>
    </row>
    <row r="155" customFormat="false" ht="15.75" hidden="false" customHeight="false" outlineLevel="0" collapsed="false">
      <c r="AD155" s="30"/>
      <c r="AE155" s="30"/>
    </row>
    <row r="156" customFormat="false" ht="15.75" hidden="false" customHeight="false" outlineLevel="0" collapsed="false">
      <c r="AD156" s="30"/>
      <c r="AE156" s="30"/>
    </row>
    <row r="157" customFormat="false" ht="15.75" hidden="false" customHeight="false" outlineLevel="0" collapsed="false">
      <c r="AD157" s="30"/>
      <c r="AE157" s="30"/>
    </row>
    <row r="158" customFormat="false" ht="15.75" hidden="false" customHeight="false" outlineLevel="0" collapsed="false">
      <c r="AD158" s="30"/>
      <c r="AE158" s="30"/>
    </row>
    <row r="159" customFormat="false" ht="15.75" hidden="false" customHeight="false" outlineLevel="0" collapsed="false">
      <c r="AD159" s="30"/>
      <c r="AE159" s="30"/>
    </row>
    <row r="160" customFormat="false" ht="15.75" hidden="false" customHeight="false" outlineLevel="0" collapsed="false">
      <c r="AD160" s="30"/>
      <c r="AE160" s="30"/>
    </row>
    <row r="161" customFormat="false" ht="15.75" hidden="false" customHeight="false" outlineLevel="0" collapsed="false">
      <c r="AD161" s="30"/>
      <c r="AE161" s="30"/>
    </row>
    <row r="162" customFormat="false" ht="15.75" hidden="false" customHeight="false" outlineLevel="0" collapsed="false">
      <c r="AD162" s="30"/>
      <c r="AE162" s="30"/>
    </row>
    <row r="163" customFormat="false" ht="15.75" hidden="false" customHeight="false" outlineLevel="0" collapsed="false">
      <c r="AD163" s="30"/>
      <c r="AE163" s="30"/>
    </row>
    <row r="164" customFormat="false" ht="15.75" hidden="false" customHeight="false" outlineLevel="0" collapsed="false">
      <c r="AD164" s="30"/>
      <c r="AE164" s="30"/>
    </row>
    <row r="165" customFormat="false" ht="15.75" hidden="false" customHeight="false" outlineLevel="0" collapsed="false">
      <c r="AD165" s="30"/>
      <c r="AE165" s="30"/>
    </row>
    <row r="166" customFormat="false" ht="15.75" hidden="false" customHeight="false" outlineLevel="0" collapsed="false">
      <c r="AD166" s="30"/>
      <c r="AE166" s="30"/>
    </row>
    <row r="167" customFormat="false" ht="15.75" hidden="false" customHeight="false" outlineLevel="0" collapsed="false">
      <c r="AD167" s="30"/>
      <c r="AE167" s="30"/>
    </row>
    <row r="168" customFormat="false" ht="15.75" hidden="false" customHeight="false" outlineLevel="0" collapsed="false">
      <c r="AD168" s="30"/>
      <c r="AE168" s="30"/>
    </row>
    <row r="169" customFormat="false" ht="15.75" hidden="false" customHeight="false" outlineLevel="0" collapsed="false">
      <c r="AD169" s="30"/>
      <c r="AE169" s="30"/>
    </row>
    <row r="170" customFormat="false" ht="15.75" hidden="false" customHeight="false" outlineLevel="0" collapsed="false">
      <c r="AD170" s="30"/>
      <c r="AE170" s="30"/>
    </row>
    <row r="171" customFormat="false" ht="15.75" hidden="false" customHeight="false" outlineLevel="0" collapsed="false">
      <c r="AD171" s="30"/>
      <c r="AE171" s="30"/>
    </row>
    <row r="172" customFormat="false" ht="15.75" hidden="false" customHeight="false" outlineLevel="0" collapsed="false">
      <c r="AD172" s="30"/>
      <c r="AE172" s="30"/>
    </row>
    <row r="173" customFormat="false" ht="15.75" hidden="false" customHeight="false" outlineLevel="0" collapsed="false">
      <c r="AD173" s="30"/>
      <c r="AE173" s="30"/>
    </row>
    <row r="174" customFormat="false" ht="15.75" hidden="false" customHeight="false" outlineLevel="0" collapsed="false">
      <c r="AD174" s="30"/>
      <c r="AE174" s="30"/>
    </row>
    <row r="175" customFormat="false" ht="15.75" hidden="false" customHeight="false" outlineLevel="0" collapsed="false">
      <c r="AD175" s="30"/>
      <c r="AE175" s="30"/>
    </row>
    <row r="176" customFormat="false" ht="15.75" hidden="false" customHeight="false" outlineLevel="0" collapsed="false">
      <c r="AD176" s="30"/>
      <c r="AE176" s="30"/>
    </row>
    <row r="177" customFormat="false" ht="15.75" hidden="false" customHeight="false" outlineLevel="0" collapsed="false">
      <c r="AD177" s="30"/>
      <c r="AE177" s="30"/>
    </row>
    <row r="178" customFormat="false" ht="15.75" hidden="false" customHeight="false" outlineLevel="0" collapsed="false">
      <c r="AD178" s="30"/>
      <c r="AE178" s="30"/>
    </row>
    <row r="179" customFormat="false" ht="15.75" hidden="false" customHeight="false" outlineLevel="0" collapsed="false">
      <c r="AD179" s="30"/>
      <c r="AE179" s="30"/>
    </row>
    <row r="180" customFormat="false" ht="15.75" hidden="false" customHeight="false" outlineLevel="0" collapsed="false">
      <c r="AD180" s="30"/>
      <c r="AE180" s="30"/>
    </row>
    <row r="181" customFormat="false" ht="15.75" hidden="false" customHeight="false" outlineLevel="0" collapsed="false">
      <c r="AD181" s="30"/>
      <c r="AE181" s="30"/>
    </row>
    <row r="182" customFormat="false" ht="15.75" hidden="false" customHeight="false" outlineLevel="0" collapsed="false">
      <c r="AD182" s="30"/>
      <c r="AE182" s="30"/>
    </row>
    <row r="183" customFormat="false" ht="15.75" hidden="false" customHeight="false" outlineLevel="0" collapsed="false">
      <c r="AD183" s="30"/>
      <c r="AE183" s="30"/>
    </row>
    <row r="184" customFormat="false" ht="15.75" hidden="false" customHeight="false" outlineLevel="0" collapsed="false">
      <c r="AD184" s="30"/>
      <c r="AE184" s="30"/>
    </row>
    <row r="185" customFormat="false" ht="15.75" hidden="false" customHeight="false" outlineLevel="0" collapsed="false">
      <c r="AD185" s="30"/>
      <c r="AE185" s="30"/>
    </row>
    <row r="186" customFormat="false" ht="15.75" hidden="false" customHeight="false" outlineLevel="0" collapsed="false">
      <c r="AD186" s="30"/>
      <c r="AE186" s="30"/>
    </row>
    <row r="187" customFormat="false" ht="15.75" hidden="false" customHeight="false" outlineLevel="0" collapsed="false">
      <c r="AD187" s="30"/>
      <c r="AE187" s="30"/>
    </row>
    <row r="188" customFormat="false" ht="15.75" hidden="false" customHeight="false" outlineLevel="0" collapsed="false">
      <c r="AD188" s="30"/>
      <c r="AE188" s="30"/>
    </row>
    <row r="189" customFormat="false" ht="15.75" hidden="false" customHeight="false" outlineLevel="0" collapsed="false">
      <c r="AD189" s="30"/>
      <c r="AE189" s="30"/>
    </row>
    <row r="190" customFormat="false" ht="15.75" hidden="false" customHeight="false" outlineLevel="0" collapsed="false">
      <c r="AD190" s="30"/>
      <c r="AE190" s="30"/>
    </row>
    <row r="191" customFormat="false" ht="15.75" hidden="false" customHeight="false" outlineLevel="0" collapsed="false">
      <c r="AD191" s="30"/>
      <c r="AE191" s="30"/>
    </row>
    <row r="192" customFormat="false" ht="15.75" hidden="false" customHeight="false" outlineLevel="0" collapsed="false">
      <c r="AD192" s="30"/>
      <c r="AE192" s="30"/>
    </row>
    <row r="193" customFormat="false" ht="15.75" hidden="false" customHeight="false" outlineLevel="0" collapsed="false">
      <c r="AD193" s="30"/>
      <c r="AE193" s="30"/>
    </row>
    <row r="194" customFormat="false" ht="15.75" hidden="false" customHeight="false" outlineLevel="0" collapsed="false">
      <c r="AD194" s="30"/>
      <c r="AE194" s="30"/>
    </row>
    <row r="195" customFormat="false" ht="15.75" hidden="false" customHeight="false" outlineLevel="0" collapsed="false">
      <c r="AD195" s="30"/>
      <c r="AE195" s="30"/>
    </row>
    <row r="196" customFormat="false" ht="15.75" hidden="false" customHeight="false" outlineLevel="0" collapsed="false">
      <c r="AD196" s="30"/>
      <c r="AE196" s="30"/>
    </row>
    <row r="197" customFormat="false" ht="15.75" hidden="false" customHeight="false" outlineLevel="0" collapsed="false">
      <c r="AD197" s="30"/>
      <c r="AE197" s="30"/>
    </row>
    <row r="198" customFormat="false" ht="15.75" hidden="false" customHeight="false" outlineLevel="0" collapsed="false">
      <c r="AD198" s="30"/>
      <c r="AE198" s="30"/>
    </row>
    <row r="199" customFormat="false" ht="15.75" hidden="false" customHeight="false" outlineLevel="0" collapsed="false">
      <c r="AD199" s="30"/>
      <c r="AE199" s="30"/>
    </row>
    <row r="200" customFormat="false" ht="15.75" hidden="false" customHeight="false" outlineLevel="0" collapsed="false">
      <c r="AD200" s="30"/>
      <c r="AE200" s="30"/>
    </row>
    <row r="201" customFormat="false" ht="15.75" hidden="false" customHeight="false" outlineLevel="0" collapsed="false">
      <c r="AD201" s="30"/>
      <c r="AE201" s="30"/>
    </row>
    <row r="202" customFormat="false" ht="15.75" hidden="false" customHeight="false" outlineLevel="0" collapsed="false">
      <c r="AD202" s="30"/>
      <c r="AE202" s="30"/>
    </row>
    <row r="203" customFormat="false" ht="15.75" hidden="false" customHeight="false" outlineLevel="0" collapsed="false">
      <c r="AD203" s="30"/>
      <c r="AE203" s="30"/>
    </row>
    <row r="204" customFormat="false" ht="15.75" hidden="false" customHeight="false" outlineLevel="0" collapsed="false">
      <c r="AD204" s="30"/>
      <c r="AE204" s="30"/>
    </row>
    <row r="205" customFormat="false" ht="15.75" hidden="false" customHeight="false" outlineLevel="0" collapsed="false">
      <c r="AD205" s="30"/>
      <c r="AE205" s="30"/>
    </row>
    <row r="206" customFormat="false" ht="15.75" hidden="false" customHeight="false" outlineLevel="0" collapsed="false">
      <c r="AD206" s="30"/>
      <c r="AE206" s="30"/>
    </row>
    <row r="207" customFormat="false" ht="15.75" hidden="false" customHeight="false" outlineLevel="0" collapsed="false">
      <c r="AD207" s="30"/>
      <c r="AE207" s="30"/>
    </row>
    <row r="208" customFormat="false" ht="15.75" hidden="false" customHeight="false" outlineLevel="0" collapsed="false">
      <c r="AD208" s="30"/>
      <c r="AE208" s="30"/>
    </row>
    <row r="209" customFormat="false" ht="15.75" hidden="false" customHeight="false" outlineLevel="0" collapsed="false">
      <c r="AD209" s="30"/>
      <c r="AE209" s="30"/>
    </row>
    <row r="210" customFormat="false" ht="15.75" hidden="false" customHeight="false" outlineLevel="0" collapsed="false">
      <c r="AD210" s="30"/>
      <c r="AE210" s="30"/>
    </row>
    <row r="211" customFormat="false" ht="15.75" hidden="false" customHeight="false" outlineLevel="0" collapsed="false">
      <c r="AD211" s="30"/>
      <c r="AE211" s="30"/>
    </row>
    <row r="212" customFormat="false" ht="15.75" hidden="false" customHeight="false" outlineLevel="0" collapsed="false">
      <c r="AD212" s="30"/>
      <c r="AE212" s="30"/>
    </row>
    <row r="213" customFormat="false" ht="15.75" hidden="false" customHeight="false" outlineLevel="0" collapsed="false">
      <c r="AD213" s="30"/>
      <c r="AE213" s="30"/>
    </row>
    <row r="214" customFormat="false" ht="15.75" hidden="false" customHeight="false" outlineLevel="0" collapsed="false">
      <c r="AD214" s="30"/>
      <c r="AE214" s="30"/>
    </row>
    <row r="215" customFormat="false" ht="15.75" hidden="false" customHeight="false" outlineLevel="0" collapsed="false">
      <c r="AD215" s="30"/>
      <c r="AE215" s="30"/>
    </row>
    <row r="216" customFormat="false" ht="15.75" hidden="false" customHeight="false" outlineLevel="0" collapsed="false">
      <c r="AD216" s="30"/>
      <c r="AE216" s="30"/>
    </row>
    <row r="217" customFormat="false" ht="15.75" hidden="false" customHeight="false" outlineLevel="0" collapsed="false">
      <c r="AD217" s="30"/>
      <c r="AE217" s="30"/>
    </row>
    <row r="218" customFormat="false" ht="15.75" hidden="false" customHeight="false" outlineLevel="0" collapsed="false">
      <c r="AD218" s="30"/>
      <c r="AE218" s="30"/>
    </row>
    <row r="219" customFormat="false" ht="15.75" hidden="false" customHeight="false" outlineLevel="0" collapsed="false">
      <c r="AD219" s="30"/>
      <c r="AE219" s="30"/>
    </row>
    <row r="220" customFormat="false" ht="15.75" hidden="false" customHeight="false" outlineLevel="0" collapsed="false">
      <c r="AD220" s="30"/>
      <c r="AE220" s="30"/>
    </row>
    <row r="221" customFormat="false" ht="15.75" hidden="false" customHeight="false" outlineLevel="0" collapsed="false">
      <c r="AD221" s="30"/>
      <c r="AE221" s="30"/>
    </row>
    <row r="222" customFormat="false" ht="15.75" hidden="false" customHeight="false" outlineLevel="0" collapsed="false">
      <c r="AD222" s="30"/>
      <c r="AE222" s="30"/>
    </row>
    <row r="223" customFormat="false" ht="15.75" hidden="false" customHeight="false" outlineLevel="0" collapsed="false">
      <c r="AD223" s="30"/>
      <c r="AE223" s="30"/>
    </row>
    <row r="224" customFormat="false" ht="15.75" hidden="false" customHeight="false" outlineLevel="0" collapsed="false">
      <c r="AD224" s="30"/>
      <c r="AE224" s="30"/>
    </row>
    <row r="225" customFormat="false" ht="15.75" hidden="false" customHeight="false" outlineLevel="0" collapsed="false">
      <c r="AD225" s="30"/>
      <c r="AE225" s="30"/>
    </row>
    <row r="226" customFormat="false" ht="15.75" hidden="false" customHeight="false" outlineLevel="0" collapsed="false">
      <c r="AD226" s="30"/>
      <c r="AE226" s="30"/>
    </row>
    <row r="227" customFormat="false" ht="15.75" hidden="false" customHeight="false" outlineLevel="0" collapsed="false">
      <c r="AD227" s="30"/>
      <c r="AE227" s="30"/>
    </row>
    <row r="228" customFormat="false" ht="15.75" hidden="false" customHeight="false" outlineLevel="0" collapsed="false">
      <c r="AD228" s="30"/>
      <c r="AE228" s="30"/>
    </row>
    <row r="229" customFormat="false" ht="15.75" hidden="false" customHeight="false" outlineLevel="0" collapsed="false">
      <c r="AD229" s="30"/>
      <c r="AE229" s="30"/>
    </row>
    <row r="230" customFormat="false" ht="15.75" hidden="false" customHeight="false" outlineLevel="0" collapsed="false">
      <c r="AD230" s="30"/>
      <c r="AE230" s="30"/>
    </row>
    <row r="231" customFormat="false" ht="15.75" hidden="false" customHeight="false" outlineLevel="0" collapsed="false">
      <c r="AD231" s="30"/>
      <c r="AE231" s="30"/>
    </row>
    <row r="232" customFormat="false" ht="15.75" hidden="false" customHeight="false" outlineLevel="0" collapsed="false">
      <c r="AD232" s="30"/>
      <c r="AE232" s="30"/>
    </row>
    <row r="233" customFormat="false" ht="15.75" hidden="false" customHeight="false" outlineLevel="0" collapsed="false">
      <c r="AD233" s="30"/>
      <c r="AE233" s="30"/>
    </row>
    <row r="234" customFormat="false" ht="15.75" hidden="false" customHeight="false" outlineLevel="0" collapsed="false">
      <c r="AD234" s="30"/>
      <c r="AE234" s="30"/>
    </row>
    <row r="235" customFormat="false" ht="15.75" hidden="false" customHeight="false" outlineLevel="0" collapsed="false">
      <c r="AD235" s="30"/>
      <c r="AE235" s="30"/>
    </row>
    <row r="236" customFormat="false" ht="15.75" hidden="false" customHeight="false" outlineLevel="0" collapsed="false">
      <c r="AD236" s="30"/>
      <c r="AE236" s="30"/>
    </row>
    <row r="237" customFormat="false" ht="15.75" hidden="false" customHeight="false" outlineLevel="0" collapsed="false">
      <c r="AD237" s="30"/>
      <c r="AE237" s="30"/>
    </row>
    <row r="238" customFormat="false" ht="15.75" hidden="false" customHeight="false" outlineLevel="0" collapsed="false">
      <c r="AD238" s="30"/>
      <c r="AE238" s="30"/>
    </row>
    <row r="239" customFormat="false" ht="15.75" hidden="false" customHeight="false" outlineLevel="0" collapsed="false">
      <c r="AD239" s="30"/>
      <c r="AE239" s="30"/>
    </row>
    <row r="240" customFormat="false" ht="15.75" hidden="false" customHeight="false" outlineLevel="0" collapsed="false">
      <c r="AD240" s="30"/>
      <c r="AE240" s="30"/>
    </row>
    <row r="241" customFormat="false" ht="15.75" hidden="false" customHeight="false" outlineLevel="0" collapsed="false">
      <c r="AD241" s="30"/>
      <c r="AE241" s="30"/>
    </row>
    <row r="242" customFormat="false" ht="15.75" hidden="false" customHeight="false" outlineLevel="0" collapsed="false">
      <c r="AD242" s="30"/>
      <c r="AE242" s="30"/>
    </row>
    <row r="243" customFormat="false" ht="15.75" hidden="false" customHeight="false" outlineLevel="0" collapsed="false">
      <c r="AD243" s="30"/>
      <c r="AE243" s="30"/>
    </row>
    <row r="244" customFormat="false" ht="15.75" hidden="false" customHeight="false" outlineLevel="0" collapsed="false">
      <c r="AD244" s="30"/>
      <c r="AE244" s="30"/>
    </row>
    <row r="245" customFormat="false" ht="15.75" hidden="false" customHeight="false" outlineLevel="0" collapsed="false">
      <c r="AD245" s="30"/>
      <c r="AE245" s="30"/>
    </row>
    <row r="246" customFormat="false" ht="15.75" hidden="false" customHeight="false" outlineLevel="0" collapsed="false">
      <c r="AD246" s="30"/>
      <c r="AE246" s="30"/>
    </row>
    <row r="247" customFormat="false" ht="15.75" hidden="false" customHeight="false" outlineLevel="0" collapsed="false">
      <c r="AD247" s="30"/>
      <c r="AE247" s="30"/>
    </row>
    <row r="248" customFormat="false" ht="15.75" hidden="false" customHeight="false" outlineLevel="0" collapsed="false">
      <c r="AD248" s="30"/>
      <c r="AE248" s="30"/>
    </row>
    <row r="249" customFormat="false" ht="15.75" hidden="false" customHeight="false" outlineLevel="0" collapsed="false">
      <c r="AD249" s="30"/>
      <c r="AE249" s="30"/>
    </row>
    <row r="250" customFormat="false" ht="15.75" hidden="false" customHeight="false" outlineLevel="0" collapsed="false">
      <c r="AD250" s="30"/>
      <c r="AE250" s="30"/>
    </row>
    <row r="251" customFormat="false" ht="15.75" hidden="false" customHeight="false" outlineLevel="0" collapsed="false">
      <c r="AD251" s="30"/>
      <c r="AE251" s="30"/>
    </row>
    <row r="252" customFormat="false" ht="15.75" hidden="false" customHeight="false" outlineLevel="0" collapsed="false">
      <c r="AD252" s="30"/>
      <c r="AE252" s="30"/>
    </row>
    <row r="253" customFormat="false" ht="15.75" hidden="false" customHeight="false" outlineLevel="0" collapsed="false">
      <c r="AD253" s="30"/>
      <c r="AE253" s="30"/>
    </row>
    <row r="254" customFormat="false" ht="15.75" hidden="false" customHeight="false" outlineLevel="0" collapsed="false">
      <c r="AD254" s="30"/>
      <c r="AE254" s="30"/>
    </row>
    <row r="255" customFormat="false" ht="15.75" hidden="false" customHeight="false" outlineLevel="0" collapsed="false">
      <c r="AD255" s="30"/>
      <c r="AE255" s="30"/>
    </row>
    <row r="256" customFormat="false" ht="15.75" hidden="false" customHeight="false" outlineLevel="0" collapsed="false">
      <c r="AD256" s="30"/>
      <c r="AE256" s="30"/>
    </row>
    <row r="257" customFormat="false" ht="15.75" hidden="false" customHeight="false" outlineLevel="0" collapsed="false">
      <c r="AD257" s="30"/>
      <c r="AE257" s="30"/>
    </row>
    <row r="258" customFormat="false" ht="15.75" hidden="false" customHeight="false" outlineLevel="0" collapsed="false">
      <c r="AD258" s="30"/>
      <c r="AE258" s="30"/>
    </row>
    <row r="259" customFormat="false" ht="15.75" hidden="false" customHeight="false" outlineLevel="0" collapsed="false">
      <c r="AD259" s="30"/>
      <c r="AE259" s="30"/>
    </row>
    <row r="260" customFormat="false" ht="15.75" hidden="false" customHeight="false" outlineLevel="0" collapsed="false">
      <c r="AD260" s="30"/>
      <c r="AE260" s="30"/>
    </row>
    <row r="261" customFormat="false" ht="15.75" hidden="false" customHeight="false" outlineLevel="0" collapsed="false">
      <c r="AD261" s="30"/>
      <c r="AE261" s="30"/>
    </row>
    <row r="262" customFormat="false" ht="15.75" hidden="false" customHeight="false" outlineLevel="0" collapsed="false">
      <c r="AD262" s="30"/>
      <c r="AE262" s="30"/>
    </row>
    <row r="263" customFormat="false" ht="15.75" hidden="false" customHeight="false" outlineLevel="0" collapsed="false">
      <c r="AD263" s="30"/>
      <c r="AE263" s="30"/>
    </row>
    <row r="264" customFormat="false" ht="15.75" hidden="false" customHeight="false" outlineLevel="0" collapsed="false">
      <c r="AD264" s="30"/>
      <c r="AE264" s="30"/>
    </row>
    <row r="265" customFormat="false" ht="15.75" hidden="false" customHeight="false" outlineLevel="0" collapsed="false">
      <c r="AD265" s="30"/>
      <c r="AE265" s="30"/>
    </row>
    <row r="266" customFormat="false" ht="15.75" hidden="false" customHeight="false" outlineLevel="0" collapsed="false">
      <c r="AD266" s="30"/>
      <c r="AE266" s="30"/>
    </row>
    <row r="267" customFormat="false" ht="15.75" hidden="false" customHeight="false" outlineLevel="0" collapsed="false">
      <c r="AD267" s="30"/>
      <c r="AE267" s="30"/>
    </row>
    <row r="268" customFormat="false" ht="15.75" hidden="false" customHeight="false" outlineLevel="0" collapsed="false">
      <c r="AD268" s="30"/>
      <c r="AE268" s="30"/>
    </row>
    <row r="269" customFormat="false" ht="15.75" hidden="false" customHeight="false" outlineLevel="0" collapsed="false">
      <c r="AD269" s="30"/>
      <c r="AE269" s="30"/>
    </row>
    <row r="270" customFormat="false" ht="15.75" hidden="false" customHeight="false" outlineLevel="0" collapsed="false">
      <c r="AD270" s="30"/>
      <c r="AE270" s="30"/>
    </row>
    <row r="271" customFormat="false" ht="15.75" hidden="false" customHeight="false" outlineLevel="0" collapsed="false">
      <c r="AD271" s="30"/>
      <c r="AE271" s="30"/>
    </row>
    <row r="272" customFormat="false" ht="15.75" hidden="false" customHeight="false" outlineLevel="0" collapsed="false">
      <c r="AD272" s="30"/>
      <c r="AE272" s="30"/>
    </row>
    <row r="273" customFormat="false" ht="15.75" hidden="false" customHeight="false" outlineLevel="0" collapsed="false">
      <c r="AD273" s="30"/>
      <c r="AE273" s="30"/>
    </row>
    <row r="274" customFormat="false" ht="15.75" hidden="false" customHeight="false" outlineLevel="0" collapsed="false">
      <c r="AD274" s="30"/>
      <c r="AE274" s="30"/>
    </row>
    <row r="275" customFormat="false" ht="15.75" hidden="false" customHeight="false" outlineLevel="0" collapsed="false">
      <c r="AD275" s="30"/>
      <c r="AE275" s="30"/>
    </row>
    <row r="276" customFormat="false" ht="15.75" hidden="false" customHeight="false" outlineLevel="0" collapsed="false">
      <c r="AD276" s="30"/>
      <c r="AE276" s="30"/>
    </row>
    <row r="277" customFormat="false" ht="15.75" hidden="false" customHeight="false" outlineLevel="0" collapsed="false">
      <c r="AD277" s="30"/>
      <c r="AE277" s="30"/>
    </row>
    <row r="278" customFormat="false" ht="15.75" hidden="false" customHeight="false" outlineLevel="0" collapsed="false">
      <c r="AD278" s="30"/>
      <c r="AE278" s="30"/>
    </row>
    <row r="279" customFormat="false" ht="15.75" hidden="false" customHeight="false" outlineLevel="0" collapsed="false">
      <c r="AD279" s="30"/>
      <c r="AE279" s="30"/>
    </row>
    <row r="280" customFormat="false" ht="15.75" hidden="false" customHeight="false" outlineLevel="0" collapsed="false">
      <c r="AD280" s="30"/>
      <c r="AE280" s="30"/>
    </row>
    <row r="281" customFormat="false" ht="15.75" hidden="false" customHeight="false" outlineLevel="0" collapsed="false">
      <c r="AD281" s="30"/>
      <c r="AE281" s="30"/>
    </row>
    <row r="282" customFormat="false" ht="15.75" hidden="false" customHeight="false" outlineLevel="0" collapsed="false">
      <c r="AD282" s="30"/>
      <c r="AE282" s="30"/>
    </row>
    <row r="283" customFormat="false" ht="15.75" hidden="false" customHeight="false" outlineLevel="0" collapsed="false">
      <c r="AD283" s="30"/>
      <c r="AE283" s="30"/>
    </row>
    <row r="284" customFormat="false" ht="15.75" hidden="false" customHeight="false" outlineLevel="0" collapsed="false">
      <c r="AD284" s="30"/>
      <c r="AE284" s="30"/>
    </row>
    <row r="285" customFormat="false" ht="15.75" hidden="false" customHeight="false" outlineLevel="0" collapsed="false">
      <c r="AD285" s="30"/>
      <c r="AE285" s="30"/>
    </row>
    <row r="286" customFormat="false" ht="15.75" hidden="false" customHeight="false" outlineLevel="0" collapsed="false">
      <c r="AD286" s="30"/>
      <c r="AE286" s="30"/>
    </row>
    <row r="287" customFormat="false" ht="15.75" hidden="false" customHeight="false" outlineLevel="0" collapsed="false">
      <c r="AD287" s="30"/>
      <c r="AE287" s="30"/>
    </row>
    <row r="288" customFormat="false" ht="15.75" hidden="false" customHeight="false" outlineLevel="0" collapsed="false">
      <c r="AD288" s="30"/>
      <c r="AE288" s="30"/>
    </row>
    <row r="289" customFormat="false" ht="15.75" hidden="false" customHeight="false" outlineLevel="0" collapsed="false">
      <c r="AD289" s="30"/>
      <c r="AE289" s="30"/>
    </row>
    <row r="290" customFormat="false" ht="15.75" hidden="false" customHeight="false" outlineLevel="0" collapsed="false">
      <c r="AD290" s="30"/>
      <c r="AE290" s="30"/>
    </row>
    <row r="291" customFormat="false" ht="15.75" hidden="false" customHeight="false" outlineLevel="0" collapsed="false">
      <c r="AD291" s="30"/>
      <c r="AE291" s="30"/>
    </row>
    <row r="292" customFormat="false" ht="15.75" hidden="false" customHeight="false" outlineLevel="0" collapsed="false">
      <c r="AD292" s="30"/>
      <c r="AE292" s="30"/>
    </row>
    <row r="293" customFormat="false" ht="15.75" hidden="false" customHeight="false" outlineLevel="0" collapsed="false">
      <c r="AD293" s="30"/>
      <c r="AE293" s="30"/>
    </row>
    <row r="294" customFormat="false" ht="15.75" hidden="false" customHeight="false" outlineLevel="0" collapsed="false">
      <c r="AD294" s="30"/>
      <c r="AE294" s="30"/>
    </row>
    <row r="295" customFormat="false" ht="15.75" hidden="false" customHeight="false" outlineLevel="0" collapsed="false">
      <c r="AD295" s="30"/>
      <c r="AE295" s="30"/>
    </row>
    <row r="296" customFormat="false" ht="15.75" hidden="false" customHeight="false" outlineLevel="0" collapsed="false">
      <c r="AD296" s="30"/>
      <c r="AE296" s="30"/>
    </row>
    <row r="297" customFormat="false" ht="15.75" hidden="false" customHeight="false" outlineLevel="0" collapsed="false">
      <c r="AD297" s="30"/>
      <c r="AE297" s="30"/>
    </row>
    <row r="298" customFormat="false" ht="15.75" hidden="false" customHeight="false" outlineLevel="0" collapsed="false">
      <c r="AD298" s="30"/>
      <c r="AE298" s="30"/>
    </row>
    <row r="299" customFormat="false" ht="15.75" hidden="false" customHeight="false" outlineLevel="0" collapsed="false">
      <c r="AD299" s="30"/>
      <c r="AE299" s="30"/>
    </row>
    <row r="300" customFormat="false" ht="15.75" hidden="false" customHeight="false" outlineLevel="0" collapsed="false">
      <c r="AD300" s="30"/>
      <c r="AE300" s="30"/>
    </row>
    <row r="301" customFormat="false" ht="15.75" hidden="false" customHeight="false" outlineLevel="0" collapsed="false">
      <c r="AD301" s="30"/>
      <c r="AE301" s="30"/>
    </row>
    <row r="302" customFormat="false" ht="15.75" hidden="false" customHeight="false" outlineLevel="0" collapsed="false">
      <c r="AD302" s="30"/>
      <c r="AE302" s="30"/>
    </row>
    <row r="303" customFormat="false" ht="15.75" hidden="false" customHeight="false" outlineLevel="0" collapsed="false">
      <c r="AD303" s="30"/>
      <c r="AE303" s="30"/>
    </row>
    <row r="304" customFormat="false" ht="15.75" hidden="false" customHeight="false" outlineLevel="0" collapsed="false">
      <c r="AD304" s="30"/>
      <c r="AE304" s="30"/>
    </row>
    <row r="305" customFormat="false" ht="15.75" hidden="false" customHeight="false" outlineLevel="0" collapsed="false">
      <c r="AD305" s="30"/>
      <c r="AE305" s="30"/>
    </row>
    <row r="306" customFormat="false" ht="15.75" hidden="false" customHeight="false" outlineLevel="0" collapsed="false">
      <c r="AD306" s="30"/>
      <c r="AE306" s="30"/>
    </row>
    <row r="307" customFormat="false" ht="15.75" hidden="false" customHeight="false" outlineLevel="0" collapsed="false">
      <c r="AD307" s="30"/>
      <c r="AE307" s="30"/>
    </row>
    <row r="308" customFormat="false" ht="15.75" hidden="false" customHeight="false" outlineLevel="0" collapsed="false">
      <c r="AD308" s="30"/>
      <c r="AE308" s="30"/>
    </row>
    <row r="309" customFormat="false" ht="15.75" hidden="false" customHeight="false" outlineLevel="0" collapsed="false">
      <c r="AD309" s="30"/>
      <c r="AE309" s="30"/>
    </row>
    <row r="310" customFormat="false" ht="15.75" hidden="false" customHeight="false" outlineLevel="0" collapsed="false">
      <c r="AD310" s="30"/>
      <c r="AE310" s="30"/>
    </row>
    <row r="311" customFormat="false" ht="15.75" hidden="false" customHeight="false" outlineLevel="0" collapsed="false">
      <c r="AD311" s="30"/>
      <c r="AE311" s="30"/>
    </row>
    <row r="312" customFormat="false" ht="15.75" hidden="false" customHeight="false" outlineLevel="0" collapsed="false">
      <c r="AD312" s="30"/>
      <c r="AE312" s="30"/>
    </row>
    <row r="313" customFormat="false" ht="15.75" hidden="false" customHeight="false" outlineLevel="0" collapsed="false">
      <c r="AD313" s="30"/>
      <c r="AE313" s="30"/>
    </row>
    <row r="314" customFormat="false" ht="15.75" hidden="false" customHeight="false" outlineLevel="0" collapsed="false">
      <c r="AD314" s="30"/>
      <c r="AE314" s="30"/>
    </row>
    <row r="315" customFormat="false" ht="15.75" hidden="false" customHeight="false" outlineLevel="0" collapsed="false">
      <c r="AD315" s="30"/>
      <c r="AE315" s="30"/>
    </row>
    <row r="316" customFormat="false" ht="15.75" hidden="false" customHeight="false" outlineLevel="0" collapsed="false">
      <c r="AD316" s="30"/>
      <c r="AE316" s="30"/>
    </row>
    <row r="317" customFormat="false" ht="15.75" hidden="false" customHeight="false" outlineLevel="0" collapsed="false">
      <c r="AD317" s="30"/>
      <c r="AE317" s="30"/>
    </row>
    <row r="318" customFormat="false" ht="15.75" hidden="false" customHeight="false" outlineLevel="0" collapsed="false">
      <c r="AD318" s="30"/>
      <c r="AE318" s="30"/>
    </row>
    <row r="319" customFormat="false" ht="15.75" hidden="false" customHeight="false" outlineLevel="0" collapsed="false">
      <c r="AD319" s="30"/>
      <c r="AE319" s="30"/>
    </row>
    <row r="320" customFormat="false" ht="15.75" hidden="false" customHeight="false" outlineLevel="0" collapsed="false">
      <c r="AD320" s="30"/>
      <c r="AE320" s="30"/>
    </row>
    <row r="321" customFormat="false" ht="15.75" hidden="false" customHeight="false" outlineLevel="0" collapsed="false">
      <c r="AD321" s="30"/>
      <c r="AE321" s="30"/>
    </row>
    <row r="322" customFormat="false" ht="15.75" hidden="false" customHeight="false" outlineLevel="0" collapsed="false">
      <c r="AD322" s="30"/>
      <c r="AE322" s="30"/>
    </row>
    <row r="323" customFormat="false" ht="15.75" hidden="false" customHeight="false" outlineLevel="0" collapsed="false">
      <c r="AD323" s="30"/>
      <c r="AE323" s="30"/>
    </row>
    <row r="324" customFormat="false" ht="15.75" hidden="false" customHeight="false" outlineLevel="0" collapsed="false">
      <c r="AD324" s="30"/>
      <c r="AE324" s="30"/>
    </row>
    <row r="325" customFormat="false" ht="15.75" hidden="false" customHeight="false" outlineLevel="0" collapsed="false">
      <c r="AD325" s="30"/>
      <c r="AE325" s="30"/>
    </row>
    <row r="326" customFormat="false" ht="15.75" hidden="false" customHeight="false" outlineLevel="0" collapsed="false">
      <c r="AD326" s="30"/>
      <c r="AE326" s="30"/>
    </row>
    <row r="327" customFormat="false" ht="15.75" hidden="false" customHeight="false" outlineLevel="0" collapsed="false">
      <c r="AD327" s="30"/>
      <c r="AE327" s="30"/>
    </row>
    <row r="328" customFormat="false" ht="15.75" hidden="false" customHeight="false" outlineLevel="0" collapsed="false">
      <c r="AD328" s="30"/>
      <c r="AE328" s="30"/>
    </row>
    <row r="329" customFormat="false" ht="15.75" hidden="false" customHeight="false" outlineLevel="0" collapsed="false">
      <c r="AD329" s="30"/>
      <c r="AE329" s="30"/>
    </row>
    <row r="330" customFormat="false" ht="15.75" hidden="false" customHeight="false" outlineLevel="0" collapsed="false">
      <c r="AD330" s="30"/>
      <c r="AE330" s="30"/>
    </row>
    <row r="331" customFormat="false" ht="15.75" hidden="false" customHeight="false" outlineLevel="0" collapsed="false">
      <c r="AD331" s="30"/>
      <c r="AE331" s="30"/>
    </row>
    <row r="332" customFormat="false" ht="15.75" hidden="false" customHeight="false" outlineLevel="0" collapsed="false">
      <c r="AD332" s="30"/>
      <c r="AE332" s="30"/>
    </row>
    <row r="333" customFormat="false" ht="15.75" hidden="false" customHeight="false" outlineLevel="0" collapsed="false">
      <c r="AD333" s="30"/>
      <c r="AE333" s="30"/>
    </row>
    <row r="334" customFormat="false" ht="15.75" hidden="false" customHeight="false" outlineLevel="0" collapsed="false">
      <c r="AD334" s="30"/>
      <c r="AE334" s="30"/>
    </row>
    <row r="335" customFormat="false" ht="15.75" hidden="false" customHeight="false" outlineLevel="0" collapsed="false">
      <c r="AD335" s="30"/>
      <c r="AE335" s="30"/>
    </row>
    <row r="336" customFormat="false" ht="15.75" hidden="false" customHeight="false" outlineLevel="0" collapsed="false">
      <c r="AD336" s="30"/>
      <c r="AE336" s="30"/>
    </row>
    <row r="337" customFormat="false" ht="15.75" hidden="false" customHeight="false" outlineLevel="0" collapsed="false">
      <c r="AD337" s="30"/>
      <c r="AE337" s="30"/>
    </row>
    <row r="338" customFormat="false" ht="15.75" hidden="false" customHeight="false" outlineLevel="0" collapsed="false">
      <c r="AD338" s="30"/>
      <c r="AE338" s="30"/>
    </row>
    <row r="339" customFormat="false" ht="15.75" hidden="false" customHeight="false" outlineLevel="0" collapsed="false">
      <c r="AD339" s="30"/>
      <c r="AE339" s="30"/>
    </row>
    <row r="340" customFormat="false" ht="15.75" hidden="false" customHeight="false" outlineLevel="0" collapsed="false">
      <c r="AD340" s="30"/>
      <c r="AE340" s="30"/>
    </row>
    <row r="341" customFormat="false" ht="15.75" hidden="false" customHeight="false" outlineLevel="0" collapsed="false">
      <c r="AD341" s="30"/>
      <c r="AE341" s="30"/>
    </row>
    <row r="342" customFormat="false" ht="15.75" hidden="false" customHeight="false" outlineLevel="0" collapsed="false">
      <c r="AD342" s="30"/>
      <c r="AE342" s="30"/>
    </row>
    <row r="343" customFormat="false" ht="15.75" hidden="false" customHeight="false" outlineLevel="0" collapsed="false">
      <c r="AD343" s="30"/>
      <c r="AE343" s="30"/>
    </row>
    <row r="344" customFormat="false" ht="15.75" hidden="false" customHeight="false" outlineLevel="0" collapsed="false">
      <c r="AD344" s="30"/>
      <c r="AE344" s="30"/>
    </row>
    <row r="345" customFormat="false" ht="15.75" hidden="false" customHeight="false" outlineLevel="0" collapsed="false">
      <c r="AD345" s="30"/>
      <c r="AE345" s="30"/>
    </row>
    <row r="346" customFormat="false" ht="15.75" hidden="false" customHeight="false" outlineLevel="0" collapsed="false">
      <c r="AD346" s="30"/>
      <c r="AE346" s="30"/>
    </row>
    <row r="347" customFormat="false" ht="15.75" hidden="false" customHeight="false" outlineLevel="0" collapsed="false">
      <c r="AD347" s="30"/>
      <c r="AE347" s="30"/>
    </row>
    <row r="348" customFormat="false" ht="15.75" hidden="false" customHeight="false" outlineLevel="0" collapsed="false">
      <c r="AD348" s="30"/>
      <c r="AE348" s="30"/>
    </row>
    <row r="349" customFormat="false" ht="15.75" hidden="false" customHeight="false" outlineLevel="0" collapsed="false">
      <c r="AD349" s="30"/>
      <c r="AE349" s="30"/>
    </row>
    <row r="350" customFormat="false" ht="15.75" hidden="false" customHeight="false" outlineLevel="0" collapsed="false">
      <c r="AD350" s="30"/>
      <c r="AE350" s="30"/>
    </row>
    <row r="351" customFormat="false" ht="15.75" hidden="false" customHeight="false" outlineLevel="0" collapsed="false">
      <c r="AD351" s="30"/>
      <c r="AE351" s="30"/>
    </row>
    <row r="352" customFormat="false" ht="15.75" hidden="false" customHeight="false" outlineLevel="0" collapsed="false">
      <c r="AD352" s="30"/>
      <c r="AE352" s="30"/>
    </row>
    <row r="353" customFormat="false" ht="15.75" hidden="false" customHeight="false" outlineLevel="0" collapsed="false">
      <c r="AD353" s="30"/>
      <c r="AE353" s="30"/>
    </row>
    <row r="354" customFormat="false" ht="15.75" hidden="false" customHeight="false" outlineLevel="0" collapsed="false">
      <c r="AD354" s="30"/>
      <c r="AE354" s="30"/>
    </row>
    <row r="355" customFormat="false" ht="15.75" hidden="false" customHeight="false" outlineLevel="0" collapsed="false">
      <c r="AD355" s="30"/>
      <c r="AE355" s="30"/>
    </row>
    <row r="356" customFormat="false" ht="15.75" hidden="false" customHeight="false" outlineLevel="0" collapsed="false">
      <c r="AD356" s="30"/>
      <c r="AE356" s="30"/>
    </row>
    <row r="357" customFormat="false" ht="15.75" hidden="false" customHeight="false" outlineLevel="0" collapsed="false">
      <c r="AD357" s="30"/>
      <c r="AE357" s="30"/>
    </row>
    <row r="358" customFormat="false" ht="15.75" hidden="false" customHeight="false" outlineLevel="0" collapsed="false">
      <c r="AD358" s="30"/>
      <c r="AE358" s="30"/>
    </row>
    <row r="359" customFormat="false" ht="15.75" hidden="false" customHeight="false" outlineLevel="0" collapsed="false">
      <c r="AD359" s="30"/>
      <c r="AE359" s="30"/>
    </row>
    <row r="360" customFormat="false" ht="15.75" hidden="false" customHeight="false" outlineLevel="0" collapsed="false">
      <c r="AD360" s="30"/>
      <c r="AE360" s="30"/>
    </row>
    <row r="361" customFormat="false" ht="15.75" hidden="false" customHeight="false" outlineLevel="0" collapsed="false">
      <c r="AD361" s="30"/>
      <c r="AE361" s="30"/>
    </row>
    <row r="362" customFormat="false" ht="15.75" hidden="false" customHeight="false" outlineLevel="0" collapsed="false">
      <c r="AD362" s="30"/>
      <c r="AE362" s="30"/>
    </row>
    <row r="363" customFormat="false" ht="15.75" hidden="false" customHeight="false" outlineLevel="0" collapsed="false">
      <c r="AD363" s="30"/>
      <c r="AE363" s="30"/>
    </row>
    <row r="364" customFormat="false" ht="15.75" hidden="false" customHeight="false" outlineLevel="0" collapsed="false">
      <c r="AD364" s="30"/>
      <c r="AE364" s="30"/>
    </row>
    <row r="365" customFormat="false" ht="15.75" hidden="false" customHeight="false" outlineLevel="0" collapsed="false">
      <c r="AD365" s="30"/>
      <c r="AE365" s="30"/>
    </row>
    <row r="366" customFormat="false" ht="15.75" hidden="false" customHeight="false" outlineLevel="0" collapsed="false">
      <c r="AD366" s="30"/>
      <c r="AE366" s="30"/>
    </row>
    <row r="367" customFormat="false" ht="15.75" hidden="false" customHeight="false" outlineLevel="0" collapsed="false">
      <c r="AD367" s="30"/>
      <c r="AE367" s="30"/>
    </row>
    <row r="368" customFormat="false" ht="15.75" hidden="false" customHeight="false" outlineLevel="0" collapsed="false">
      <c r="AD368" s="30"/>
      <c r="AE368" s="30"/>
    </row>
    <row r="369" customFormat="false" ht="15.75" hidden="false" customHeight="false" outlineLevel="0" collapsed="false">
      <c r="AD369" s="30"/>
      <c r="AE369" s="30"/>
    </row>
    <row r="370" customFormat="false" ht="15.75" hidden="false" customHeight="false" outlineLevel="0" collapsed="false">
      <c r="AD370" s="30"/>
      <c r="AE370" s="30"/>
    </row>
    <row r="371" customFormat="false" ht="15.75" hidden="false" customHeight="false" outlineLevel="0" collapsed="false">
      <c r="AD371" s="30"/>
      <c r="AE371" s="30"/>
    </row>
    <row r="372" customFormat="false" ht="15.75" hidden="false" customHeight="false" outlineLevel="0" collapsed="false">
      <c r="AD372" s="30"/>
      <c r="AE372" s="30"/>
    </row>
    <row r="373" customFormat="false" ht="15.75" hidden="false" customHeight="false" outlineLevel="0" collapsed="false">
      <c r="AD373" s="30"/>
      <c r="AE373" s="30"/>
    </row>
    <row r="374" customFormat="false" ht="15.75" hidden="false" customHeight="false" outlineLevel="0" collapsed="false">
      <c r="AD374" s="30"/>
      <c r="AE374" s="30"/>
    </row>
    <row r="375" customFormat="false" ht="15.75" hidden="false" customHeight="false" outlineLevel="0" collapsed="false">
      <c r="AD375" s="30"/>
      <c r="AE375" s="30"/>
    </row>
    <row r="376" customFormat="false" ht="15.75" hidden="false" customHeight="false" outlineLevel="0" collapsed="false">
      <c r="AD376" s="30"/>
      <c r="AE376" s="30"/>
    </row>
    <row r="377" customFormat="false" ht="15.75" hidden="false" customHeight="false" outlineLevel="0" collapsed="false">
      <c r="AD377" s="30"/>
      <c r="AE377" s="30"/>
    </row>
    <row r="378" customFormat="false" ht="15.75" hidden="false" customHeight="false" outlineLevel="0" collapsed="false">
      <c r="AD378" s="30"/>
      <c r="AE378" s="30"/>
    </row>
    <row r="379" customFormat="false" ht="15.75" hidden="false" customHeight="false" outlineLevel="0" collapsed="false">
      <c r="AD379" s="30"/>
      <c r="AE379" s="30"/>
    </row>
    <row r="380" customFormat="false" ht="15.75" hidden="false" customHeight="false" outlineLevel="0" collapsed="false">
      <c r="AD380" s="30"/>
      <c r="AE380" s="30"/>
    </row>
    <row r="381" customFormat="false" ht="15.75" hidden="false" customHeight="false" outlineLevel="0" collapsed="false">
      <c r="AD381" s="30"/>
      <c r="AE381" s="30"/>
    </row>
    <row r="382" customFormat="false" ht="15.75" hidden="false" customHeight="false" outlineLevel="0" collapsed="false">
      <c r="AD382" s="30"/>
      <c r="AE382" s="30"/>
    </row>
    <row r="383" customFormat="false" ht="15.75" hidden="false" customHeight="false" outlineLevel="0" collapsed="false">
      <c r="AD383" s="30"/>
      <c r="AE383" s="30"/>
    </row>
    <row r="384" customFormat="false" ht="15.75" hidden="false" customHeight="false" outlineLevel="0" collapsed="false">
      <c r="AD384" s="30"/>
      <c r="AE384" s="30"/>
    </row>
    <row r="385" customFormat="false" ht="15.75" hidden="false" customHeight="false" outlineLevel="0" collapsed="false">
      <c r="AD385" s="30"/>
      <c r="AE385" s="30"/>
    </row>
    <row r="386" customFormat="false" ht="15.75" hidden="false" customHeight="false" outlineLevel="0" collapsed="false">
      <c r="AD386" s="30"/>
      <c r="AE386" s="30"/>
    </row>
    <row r="387" customFormat="false" ht="15.75" hidden="false" customHeight="false" outlineLevel="0" collapsed="false">
      <c r="AD387" s="30"/>
      <c r="AE387" s="30"/>
    </row>
    <row r="388" customFormat="false" ht="15.75" hidden="false" customHeight="false" outlineLevel="0" collapsed="false">
      <c r="AD388" s="30"/>
      <c r="AE388" s="30"/>
    </row>
    <row r="389" customFormat="false" ht="15.75" hidden="false" customHeight="false" outlineLevel="0" collapsed="false">
      <c r="AD389" s="30"/>
      <c r="AE389" s="30"/>
    </row>
    <row r="390" customFormat="false" ht="15.75" hidden="false" customHeight="false" outlineLevel="0" collapsed="false">
      <c r="AD390" s="30"/>
      <c r="AE390" s="30"/>
    </row>
    <row r="391" customFormat="false" ht="15.75" hidden="false" customHeight="false" outlineLevel="0" collapsed="false">
      <c r="AD391" s="30"/>
      <c r="AE391" s="30"/>
    </row>
    <row r="392" customFormat="false" ht="15.75" hidden="false" customHeight="false" outlineLevel="0" collapsed="false">
      <c r="AD392" s="30"/>
      <c r="AE392" s="30"/>
    </row>
    <row r="393" customFormat="false" ht="15.75" hidden="false" customHeight="false" outlineLevel="0" collapsed="false">
      <c r="AD393" s="30"/>
      <c r="AE393" s="30"/>
    </row>
    <row r="394" customFormat="false" ht="15.75" hidden="false" customHeight="false" outlineLevel="0" collapsed="false">
      <c r="AD394" s="30"/>
      <c r="AE394" s="30"/>
    </row>
    <row r="395" customFormat="false" ht="15.75" hidden="false" customHeight="false" outlineLevel="0" collapsed="false">
      <c r="AD395" s="30"/>
      <c r="AE395" s="30"/>
    </row>
    <row r="396" customFormat="false" ht="15.75" hidden="false" customHeight="false" outlineLevel="0" collapsed="false">
      <c r="AD396" s="30"/>
      <c r="AE396" s="30"/>
    </row>
    <row r="397" customFormat="false" ht="15.75" hidden="false" customHeight="false" outlineLevel="0" collapsed="false">
      <c r="AD397" s="30"/>
      <c r="AE397" s="30"/>
    </row>
    <row r="398" customFormat="false" ht="15.75" hidden="false" customHeight="false" outlineLevel="0" collapsed="false">
      <c r="AD398" s="30"/>
      <c r="AE398" s="30"/>
    </row>
    <row r="399" customFormat="false" ht="15.75" hidden="false" customHeight="false" outlineLevel="0" collapsed="false">
      <c r="AD399" s="30"/>
      <c r="AE399" s="30"/>
    </row>
    <row r="400" customFormat="false" ht="15.75" hidden="false" customHeight="false" outlineLevel="0" collapsed="false">
      <c r="AD400" s="30"/>
      <c r="AE400" s="30"/>
    </row>
    <row r="401" customFormat="false" ht="15.75" hidden="false" customHeight="false" outlineLevel="0" collapsed="false">
      <c r="AD401" s="30"/>
      <c r="AE401" s="30"/>
    </row>
    <row r="402" customFormat="false" ht="15.75" hidden="false" customHeight="false" outlineLevel="0" collapsed="false">
      <c r="AD402" s="30"/>
      <c r="AE402" s="30"/>
    </row>
    <row r="403" customFormat="false" ht="15.75" hidden="false" customHeight="false" outlineLevel="0" collapsed="false">
      <c r="AD403" s="30"/>
      <c r="AE403" s="30"/>
    </row>
    <row r="404" customFormat="false" ht="15.75" hidden="false" customHeight="false" outlineLevel="0" collapsed="false">
      <c r="AD404" s="30"/>
      <c r="AE404" s="30"/>
    </row>
    <row r="405" customFormat="false" ht="15.75" hidden="false" customHeight="false" outlineLevel="0" collapsed="false">
      <c r="AD405" s="30"/>
      <c r="AE405" s="30"/>
    </row>
    <row r="406" customFormat="false" ht="15.75" hidden="false" customHeight="false" outlineLevel="0" collapsed="false">
      <c r="AD406" s="30"/>
      <c r="AE406" s="30"/>
    </row>
    <row r="407" customFormat="false" ht="15.75" hidden="false" customHeight="false" outlineLevel="0" collapsed="false">
      <c r="AD407" s="30"/>
      <c r="AE407" s="30"/>
    </row>
    <row r="408" customFormat="false" ht="15.75" hidden="false" customHeight="false" outlineLevel="0" collapsed="false">
      <c r="AD408" s="30"/>
      <c r="AE408" s="30"/>
    </row>
    <row r="409" customFormat="false" ht="15.75" hidden="false" customHeight="false" outlineLevel="0" collapsed="false">
      <c r="AD409" s="30"/>
      <c r="AE409" s="30"/>
    </row>
    <row r="410" customFormat="false" ht="15.75" hidden="false" customHeight="false" outlineLevel="0" collapsed="false">
      <c r="AD410" s="30"/>
      <c r="AE410" s="30"/>
    </row>
    <row r="411" customFormat="false" ht="15.75" hidden="false" customHeight="false" outlineLevel="0" collapsed="false">
      <c r="AD411" s="30"/>
      <c r="AE411" s="30"/>
    </row>
    <row r="412" customFormat="false" ht="15.75" hidden="false" customHeight="false" outlineLevel="0" collapsed="false">
      <c r="AD412" s="30"/>
      <c r="AE412" s="30"/>
    </row>
    <row r="413" customFormat="false" ht="15.75" hidden="false" customHeight="false" outlineLevel="0" collapsed="false">
      <c r="AD413" s="30"/>
      <c r="AE413" s="30"/>
    </row>
    <row r="414" customFormat="false" ht="15.75" hidden="false" customHeight="false" outlineLevel="0" collapsed="false">
      <c r="AD414" s="30"/>
      <c r="AE414" s="30"/>
    </row>
    <row r="415" customFormat="false" ht="15.75" hidden="false" customHeight="false" outlineLevel="0" collapsed="false">
      <c r="AD415" s="30"/>
      <c r="AE415" s="30"/>
    </row>
    <row r="416" customFormat="false" ht="15.75" hidden="false" customHeight="false" outlineLevel="0" collapsed="false">
      <c r="AD416" s="30"/>
      <c r="AE416" s="30"/>
    </row>
    <row r="417" customFormat="false" ht="15.75" hidden="false" customHeight="false" outlineLevel="0" collapsed="false">
      <c r="AD417" s="30"/>
      <c r="AE417" s="30"/>
    </row>
    <row r="418" customFormat="false" ht="15.75" hidden="false" customHeight="false" outlineLevel="0" collapsed="false">
      <c r="AD418" s="30"/>
      <c r="AE418" s="30"/>
    </row>
    <row r="419" customFormat="false" ht="15.75" hidden="false" customHeight="false" outlineLevel="0" collapsed="false">
      <c r="AD419" s="30"/>
      <c r="AE419" s="30"/>
    </row>
    <row r="420" customFormat="false" ht="15.75" hidden="false" customHeight="false" outlineLevel="0" collapsed="false">
      <c r="AD420" s="30"/>
      <c r="AE420" s="30"/>
    </row>
    <row r="421" customFormat="false" ht="15.75" hidden="false" customHeight="false" outlineLevel="0" collapsed="false">
      <c r="AD421" s="30"/>
      <c r="AE421" s="30"/>
    </row>
    <row r="422" customFormat="false" ht="15.75" hidden="false" customHeight="false" outlineLevel="0" collapsed="false">
      <c r="AD422" s="30"/>
      <c r="AE422" s="30"/>
    </row>
    <row r="423" customFormat="false" ht="15.75" hidden="false" customHeight="false" outlineLevel="0" collapsed="false">
      <c r="AD423" s="30"/>
      <c r="AE423" s="30"/>
    </row>
    <row r="424" customFormat="false" ht="15.75" hidden="false" customHeight="false" outlineLevel="0" collapsed="false">
      <c r="AD424" s="30"/>
      <c r="AE424" s="30"/>
    </row>
    <row r="425" customFormat="false" ht="15.75" hidden="false" customHeight="false" outlineLevel="0" collapsed="false">
      <c r="AD425" s="30"/>
      <c r="AE425" s="30"/>
    </row>
    <row r="426" customFormat="false" ht="15.75" hidden="false" customHeight="false" outlineLevel="0" collapsed="false">
      <c r="AD426" s="30"/>
      <c r="AE426" s="30"/>
    </row>
    <row r="427" customFormat="false" ht="15.75" hidden="false" customHeight="false" outlineLevel="0" collapsed="false">
      <c r="AD427" s="30"/>
      <c r="AE427" s="30"/>
    </row>
    <row r="428" customFormat="false" ht="15.75" hidden="false" customHeight="false" outlineLevel="0" collapsed="false">
      <c r="AD428" s="30"/>
      <c r="AE428" s="30"/>
    </row>
    <row r="429" customFormat="false" ht="15.75" hidden="false" customHeight="false" outlineLevel="0" collapsed="false">
      <c r="AD429" s="30"/>
      <c r="AE429" s="30"/>
    </row>
    <row r="430" customFormat="false" ht="15.75" hidden="false" customHeight="false" outlineLevel="0" collapsed="false">
      <c r="AD430" s="30"/>
      <c r="AE430" s="30"/>
    </row>
    <row r="431" customFormat="false" ht="15.75" hidden="false" customHeight="false" outlineLevel="0" collapsed="false">
      <c r="AD431" s="30"/>
      <c r="AE431" s="30"/>
    </row>
    <row r="432" customFormat="false" ht="15.75" hidden="false" customHeight="false" outlineLevel="0" collapsed="false">
      <c r="AD432" s="30"/>
      <c r="AE432" s="30"/>
    </row>
    <row r="433" customFormat="false" ht="15.75" hidden="false" customHeight="false" outlineLevel="0" collapsed="false">
      <c r="AD433" s="30"/>
      <c r="AE433" s="30"/>
    </row>
    <row r="434" customFormat="false" ht="15.75" hidden="false" customHeight="false" outlineLevel="0" collapsed="false">
      <c r="AD434" s="30"/>
      <c r="AE434" s="30"/>
    </row>
    <row r="435" customFormat="false" ht="15.75" hidden="false" customHeight="false" outlineLevel="0" collapsed="false">
      <c r="AD435" s="30"/>
      <c r="AE435" s="30"/>
    </row>
    <row r="436" customFormat="false" ht="15.75" hidden="false" customHeight="false" outlineLevel="0" collapsed="false">
      <c r="AD436" s="30"/>
      <c r="AE436" s="30"/>
    </row>
    <row r="437" customFormat="false" ht="15.75" hidden="false" customHeight="false" outlineLevel="0" collapsed="false">
      <c r="AD437" s="30"/>
      <c r="AE437" s="30"/>
    </row>
    <row r="438" customFormat="false" ht="15.75" hidden="false" customHeight="false" outlineLevel="0" collapsed="false">
      <c r="AD438" s="30"/>
      <c r="AE438" s="30"/>
    </row>
    <row r="439" customFormat="false" ht="15.75" hidden="false" customHeight="false" outlineLevel="0" collapsed="false">
      <c r="AD439" s="30"/>
      <c r="AE439" s="30"/>
    </row>
    <row r="440" customFormat="false" ht="15.75" hidden="false" customHeight="false" outlineLevel="0" collapsed="false">
      <c r="AD440" s="30"/>
      <c r="AE440" s="30"/>
    </row>
    <row r="441" customFormat="false" ht="15.75" hidden="false" customHeight="false" outlineLevel="0" collapsed="false">
      <c r="AD441" s="30"/>
      <c r="AE441" s="30"/>
    </row>
    <row r="442" customFormat="false" ht="15.75" hidden="false" customHeight="false" outlineLevel="0" collapsed="false">
      <c r="AD442" s="30"/>
      <c r="AE442" s="30"/>
    </row>
    <row r="443" customFormat="false" ht="15.75" hidden="false" customHeight="false" outlineLevel="0" collapsed="false">
      <c r="AD443" s="30"/>
      <c r="AE443" s="30"/>
    </row>
    <row r="444" customFormat="false" ht="15.75" hidden="false" customHeight="false" outlineLevel="0" collapsed="false">
      <c r="AD444" s="30"/>
      <c r="AE444" s="30"/>
    </row>
    <row r="445" customFormat="false" ht="15.75" hidden="false" customHeight="false" outlineLevel="0" collapsed="false">
      <c r="AD445" s="30"/>
      <c r="AE445" s="30"/>
    </row>
    <row r="446" customFormat="false" ht="15.75" hidden="false" customHeight="false" outlineLevel="0" collapsed="false">
      <c r="AD446" s="30"/>
      <c r="AE446" s="30"/>
    </row>
    <row r="447" customFormat="false" ht="15.75" hidden="false" customHeight="false" outlineLevel="0" collapsed="false">
      <c r="AD447" s="30"/>
      <c r="AE447" s="30"/>
    </row>
    <row r="448" customFormat="false" ht="15.75" hidden="false" customHeight="false" outlineLevel="0" collapsed="false">
      <c r="AD448" s="30"/>
      <c r="AE448" s="30"/>
    </row>
    <row r="449" customFormat="false" ht="15.75" hidden="false" customHeight="false" outlineLevel="0" collapsed="false">
      <c r="AD449" s="30"/>
      <c r="AE449" s="30"/>
    </row>
    <row r="450" customFormat="false" ht="15.75" hidden="false" customHeight="false" outlineLevel="0" collapsed="false">
      <c r="AD450" s="30"/>
      <c r="AE450" s="30"/>
    </row>
    <row r="451" customFormat="false" ht="15.75" hidden="false" customHeight="false" outlineLevel="0" collapsed="false">
      <c r="AD451" s="30"/>
      <c r="AE451" s="30"/>
    </row>
    <row r="452" customFormat="false" ht="15.75" hidden="false" customHeight="false" outlineLevel="0" collapsed="false">
      <c r="AD452" s="30"/>
      <c r="AE452" s="30"/>
    </row>
    <row r="453" customFormat="false" ht="15.75" hidden="false" customHeight="false" outlineLevel="0" collapsed="false">
      <c r="AD453" s="30"/>
      <c r="AE453" s="30"/>
    </row>
    <row r="454" customFormat="false" ht="15.75" hidden="false" customHeight="false" outlineLevel="0" collapsed="false">
      <c r="AD454" s="30"/>
      <c r="AE454" s="30"/>
    </row>
    <row r="455" customFormat="false" ht="15.75" hidden="false" customHeight="false" outlineLevel="0" collapsed="false">
      <c r="AD455" s="30"/>
      <c r="AE455" s="30"/>
    </row>
    <row r="456" customFormat="false" ht="15.75" hidden="false" customHeight="false" outlineLevel="0" collapsed="false">
      <c r="AD456" s="30"/>
      <c r="AE456" s="30"/>
    </row>
    <row r="457" customFormat="false" ht="15.75" hidden="false" customHeight="false" outlineLevel="0" collapsed="false">
      <c r="AD457" s="30"/>
      <c r="AE457" s="30"/>
    </row>
    <row r="458" customFormat="false" ht="15.75" hidden="false" customHeight="false" outlineLevel="0" collapsed="false">
      <c r="AD458" s="30"/>
      <c r="AE458" s="30"/>
    </row>
    <row r="459" customFormat="false" ht="15.75" hidden="false" customHeight="false" outlineLevel="0" collapsed="false">
      <c r="AD459" s="30"/>
      <c r="AE459" s="30"/>
    </row>
    <row r="460" customFormat="false" ht="15.75" hidden="false" customHeight="false" outlineLevel="0" collapsed="false">
      <c r="AD460" s="30"/>
      <c r="AE460" s="30"/>
    </row>
    <row r="461" customFormat="false" ht="15.75" hidden="false" customHeight="false" outlineLevel="0" collapsed="false">
      <c r="AD461" s="30"/>
      <c r="AE461" s="30"/>
    </row>
    <row r="462" customFormat="false" ht="15.75" hidden="false" customHeight="false" outlineLevel="0" collapsed="false">
      <c r="AD462" s="30"/>
      <c r="AE462" s="30"/>
    </row>
    <row r="463" customFormat="false" ht="15.75" hidden="false" customHeight="false" outlineLevel="0" collapsed="false">
      <c r="AD463" s="30"/>
      <c r="AE463" s="30"/>
    </row>
    <row r="464" customFormat="false" ht="15.75" hidden="false" customHeight="false" outlineLevel="0" collapsed="false">
      <c r="AD464" s="30"/>
      <c r="AE464" s="30"/>
    </row>
    <row r="465" customFormat="false" ht="15.75" hidden="false" customHeight="false" outlineLevel="0" collapsed="false">
      <c r="AD465" s="30"/>
      <c r="AE465" s="30"/>
    </row>
    <row r="466" customFormat="false" ht="15.75" hidden="false" customHeight="false" outlineLevel="0" collapsed="false">
      <c r="AD466" s="30"/>
      <c r="AE466" s="30"/>
    </row>
    <row r="467" customFormat="false" ht="15.75" hidden="false" customHeight="false" outlineLevel="0" collapsed="false">
      <c r="AD467" s="30"/>
      <c r="AE467" s="30"/>
    </row>
    <row r="468" customFormat="false" ht="15.75" hidden="false" customHeight="false" outlineLevel="0" collapsed="false">
      <c r="AD468" s="30"/>
      <c r="AE468" s="30"/>
    </row>
    <row r="469" customFormat="false" ht="15.75" hidden="false" customHeight="false" outlineLevel="0" collapsed="false">
      <c r="AD469" s="30"/>
      <c r="AE469" s="30"/>
    </row>
    <row r="470" customFormat="false" ht="15.75" hidden="false" customHeight="false" outlineLevel="0" collapsed="false">
      <c r="AD470" s="30"/>
      <c r="AE470" s="30"/>
    </row>
    <row r="471" customFormat="false" ht="15.75" hidden="false" customHeight="false" outlineLevel="0" collapsed="false">
      <c r="AD471" s="30"/>
      <c r="AE471" s="30"/>
    </row>
    <row r="472" customFormat="false" ht="15.75" hidden="false" customHeight="false" outlineLevel="0" collapsed="false">
      <c r="AD472" s="30"/>
      <c r="AE472" s="30"/>
    </row>
    <row r="473" customFormat="false" ht="15.75" hidden="false" customHeight="false" outlineLevel="0" collapsed="false">
      <c r="AD473" s="30"/>
      <c r="AE473" s="30"/>
    </row>
    <row r="474" customFormat="false" ht="15.75" hidden="false" customHeight="false" outlineLevel="0" collapsed="false">
      <c r="AD474" s="30"/>
      <c r="AE474" s="30"/>
    </row>
    <row r="475" customFormat="false" ht="15.75" hidden="false" customHeight="false" outlineLevel="0" collapsed="false">
      <c r="AD475" s="30"/>
      <c r="AE475" s="30"/>
    </row>
    <row r="476" customFormat="false" ht="15.75" hidden="false" customHeight="false" outlineLevel="0" collapsed="false">
      <c r="AD476" s="30"/>
      <c r="AE476" s="30"/>
    </row>
    <row r="477" customFormat="false" ht="15.75" hidden="false" customHeight="false" outlineLevel="0" collapsed="false">
      <c r="AD477" s="30"/>
      <c r="AE477" s="30"/>
    </row>
    <row r="478" customFormat="false" ht="15.75" hidden="false" customHeight="false" outlineLevel="0" collapsed="false">
      <c r="AD478" s="30"/>
      <c r="AE478" s="30"/>
    </row>
    <row r="479" customFormat="false" ht="15.75" hidden="false" customHeight="false" outlineLevel="0" collapsed="false">
      <c r="AD479" s="30"/>
      <c r="AE479" s="30"/>
    </row>
    <row r="480" customFormat="false" ht="15.75" hidden="false" customHeight="false" outlineLevel="0" collapsed="false">
      <c r="AD480" s="30"/>
      <c r="AE480" s="30"/>
    </row>
    <row r="481" customFormat="false" ht="15.75" hidden="false" customHeight="false" outlineLevel="0" collapsed="false">
      <c r="AD481" s="30"/>
      <c r="AE481" s="30"/>
    </row>
    <row r="482" customFormat="false" ht="15.75" hidden="false" customHeight="false" outlineLevel="0" collapsed="false">
      <c r="AD482" s="30"/>
      <c r="AE482" s="30"/>
    </row>
    <row r="483" customFormat="false" ht="15.75" hidden="false" customHeight="false" outlineLevel="0" collapsed="false">
      <c r="AD483" s="30"/>
      <c r="AE483" s="30"/>
    </row>
    <row r="484" customFormat="false" ht="15.75" hidden="false" customHeight="false" outlineLevel="0" collapsed="false">
      <c r="AD484" s="30"/>
      <c r="AE484" s="30"/>
    </row>
    <row r="485" customFormat="false" ht="15.75" hidden="false" customHeight="false" outlineLevel="0" collapsed="false">
      <c r="AD485" s="30"/>
      <c r="AE485" s="30"/>
    </row>
    <row r="486" customFormat="false" ht="15.75" hidden="false" customHeight="false" outlineLevel="0" collapsed="false">
      <c r="AD486" s="30"/>
      <c r="AE486" s="30"/>
    </row>
    <row r="487" customFormat="false" ht="15.75" hidden="false" customHeight="false" outlineLevel="0" collapsed="false">
      <c r="AD487" s="30"/>
      <c r="AE487" s="30"/>
    </row>
    <row r="488" customFormat="false" ht="15.75" hidden="false" customHeight="false" outlineLevel="0" collapsed="false">
      <c r="AD488" s="30"/>
      <c r="AE488" s="30"/>
    </row>
    <row r="489" customFormat="false" ht="15.75" hidden="false" customHeight="false" outlineLevel="0" collapsed="false">
      <c r="AD489" s="30"/>
      <c r="AE489" s="30"/>
    </row>
    <row r="490" customFormat="false" ht="15.75" hidden="false" customHeight="false" outlineLevel="0" collapsed="false">
      <c r="AD490" s="30"/>
      <c r="AE490" s="30"/>
    </row>
    <row r="491" customFormat="false" ht="15.75" hidden="false" customHeight="false" outlineLevel="0" collapsed="false">
      <c r="AD491" s="30"/>
      <c r="AE491" s="30"/>
    </row>
    <row r="492" customFormat="false" ht="15.75" hidden="false" customHeight="false" outlineLevel="0" collapsed="false">
      <c r="AD492" s="30"/>
      <c r="AE492" s="30"/>
    </row>
    <row r="493" customFormat="false" ht="15.75" hidden="false" customHeight="false" outlineLevel="0" collapsed="false">
      <c r="AD493" s="30"/>
      <c r="AE493" s="30"/>
    </row>
    <row r="494" customFormat="false" ht="15.75" hidden="false" customHeight="false" outlineLevel="0" collapsed="false">
      <c r="AD494" s="30"/>
      <c r="AE494" s="30"/>
    </row>
    <row r="495" customFormat="false" ht="15.75" hidden="false" customHeight="false" outlineLevel="0" collapsed="false">
      <c r="AD495" s="30"/>
      <c r="AE495" s="30"/>
    </row>
    <row r="496" customFormat="false" ht="15.75" hidden="false" customHeight="false" outlineLevel="0" collapsed="false">
      <c r="AD496" s="30"/>
      <c r="AE496" s="30"/>
    </row>
    <row r="497" customFormat="false" ht="15.75" hidden="false" customHeight="false" outlineLevel="0" collapsed="false">
      <c r="AD497" s="30"/>
      <c r="AE497" s="30"/>
    </row>
    <row r="498" customFormat="false" ht="15.75" hidden="false" customHeight="false" outlineLevel="0" collapsed="false">
      <c r="AD498" s="30"/>
      <c r="AE498" s="30"/>
    </row>
    <row r="499" customFormat="false" ht="15.75" hidden="false" customHeight="false" outlineLevel="0" collapsed="false">
      <c r="AD499" s="30"/>
      <c r="AE499" s="30"/>
    </row>
    <row r="500" customFormat="false" ht="15.75" hidden="false" customHeight="false" outlineLevel="0" collapsed="false">
      <c r="AD500" s="30"/>
      <c r="AE500" s="30"/>
    </row>
    <row r="501" customFormat="false" ht="15.75" hidden="false" customHeight="false" outlineLevel="0" collapsed="false">
      <c r="AD501" s="30"/>
      <c r="AE501" s="30"/>
    </row>
    <row r="502" customFormat="false" ht="15.75" hidden="false" customHeight="false" outlineLevel="0" collapsed="false">
      <c r="AD502" s="30"/>
      <c r="AE502" s="30"/>
    </row>
    <row r="503" customFormat="false" ht="15.75" hidden="false" customHeight="false" outlineLevel="0" collapsed="false">
      <c r="AD503" s="30"/>
      <c r="AE503" s="30"/>
    </row>
    <row r="504" customFormat="false" ht="15.75" hidden="false" customHeight="false" outlineLevel="0" collapsed="false">
      <c r="AD504" s="30"/>
      <c r="AE504" s="30"/>
    </row>
    <row r="505" customFormat="false" ht="15.75" hidden="false" customHeight="false" outlineLevel="0" collapsed="false">
      <c r="AD505" s="30"/>
      <c r="AE505" s="30"/>
    </row>
    <row r="506" customFormat="false" ht="15.75" hidden="false" customHeight="false" outlineLevel="0" collapsed="false">
      <c r="AD506" s="30"/>
      <c r="AE506" s="30"/>
    </row>
    <row r="507" customFormat="false" ht="15.75" hidden="false" customHeight="false" outlineLevel="0" collapsed="false">
      <c r="AD507" s="30"/>
      <c r="AE507" s="30"/>
    </row>
    <row r="508" customFormat="false" ht="15.75" hidden="false" customHeight="false" outlineLevel="0" collapsed="false">
      <c r="AD508" s="30"/>
      <c r="AE508" s="30"/>
    </row>
    <row r="509" customFormat="false" ht="15.75" hidden="false" customHeight="false" outlineLevel="0" collapsed="false">
      <c r="AD509" s="30"/>
      <c r="AE509" s="30"/>
    </row>
    <row r="510" customFormat="false" ht="15.75" hidden="false" customHeight="false" outlineLevel="0" collapsed="false">
      <c r="AD510" s="30"/>
      <c r="AE510" s="30"/>
    </row>
    <row r="511" customFormat="false" ht="15.75" hidden="false" customHeight="false" outlineLevel="0" collapsed="false">
      <c r="AD511" s="30"/>
      <c r="AE511" s="30"/>
    </row>
    <row r="512" customFormat="false" ht="15.75" hidden="false" customHeight="false" outlineLevel="0" collapsed="false">
      <c r="AD512" s="30"/>
      <c r="AE512" s="30"/>
    </row>
    <row r="513" customFormat="false" ht="15.75" hidden="false" customHeight="false" outlineLevel="0" collapsed="false">
      <c r="AD513" s="30"/>
      <c r="AE513" s="30"/>
    </row>
    <row r="514" customFormat="false" ht="15.75" hidden="false" customHeight="false" outlineLevel="0" collapsed="false">
      <c r="AD514" s="30"/>
      <c r="AE514" s="30"/>
    </row>
    <row r="515" customFormat="false" ht="15.75" hidden="false" customHeight="false" outlineLevel="0" collapsed="false">
      <c r="AD515" s="30"/>
      <c r="AE515" s="30"/>
    </row>
    <row r="516" customFormat="false" ht="15.75" hidden="false" customHeight="false" outlineLevel="0" collapsed="false">
      <c r="AD516" s="30"/>
      <c r="AE516" s="30"/>
    </row>
    <row r="517" customFormat="false" ht="15.75" hidden="false" customHeight="false" outlineLevel="0" collapsed="false">
      <c r="AD517" s="30"/>
      <c r="AE517" s="30"/>
    </row>
    <row r="518" customFormat="false" ht="15.75" hidden="false" customHeight="false" outlineLevel="0" collapsed="false">
      <c r="AD518" s="30"/>
      <c r="AE518" s="30"/>
    </row>
    <row r="519" customFormat="false" ht="15.75" hidden="false" customHeight="false" outlineLevel="0" collapsed="false">
      <c r="AD519" s="30"/>
      <c r="AE519" s="30"/>
    </row>
    <row r="520" customFormat="false" ht="15.75" hidden="false" customHeight="false" outlineLevel="0" collapsed="false">
      <c r="AD520" s="30"/>
      <c r="AE520" s="30"/>
    </row>
    <row r="521" customFormat="false" ht="15.75" hidden="false" customHeight="false" outlineLevel="0" collapsed="false">
      <c r="AD521" s="30"/>
      <c r="AE521" s="30"/>
    </row>
    <row r="522" customFormat="false" ht="15.75" hidden="false" customHeight="false" outlineLevel="0" collapsed="false">
      <c r="AD522" s="30"/>
      <c r="AE522" s="30"/>
    </row>
    <row r="523" customFormat="false" ht="15.75" hidden="false" customHeight="false" outlineLevel="0" collapsed="false">
      <c r="AD523" s="30"/>
      <c r="AE523" s="30"/>
    </row>
    <row r="524" customFormat="false" ht="15.75" hidden="false" customHeight="false" outlineLevel="0" collapsed="false">
      <c r="AD524" s="30"/>
      <c r="AE524" s="30"/>
    </row>
    <row r="525" customFormat="false" ht="15.75" hidden="false" customHeight="false" outlineLevel="0" collapsed="false">
      <c r="AD525" s="30"/>
      <c r="AE525" s="30"/>
    </row>
    <row r="526" customFormat="false" ht="15.75" hidden="false" customHeight="false" outlineLevel="0" collapsed="false">
      <c r="AD526" s="30"/>
      <c r="AE526" s="30"/>
    </row>
    <row r="527" customFormat="false" ht="15.75" hidden="false" customHeight="false" outlineLevel="0" collapsed="false">
      <c r="AD527" s="30"/>
      <c r="AE527" s="30"/>
    </row>
    <row r="528" customFormat="false" ht="15.75" hidden="false" customHeight="false" outlineLevel="0" collapsed="false">
      <c r="AD528" s="30"/>
      <c r="AE528" s="30"/>
    </row>
    <row r="529" customFormat="false" ht="15.75" hidden="false" customHeight="false" outlineLevel="0" collapsed="false">
      <c r="AD529" s="30"/>
      <c r="AE529" s="30"/>
    </row>
    <row r="530" customFormat="false" ht="15.75" hidden="false" customHeight="false" outlineLevel="0" collapsed="false">
      <c r="AD530" s="30"/>
      <c r="AE530" s="30"/>
    </row>
    <row r="531" customFormat="false" ht="15.75" hidden="false" customHeight="false" outlineLevel="0" collapsed="false">
      <c r="AD531" s="30"/>
      <c r="AE531" s="30"/>
    </row>
    <row r="532" customFormat="false" ht="15.75" hidden="false" customHeight="false" outlineLevel="0" collapsed="false">
      <c r="AD532" s="30"/>
      <c r="AE532" s="30"/>
    </row>
    <row r="533" customFormat="false" ht="15.75" hidden="false" customHeight="false" outlineLevel="0" collapsed="false">
      <c r="AD533" s="30"/>
      <c r="AE533" s="30"/>
    </row>
    <row r="534" customFormat="false" ht="15.75" hidden="false" customHeight="false" outlineLevel="0" collapsed="false">
      <c r="AD534" s="30"/>
      <c r="AE534" s="30"/>
    </row>
    <row r="535" customFormat="false" ht="15.75" hidden="false" customHeight="false" outlineLevel="0" collapsed="false">
      <c r="AD535" s="30"/>
      <c r="AE535" s="30"/>
    </row>
    <row r="536" customFormat="false" ht="15.75" hidden="false" customHeight="false" outlineLevel="0" collapsed="false">
      <c r="AD536" s="30"/>
      <c r="AE536" s="30"/>
    </row>
    <row r="537" customFormat="false" ht="15.75" hidden="false" customHeight="false" outlineLevel="0" collapsed="false">
      <c r="AD537" s="30"/>
      <c r="AE537" s="30"/>
    </row>
    <row r="538" customFormat="false" ht="15.75" hidden="false" customHeight="false" outlineLevel="0" collapsed="false">
      <c r="AD538" s="30"/>
      <c r="AE538" s="30"/>
    </row>
    <row r="539" customFormat="false" ht="15.75" hidden="false" customHeight="false" outlineLevel="0" collapsed="false">
      <c r="AD539" s="30"/>
      <c r="AE539" s="30"/>
    </row>
    <row r="540" customFormat="false" ht="15.75" hidden="false" customHeight="false" outlineLevel="0" collapsed="false">
      <c r="AD540" s="30"/>
      <c r="AE540" s="30"/>
    </row>
    <row r="541" customFormat="false" ht="15.75" hidden="false" customHeight="false" outlineLevel="0" collapsed="false">
      <c r="AD541" s="30"/>
      <c r="AE541" s="30"/>
    </row>
    <row r="542" customFormat="false" ht="15.75" hidden="false" customHeight="false" outlineLevel="0" collapsed="false">
      <c r="AD542" s="30"/>
      <c r="AE542" s="30"/>
    </row>
    <row r="543" customFormat="false" ht="15.75" hidden="false" customHeight="false" outlineLevel="0" collapsed="false">
      <c r="AD543" s="30"/>
      <c r="AE543" s="30"/>
    </row>
    <row r="544" customFormat="false" ht="15.75" hidden="false" customHeight="false" outlineLevel="0" collapsed="false">
      <c r="AD544" s="30"/>
      <c r="AE544" s="30"/>
    </row>
    <row r="545" customFormat="false" ht="15.75" hidden="false" customHeight="false" outlineLevel="0" collapsed="false">
      <c r="AD545" s="30"/>
      <c r="AE545" s="30"/>
    </row>
    <row r="546" customFormat="false" ht="15.75" hidden="false" customHeight="false" outlineLevel="0" collapsed="false">
      <c r="AD546" s="30"/>
      <c r="AE546" s="30"/>
    </row>
    <row r="547" customFormat="false" ht="15.75" hidden="false" customHeight="false" outlineLevel="0" collapsed="false">
      <c r="AD547" s="30"/>
      <c r="AE547" s="30"/>
    </row>
    <row r="548" customFormat="false" ht="15.75" hidden="false" customHeight="false" outlineLevel="0" collapsed="false">
      <c r="AD548" s="30"/>
      <c r="AE548" s="30"/>
    </row>
    <row r="549" customFormat="false" ht="15.75" hidden="false" customHeight="false" outlineLevel="0" collapsed="false">
      <c r="AD549" s="30"/>
      <c r="AE549" s="30"/>
    </row>
    <row r="550" customFormat="false" ht="15.75" hidden="false" customHeight="false" outlineLevel="0" collapsed="false">
      <c r="AD550" s="30"/>
      <c r="AE550" s="30"/>
    </row>
    <row r="551" customFormat="false" ht="15.75" hidden="false" customHeight="false" outlineLevel="0" collapsed="false">
      <c r="AD551" s="30"/>
      <c r="AE551" s="30"/>
    </row>
    <row r="552" customFormat="false" ht="15.75" hidden="false" customHeight="false" outlineLevel="0" collapsed="false">
      <c r="AD552" s="30"/>
      <c r="AE552" s="30"/>
    </row>
    <row r="553" customFormat="false" ht="15.75" hidden="false" customHeight="false" outlineLevel="0" collapsed="false">
      <c r="AD553" s="30"/>
      <c r="AE553" s="30"/>
    </row>
    <row r="554" customFormat="false" ht="15.75" hidden="false" customHeight="false" outlineLevel="0" collapsed="false">
      <c r="AD554" s="30"/>
      <c r="AE554" s="30"/>
    </row>
    <row r="555" customFormat="false" ht="15.75" hidden="false" customHeight="false" outlineLevel="0" collapsed="false">
      <c r="AD555" s="30"/>
      <c r="AE555" s="30"/>
    </row>
    <row r="556" customFormat="false" ht="15.75" hidden="false" customHeight="false" outlineLevel="0" collapsed="false">
      <c r="AD556" s="30"/>
      <c r="AE556" s="30"/>
    </row>
    <row r="557" customFormat="false" ht="15.75" hidden="false" customHeight="false" outlineLevel="0" collapsed="false">
      <c r="AD557" s="30"/>
      <c r="AE557" s="30"/>
    </row>
    <row r="558" customFormat="false" ht="15.75" hidden="false" customHeight="false" outlineLevel="0" collapsed="false">
      <c r="AD558" s="30"/>
      <c r="AE558" s="30"/>
    </row>
    <row r="559" customFormat="false" ht="15.75" hidden="false" customHeight="false" outlineLevel="0" collapsed="false">
      <c r="AD559" s="30"/>
      <c r="AE559" s="30"/>
    </row>
    <row r="560" customFormat="false" ht="15.75" hidden="false" customHeight="false" outlineLevel="0" collapsed="false">
      <c r="AD560" s="30"/>
      <c r="AE560" s="30"/>
    </row>
    <row r="561" customFormat="false" ht="15.75" hidden="false" customHeight="false" outlineLevel="0" collapsed="false">
      <c r="AD561" s="30"/>
      <c r="AE561" s="30"/>
    </row>
    <row r="562" customFormat="false" ht="15.75" hidden="false" customHeight="false" outlineLevel="0" collapsed="false">
      <c r="AD562" s="30"/>
      <c r="AE562" s="30"/>
    </row>
    <row r="563" customFormat="false" ht="15.75" hidden="false" customHeight="false" outlineLevel="0" collapsed="false">
      <c r="AD563" s="30"/>
      <c r="AE563" s="30"/>
    </row>
    <row r="564" customFormat="false" ht="15.75" hidden="false" customHeight="false" outlineLevel="0" collapsed="false">
      <c r="AD564" s="30"/>
      <c r="AE564" s="30"/>
    </row>
    <row r="565" customFormat="false" ht="15.75" hidden="false" customHeight="false" outlineLevel="0" collapsed="false">
      <c r="AD565" s="30"/>
      <c r="AE565" s="30"/>
    </row>
    <row r="566" customFormat="false" ht="15.75" hidden="false" customHeight="false" outlineLevel="0" collapsed="false">
      <c r="AD566" s="30"/>
      <c r="AE566" s="30"/>
    </row>
    <row r="567" customFormat="false" ht="15.75" hidden="false" customHeight="false" outlineLevel="0" collapsed="false">
      <c r="AD567" s="30"/>
      <c r="AE567" s="30"/>
    </row>
    <row r="568" customFormat="false" ht="15.75" hidden="false" customHeight="false" outlineLevel="0" collapsed="false">
      <c r="AD568" s="30"/>
      <c r="AE568" s="30"/>
    </row>
    <row r="569" customFormat="false" ht="15.75" hidden="false" customHeight="false" outlineLevel="0" collapsed="false">
      <c r="AD569" s="30"/>
      <c r="AE569" s="30"/>
    </row>
    <row r="570" customFormat="false" ht="15.75" hidden="false" customHeight="false" outlineLevel="0" collapsed="false">
      <c r="AD570" s="30"/>
      <c r="AE570" s="30"/>
    </row>
    <row r="571" customFormat="false" ht="15.75" hidden="false" customHeight="false" outlineLevel="0" collapsed="false">
      <c r="AD571" s="30"/>
      <c r="AE571" s="30"/>
    </row>
    <row r="572" customFormat="false" ht="15.75" hidden="false" customHeight="false" outlineLevel="0" collapsed="false">
      <c r="AD572" s="30"/>
      <c r="AE572" s="30"/>
    </row>
    <row r="573" customFormat="false" ht="15.75" hidden="false" customHeight="false" outlineLevel="0" collapsed="false">
      <c r="AD573" s="30"/>
      <c r="AE573" s="30"/>
    </row>
    <row r="574" customFormat="false" ht="15.75" hidden="false" customHeight="false" outlineLevel="0" collapsed="false">
      <c r="AD574" s="30"/>
      <c r="AE574" s="30"/>
    </row>
    <row r="575" customFormat="false" ht="15.75" hidden="false" customHeight="false" outlineLevel="0" collapsed="false">
      <c r="AD575" s="30"/>
      <c r="AE575" s="30"/>
    </row>
    <row r="576" customFormat="false" ht="15.75" hidden="false" customHeight="false" outlineLevel="0" collapsed="false">
      <c r="AD576" s="30"/>
      <c r="AE576" s="30"/>
    </row>
    <row r="577" customFormat="false" ht="15.75" hidden="false" customHeight="false" outlineLevel="0" collapsed="false">
      <c r="AD577" s="30"/>
      <c r="AE577" s="30"/>
    </row>
    <row r="578" customFormat="false" ht="15.75" hidden="false" customHeight="false" outlineLevel="0" collapsed="false">
      <c r="AD578" s="30"/>
      <c r="AE578" s="30"/>
    </row>
    <row r="579" customFormat="false" ht="15.75" hidden="false" customHeight="false" outlineLevel="0" collapsed="false">
      <c r="AD579" s="30"/>
      <c r="AE579" s="30"/>
    </row>
    <row r="580" customFormat="false" ht="15.75" hidden="false" customHeight="false" outlineLevel="0" collapsed="false">
      <c r="AD580" s="30"/>
      <c r="AE580" s="30"/>
    </row>
    <row r="581" customFormat="false" ht="15.75" hidden="false" customHeight="false" outlineLevel="0" collapsed="false">
      <c r="AD581" s="30"/>
      <c r="AE581" s="30"/>
    </row>
    <row r="582" customFormat="false" ht="15.75" hidden="false" customHeight="false" outlineLevel="0" collapsed="false">
      <c r="AD582" s="30"/>
      <c r="AE582" s="30"/>
    </row>
    <row r="583" customFormat="false" ht="15.75" hidden="false" customHeight="false" outlineLevel="0" collapsed="false">
      <c r="AD583" s="30"/>
      <c r="AE583" s="30"/>
    </row>
    <row r="584" customFormat="false" ht="15.75" hidden="false" customHeight="false" outlineLevel="0" collapsed="false">
      <c r="AD584" s="30"/>
      <c r="AE584" s="30"/>
    </row>
    <row r="585" customFormat="false" ht="15.75" hidden="false" customHeight="false" outlineLevel="0" collapsed="false">
      <c r="AD585" s="30"/>
      <c r="AE585" s="30"/>
    </row>
    <row r="586" customFormat="false" ht="15.75" hidden="false" customHeight="false" outlineLevel="0" collapsed="false">
      <c r="AD586" s="30"/>
      <c r="AE586" s="30"/>
    </row>
    <row r="587" customFormat="false" ht="15.75" hidden="false" customHeight="false" outlineLevel="0" collapsed="false">
      <c r="AD587" s="30"/>
      <c r="AE587" s="30"/>
    </row>
    <row r="588" customFormat="false" ht="15.75" hidden="false" customHeight="false" outlineLevel="0" collapsed="false">
      <c r="AD588" s="30"/>
      <c r="AE588" s="30"/>
    </row>
    <row r="589" customFormat="false" ht="15.75" hidden="false" customHeight="false" outlineLevel="0" collapsed="false">
      <c r="AD589" s="30"/>
      <c r="AE589" s="30"/>
    </row>
    <row r="590" customFormat="false" ht="15.75" hidden="false" customHeight="false" outlineLevel="0" collapsed="false">
      <c r="AD590" s="30"/>
      <c r="AE590" s="30"/>
    </row>
    <row r="591" customFormat="false" ht="15.75" hidden="false" customHeight="false" outlineLevel="0" collapsed="false">
      <c r="AD591" s="30"/>
      <c r="AE591" s="30"/>
    </row>
    <row r="592" customFormat="false" ht="15.75" hidden="false" customHeight="false" outlineLevel="0" collapsed="false">
      <c r="AD592" s="30"/>
      <c r="AE592" s="30"/>
    </row>
    <row r="593" customFormat="false" ht="15.75" hidden="false" customHeight="false" outlineLevel="0" collapsed="false">
      <c r="AD593" s="30"/>
      <c r="AE593" s="30"/>
    </row>
    <row r="594" customFormat="false" ht="15.75" hidden="false" customHeight="false" outlineLevel="0" collapsed="false">
      <c r="AD594" s="30"/>
      <c r="AE594" s="30"/>
    </row>
    <row r="595" customFormat="false" ht="15.75" hidden="false" customHeight="false" outlineLevel="0" collapsed="false">
      <c r="AD595" s="30"/>
      <c r="AE595" s="30"/>
    </row>
    <row r="596" customFormat="false" ht="15.75" hidden="false" customHeight="false" outlineLevel="0" collapsed="false">
      <c r="AD596" s="30"/>
      <c r="AE596" s="30"/>
    </row>
    <row r="597" customFormat="false" ht="15.75" hidden="false" customHeight="false" outlineLevel="0" collapsed="false">
      <c r="AD597" s="30"/>
      <c r="AE597" s="30"/>
    </row>
    <row r="598" customFormat="false" ht="15.75" hidden="false" customHeight="false" outlineLevel="0" collapsed="false">
      <c r="AD598" s="30"/>
      <c r="AE598" s="30"/>
    </row>
    <row r="599" customFormat="false" ht="15.75" hidden="false" customHeight="false" outlineLevel="0" collapsed="false">
      <c r="AD599" s="30"/>
      <c r="AE599" s="30"/>
    </row>
    <row r="600" customFormat="false" ht="15.75" hidden="false" customHeight="false" outlineLevel="0" collapsed="false">
      <c r="AD600" s="30"/>
      <c r="AE600" s="30"/>
    </row>
    <row r="601" customFormat="false" ht="15.75" hidden="false" customHeight="false" outlineLevel="0" collapsed="false">
      <c r="AD601" s="30"/>
      <c r="AE601" s="30"/>
    </row>
    <row r="602" customFormat="false" ht="15.75" hidden="false" customHeight="false" outlineLevel="0" collapsed="false">
      <c r="AD602" s="30"/>
      <c r="AE602" s="30"/>
    </row>
    <row r="603" customFormat="false" ht="15.75" hidden="false" customHeight="false" outlineLevel="0" collapsed="false">
      <c r="AD603" s="30"/>
      <c r="AE603" s="30"/>
    </row>
    <row r="604" customFormat="false" ht="15.75" hidden="false" customHeight="false" outlineLevel="0" collapsed="false">
      <c r="AD604" s="30"/>
      <c r="AE604" s="30"/>
    </row>
    <row r="605" customFormat="false" ht="15.75" hidden="false" customHeight="false" outlineLevel="0" collapsed="false">
      <c r="AD605" s="30"/>
      <c r="AE605" s="30"/>
    </row>
    <row r="606" customFormat="false" ht="15.75" hidden="false" customHeight="false" outlineLevel="0" collapsed="false">
      <c r="AD606" s="30"/>
      <c r="AE606" s="30"/>
    </row>
    <row r="607" customFormat="false" ht="15.75" hidden="false" customHeight="false" outlineLevel="0" collapsed="false">
      <c r="AD607" s="30"/>
      <c r="AE607" s="30"/>
    </row>
    <row r="608" customFormat="false" ht="15.75" hidden="false" customHeight="false" outlineLevel="0" collapsed="false">
      <c r="AD608" s="30"/>
      <c r="AE608" s="30"/>
    </row>
    <row r="609" customFormat="false" ht="15.75" hidden="false" customHeight="false" outlineLevel="0" collapsed="false">
      <c r="AD609" s="30"/>
      <c r="AE609" s="30"/>
    </row>
    <row r="610" customFormat="false" ht="15.75" hidden="false" customHeight="false" outlineLevel="0" collapsed="false">
      <c r="AD610" s="30"/>
      <c r="AE610" s="30"/>
    </row>
    <row r="611" customFormat="false" ht="15.75" hidden="false" customHeight="false" outlineLevel="0" collapsed="false">
      <c r="AD611" s="30"/>
      <c r="AE611" s="30"/>
    </row>
    <row r="612" customFormat="false" ht="15.75" hidden="false" customHeight="false" outlineLevel="0" collapsed="false">
      <c r="AD612" s="30"/>
      <c r="AE612" s="30"/>
    </row>
    <row r="613" customFormat="false" ht="15.75" hidden="false" customHeight="false" outlineLevel="0" collapsed="false">
      <c r="AD613" s="30"/>
      <c r="AE613" s="30"/>
    </row>
    <row r="614" customFormat="false" ht="15.75" hidden="false" customHeight="false" outlineLevel="0" collapsed="false">
      <c r="AD614" s="30"/>
      <c r="AE614" s="30"/>
    </row>
    <row r="615" customFormat="false" ht="15.75" hidden="false" customHeight="false" outlineLevel="0" collapsed="false">
      <c r="AD615" s="30"/>
      <c r="AE615" s="30"/>
    </row>
    <row r="616" customFormat="false" ht="15.75" hidden="false" customHeight="false" outlineLevel="0" collapsed="false">
      <c r="AD616" s="30"/>
      <c r="AE616" s="30"/>
    </row>
    <row r="617" customFormat="false" ht="15.75" hidden="false" customHeight="false" outlineLevel="0" collapsed="false">
      <c r="AD617" s="30"/>
      <c r="AE617" s="30"/>
    </row>
    <row r="618" customFormat="false" ht="15.75" hidden="false" customHeight="false" outlineLevel="0" collapsed="false">
      <c r="AD618" s="30"/>
      <c r="AE618" s="30"/>
    </row>
    <row r="619" customFormat="false" ht="15.75" hidden="false" customHeight="false" outlineLevel="0" collapsed="false">
      <c r="AD619" s="30"/>
      <c r="AE619" s="30"/>
    </row>
    <row r="620" customFormat="false" ht="15.75" hidden="false" customHeight="false" outlineLevel="0" collapsed="false">
      <c r="AD620" s="30"/>
      <c r="AE620" s="30"/>
    </row>
    <row r="621" customFormat="false" ht="15.75" hidden="false" customHeight="false" outlineLevel="0" collapsed="false">
      <c r="AD621" s="30"/>
      <c r="AE621" s="30"/>
    </row>
    <row r="622" customFormat="false" ht="15.75" hidden="false" customHeight="false" outlineLevel="0" collapsed="false">
      <c r="AD622" s="30"/>
      <c r="AE622" s="30"/>
    </row>
    <row r="623" customFormat="false" ht="15.75" hidden="false" customHeight="false" outlineLevel="0" collapsed="false">
      <c r="AD623" s="30"/>
      <c r="AE623" s="30"/>
    </row>
    <row r="624" customFormat="false" ht="15.75" hidden="false" customHeight="false" outlineLevel="0" collapsed="false">
      <c r="AD624" s="30"/>
      <c r="AE624" s="30"/>
    </row>
    <row r="625" customFormat="false" ht="15.75" hidden="false" customHeight="false" outlineLevel="0" collapsed="false">
      <c r="AD625" s="30"/>
      <c r="AE625" s="30"/>
    </row>
    <row r="626" customFormat="false" ht="15.75" hidden="false" customHeight="false" outlineLevel="0" collapsed="false">
      <c r="AD626" s="30"/>
      <c r="AE626" s="30"/>
    </row>
    <row r="627" customFormat="false" ht="15.75" hidden="false" customHeight="false" outlineLevel="0" collapsed="false">
      <c r="AD627" s="30"/>
      <c r="AE627" s="30"/>
    </row>
    <row r="628" customFormat="false" ht="15.75" hidden="false" customHeight="false" outlineLevel="0" collapsed="false">
      <c r="AD628" s="30"/>
      <c r="AE628" s="30"/>
    </row>
    <row r="629" customFormat="false" ht="15.75" hidden="false" customHeight="false" outlineLevel="0" collapsed="false">
      <c r="AD629" s="30"/>
      <c r="AE629" s="30"/>
    </row>
    <row r="630" customFormat="false" ht="15.75" hidden="false" customHeight="false" outlineLevel="0" collapsed="false">
      <c r="AD630" s="30"/>
      <c r="AE630" s="30"/>
    </row>
    <row r="631" customFormat="false" ht="15.75" hidden="false" customHeight="false" outlineLevel="0" collapsed="false">
      <c r="AD631" s="30"/>
      <c r="AE631" s="30"/>
    </row>
    <row r="632" customFormat="false" ht="15.75" hidden="false" customHeight="false" outlineLevel="0" collapsed="false">
      <c r="AD632" s="30"/>
      <c r="AE632" s="30"/>
    </row>
    <row r="633" customFormat="false" ht="15.75" hidden="false" customHeight="false" outlineLevel="0" collapsed="false">
      <c r="AD633" s="30"/>
      <c r="AE633" s="30"/>
    </row>
    <row r="634" customFormat="false" ht="15.75" hidden="false" customHeight="false" outlineLevel="0" collapsed="false">
      <c r="AD634" s="30"/>
      <c r="AE634" s="30"/>
    </row>
    <row r="635" customFormat="false" ht="15.75" hidden="false" customHeight="false" outlineLevel="0" collapsed="false">
      <c r="AD635" s="30"/>
      <c r="AE635" s="30"/>
    </row>
    <row r="636" customFormat="false" ht="15.75" hidden="false" customHeight="false" outlineLevel="0" collapsed="false">
      <c r="AD636" s="30"/>
      <c r="AE636" s="30"/>
    </row>
    <row r="637" customFormat="false" ht="15.75" hidden="false" customHeight="false" outlineLevel="0" collapsed="false">
      <c r="AD637" s="30"/>
      <c r="AE637" s="30"/>
    </row>
    <row r="638" customFormat="false" ht="15.75" hidden="false" customHeight="false" outlineLevel="0" collapsed="false">
      <c r="AD638" s="30"/>
      <c r="AE638" s="30"/>
    </row>
    <row r="639" customFormat="false" ht="15.75" hidden="false" customHeight="false" outlineLevel="0" collapsed="false">
      <c r="AD639" s="30"/>
      <c r="AE639" s="30"/>
    </row>
    <row r="640" customFormat="false" ht="15.75" hidden="false" customHeight="false" outlineLevel="0" collapsed="false">
      <c r="AD640" s="30"/>
      <c r="AE640" s="30"/>
    </row>
    <row r="641" customFormat="false" ht="15.75" hidden="false" customHeight="false" outlineLevel="0" collapsed="false">
      <c r="AD641" s="30"/>
      <c r="AE641" s="30"/>
    </row>
    <row r="642" customFormat="false" ht="15.75" hidden="false" customHeight="false" outlineLevel="0" collapsed="false">
      <c r="AD642" s="30"/>
      <c r="AE642" s="30"/>
    </row>
    <row r="643" customFormat="false" ht="15.75" hidden="false" customHeight="false" outlineLevel="0" collapsed="false">
      <c r="AD643" s="30"/>
      <c r="AE643" s="30"/>
    </row>
    <row r="644" customFormat="false" ht="15.75" hidden="false" customHeight="false" outlineLevel="0" collapsed="false">
      <c r="AD644" s="30"/>
      <c r="AE644" s="30"/>
    </row>
    <row r="645" customFormat="false" ht="15.75" hidden="false" customHeight="false" outlineLevel="0" collapsed="false">
      <c r="AD645" s="30"/>
      <c r="AE645" s="30"/>
    </row>
    <row r="646" customFormat="false" ht="15.75" hidden="false" customHeight="false" outlineLevel="0" collapsed="false">
      <c r="AD646" s="30"/>
      <c r="AE646" s="30"/>
    </row>
    <row r="647" customFormat="false" ht="15.75" hidden="false" customHeight="false" outlineLevel="0" collapsed="false">
      <c r="AD647" s="30"/>
      <c r="AE647" s="30"/>
    </row>
    <row r="648" customFormat="false" ht="15.75" hidden="false" customHeight="false" outlineLevel="0" collapsed="false">
      <c r="AD648" s="30"/>
      <c r="AE648" s="30"/>
    </row>
    <row r="649" customFormat="false" ht="15.75" hidden="false" customHeight="false" outlineLevel="0" collapsed="false">
      <c r="AD649" s="30"/>
      <c r="AE649" s="30"/>
    </row>
    <row r="650" customFormat="false" ht="15.75" hidden="false" customHeight="false" outlineLevel="0" collapsed="false">
      <c r="AD650" s="30"/>
      <c r="AE650" s="30"/>
    </row>
    <row r="651" customFormat="false" ht="15.75" hidden="false" customHeight="false" outlineLevel="0" collapsed="false">
      <c r="AD651" s="30"/>
      <c r="AE651" s="30"/>
    </row>
    <row r="652" customFormat="false" ht="15.75" hidden="false" customHeight="false" outlineLevel="0" collapsed="false">
      <c r="AD652" s="30"/>
      <c r="AE652" s="30"/>
    </row>
    <row r="653" customFormat="false" ht="15.75" hidden="false" customHeight="false" outlineLevel="0" collapsed="false">
      <c r="AD653" s="30"/>
      <c r="AE653" s="30"/>
    </row>
    <row r="654" customFormat="false" ht="15.75" hidden="false" customHeight="false" outlineLevel="0" collapsed="false">
      <c r="AD654" s="30"/>
      <c r="AE654" s="30"/>
    </row>
    <row r="655" customFormat="false" ht="15.75" hidden="false" customHeight="false" outlineLevel="0" collapsed="false">
      <c r="AD655" s="30"/>
      <c r="AE655" s="30"/>
    </row>
    <row r="656" customFormat="false" ht="15.75" hidden="false" customHeight="false" outlineLevel="0" collapsed="false">
      <c r="AD656" s="30"/>
      <c r="AE656" s="30"/>
    </row>
    <row r="657" customFormat="false" ht="15.75" hidden="false" customHeight="false" outlineLevel="0" collapsed="false">
      <c r="AD657" s="30"/>
      <c r="AE657" s="30"/>
    </row>
    <row r="658" customFormat="false" ht="15.75" hidden="false" customHeight="false" outlineLevel="0" collapsed="false">
      <c r="AD658" s="30"/>
      <c r="AE658" s="30"/>
    </row>
    <row r="659" customFormat="false" ht="15.75" hidden="false" customHeight="false" outlineLevel="0" collapsed="false">
      <c r="AD659" s="30"/>
      <c r="AE659" s="30"/>
    </row>
    <row r="660" customFormat="false" ht="15.75" hidden="false" customHeight="false" outlineLevel="0" collapsed="false">
      <c r="AD660" s="30"/>
      <c r="AE660" s="30"/>
    </row>
    <row r="661" customFormat="false" ht="15.75" hidden="false" customHeight="false" outlineLevel="0" collapsed="false">
      <c r="AD661" s="30"/>
      <c r="AE661" s="30"/>
    </row>
    <row r="662" customFormat="false" ht="15.75" hidden="false" customHeight="false" outlineLevel="0" collapsed="false">
      <c r="AD662" s="30"/>
      <c r="AE662" s="30"/>
    </row>
    <row r="663" customFormat="false" ht="15.75" hidden="false" customHeight="false" outlineLevel="0" collapsed="false">
      <c r="AD663" s="30"/>
      <c r="AE663" s="30"/>
    </row>
    <row r="664" customFormat="false" ht="15.75" hidden="false" customHeight="false" outlineLevel="0" collapsed="false">
      <c r="AD664" s="30"/>
      <c r="AE664" s="30"/>
    </row>
    <row r="665" customFormat="false" ht="15.75" hidden="false" customHeight="false" outlineLevel="0" collapsed="false">
      <c r="AD665" s="30"/>
      <c r="AE665" s="30"/>
    </row>
    <row r="666" customFormat="false" ht="15.75" hidden="false" customHeight="false" outlineLevel="0" collapsed="false">
      <c r="AD666" s="30"/>
      <c r="AE666" s="30"/>
    </row>
    <row r="667" customFormat="false" ht="15.75" hidden="false" customHeight="false" outlineLevel="0" collapsed="false">
      <c r="AD667" s="30"/>
      <c r="AE667" s="30"/>
    </row>
    <row r="668" customFormat="false" ht="15.75" hidden="false" customHeight="false" outlineLevel="0" collapsed="false">
      <c r="AD668" s="30"/>
      <c r="AE668" s="30"/>
    </row>
    <row r="669" customFormat="false" ht="15.75" hidden="false" customHeight="false" outlineLevel="0" collapsed="false">
      <c r="AD669" s="30"/>
      <c r="AE669" s="30"/>
    </row>
    <row r="670" customFormat="false" ht="15.75" hidden="false" customHeight="false" outlineLevel="0" collapsed="false">
      <c r="AD670" s="30"/>
      <c r="AE670" s="30"/>
    </row>
    <row r="671" customFormat="false" ht="15.75" hidden="false" customHeight="false" outlineLevel="0" collapsed="false">
      <c r="AD671" s="30"/>
      <c r="AE671" s="30"/>
    </row>
    <row r="672" customFormat="false" ht="15.75" hidden="false" customHeight="false" outlineLevel="0" collapsed="false">
      <c r="AD672" s="30"/>
      <c r="AE672" s="30"/>
    </row>
    <row r="673" customFormat="false" ht="15.75" hidden="false" customHeight="false" outlineLevel="0" collapsed="false">
      <c r="AD673" s="30"/>
      <c r="AE673" s="30"/>
    </row>
    <row r="674" customFormat="false" ht="15.75" hidden="false" customHeight="false" outlineLevel="0" collapsed="false">
      <c r="AD674" s="30"/>
      <c r="AE674" s="30"/>
    </row>
    <row r="675" customFormat="false" ht="15.75" hidden="false" customHeight="false" outlineLevel="0" collapsed="false">
      <c r="AD675" s="30"/>
      <c r="AE675" s="30"/>
    </row>
    <row r="676" customFormat="false" ht="15.75" hidden="false" customHeight="false" outlineLevel="0" collapsed="false">
      <c r="AD676" s="30"/>
      <c r="AE676" s="30"/>
    </row>
    <row r="677" customFormat="false" ht="15.75" hidden="false" customHeight="false" outlineLevel="0" collapsed="false">
      <c r="AD677" s="30"/>
      <c r="AE677" s="30"/>
    </row>
    <row r="678" customFormat="false" ht="15.75" hidden="false" customHeight="false" outlineLevel="0" collapsed="false">
      <c r="AD678" s="30"/>
      <c r="AE678" s="30"/>
    </row>
    <row r="679" customFormat="false" ht="15.75" hidden="false" customHeight="false" outlineLevel="0" collapsed="false">
      <c r="AD679" s="30"/>
      <c r="AE679" s="30"/>
    </row>
    <row r="680" customFormat="false" ht="15.75" hidden="false" customHeight="false" outlineLevel="0" collapsed="false">
      <c r="AD680" s="30"/>
      <c r="AE680" s="30"/>
    </row>
    <row r="681" customFormat="false" ht="15.75" hidden="false" customHeight="false" outlineLevel="0" collapsed="false">
      <c r="AD681" s="30"/>
      <c r="AE681" s="30"/>
    </row>
    <row r="682" customFormat="false" ht="15.75" hidden="false" customHeight="false" outlineLevel="0" collapsed="false">
      <c r="AD682" s="30"/>
      <c r="AE682" s="30"/>
    </row>
    <row r="683" customFormat="false" ht="15.75" hidden="false" customHeight="false" outlineLevel="0" collapsed="false">
      <c r="AD683" s="30"/>
      <c r="AE683" s="30"/>
    </row>
    <row r="684" customFormat="false" ht="15.75" hidden="false" customHeight="false" outlineLevel="0" collapsed="false">
      <c r="AD684" s="30"/>
      <c r="AE684" s="30"/>
    </row>
    <row r="685" customFormat="false" ht="15.75" hidden="false" customHeight="false" outlineLevel="0" collapsed="false">
      <c r="AD685" s="30"/>
      <c r="AE685" s="30"/>
    </row>
    <row r="686" customFormat="false" ht="15.75" hidden="false" customHeight="false" outlineLevel="0" collapsed="false">
      <c r="AD686" s="30"/>
      <c r="AE686" s="30"/>
    </row>
    <row r="687" customFormat="false" ht="15.75" hidden="false" customHeight="false" outlineLevel="0" collapsed="false">
      <c r="AD687" s="30"/>
      <c r="AE687" s="30"/>
    </row>
    <row r="688" customFormat="false" ht="15.75" hidden="false" customHeight="false" outlineLevel="0" collapsed="false">
      <c r="AD688" s="30"/>
      <c r="AE688" s="30"/>
    </row>
    <row r="689" customFormat="false" ht="15.75" hidden="false" customHeight="false" outlineLevel="0" collapsed="false">
      <c r="AD689" s="30"/>
      <c r="AE689" s="30"/>
    </row>
    <row r="690" customFormat="false" ht="15.75" hidden="false" customHeight="false" outlineLevel="0" collapsed="false">
      <c r="AD690" s="30"/>
      <c r="AE690" s="30"/>
    </row>
    <row r="691" customFormat="false" ht="15.75" hidden="false" customHeight="false" outlineLevel="0" collapsed="false">
      <c r="AD691" s="30"/>
      <c r="AE691" s="30"/>
    </row>
    <row r="692" customFormat="false" ht="15.75" hidden="false" customHeight="false" outlineLevel="0" collapsed="false">
      <c r="AD692" s="30"/>
      <c r="AE692" s="30"/>
    </row>
    <row r="693" customFormat="false" ht="15.75" hidden="false" customHeight="false" outlineLevel="0" collapsed="false">
      <c r="AD693" s="30"/>
      <c r="AE693" s="30"/>
    </row>
    <row r="694" customFormat="false" ht="15.75" hidden="false" customHeight="false" outlineLevel="0" collapsed="false">
      <c r="AD694" s="30"/>
      <c r="AE694" s="30"/>
    </row>
    <row r="695" customFormat="false" ht="15.75" hidden="false" customHeight="false" outlineLevel="0" collapsed="false">
      <c r="AD695" s="30"/>
      <c r="AE695" s="30"/>
    </row>
    <row r="696" customFormat="false" ht="15.75" hidden="false" customHeight="false" outlineLevel="0" collapsed="false">
      <c r="AD696" s="30"/>
      <c r="AE696" s="30"/>
    </row>
    <row r="697" customFormat="false" ht="15.75" hidden="false" customHeight="false" outlineLevel="0" collapsed="false">
      <c r="AD697" s="30"/>
      <c r="AE697" s="30"/>
    </row>
    <row r="698" customFormat="false" ht="15.75" hidden="false" customHeight="false" outlineLevel="0" collapsed="false">
      <c r="AD698" s="30"/>
      <c r="AE698" s="30"/>
    </row>
    <row r="699" customFormat="false" ht="15.75" hidden="false" customHeight="false" outlineLevel="0" collapsed="false">
      <c r="AD699" s="30"/>
      <c r="AE699" s="30"/>
    </row>
    <row r="700" customFormat="false" ht="15.75" hidden="false" customHeight="false" outlineLevel="0" collapsed="false">
      <c r="AD700" s="30"/>
      <c r="AE700" s="30"/>
    </row>
    <row r="701" customFormat="false" ht="15.75" hidden="false" customHeight="false" outlineLevel="0" collapsed="false">
      <c r="AD701" s="30"/>
      <c r="AE701" s="30"/>
    </row>
    <row r="702" customFormat="false" ht="15.75" hidden="false" customHeight="false" outlineLevel="0" collapsed="false">
      <c r="AD702" s="30"/>
      <c r="AE702" s="30"/>
    </row>
    <row r="703" customFormat="false" ht="15.75" hidden="false" customHeight="false" outlineLevel="0" collapsed="false">
      <c r="AD703" s="30"/>
      <c r="AE703" s="30"/>
    </row>
    <row r="704" customFormat="false" ht="15.75" hidden="false" customHeight="false" outlineLevel="0" collapsed="false">
      <c r="AD704" s="30"/>
      <c r="AE704" s="30"/>
    </row>
    <row r="705" customFormat="false" ht="15.75" hidden="false" customHeight="false" outlineLevel="0" collapsed="false">
      <c r="AD705" s="30"/>
      <c r="AE705" s="30"/>
    </row>
    <row r="706" customFormat="false" ht="15.75" hidden="false" customHeight="false" outlineLevel="0" collapsed="false">
      <c r="AD706" s="30"/>
      <c r="AE706" s="30"/>
    </row>
    <row r="707" customFormat="false" ht="15.75" hidden="false" customHeight="false" outlineLevel="0" collapsed="false">
      <c r="AD707" s="30"/>
      <c r="AE707" s="30"/>
    </row>
    <row r="708" customFormat="false" ht="15.75" hidden="false" customHeight="false" outlineLevel="0" collapsed="false">
      <c r="AD708" s="30"/>
      <c r="AE708" s="30"/>
    </row>
    <row r="709" customFormat="false" ht="15.75" hidden="false" customHeight="false" outlineLevel="0" collapsed="false">
      <c r="AD709" s="30"/>
      <c r="AE709" s="30"/>
    </row>
    <row r="710" customFormat="false" ht="15.75" hidden="false" customHeight="false" outlineLevel="0" collapsed="false">
      <c r="AD710" s="30"/>
      <c r="AE710" s="30"/>
    </row>
    <row r="711" customFormat="false" ht="15.75" hidden="false" customHeight="false" outlineLevel="0" collapsed="false">
      <c r="AD711" s="30"/>
      <c r="AE711" s="30"/>
    </row>
    <row r="712" customFormat="false" ht="15.75" hidden="false" customHeight="false" outlineLevel="0" collapsed="false">
      <c r="AD712" s="30"/>
      <c r="AE712" s="30"/>
    </row>
    <row r="713" customFormat="false" ht="15.75" hidden="false" customHeight="false" outlineLevel="0" collapsed="false">
      <c r="AD713" s="30"/>
      <c r="AE713" s="30"/>
    </row>
    <row r="714" customFormat="false" ht="15.75" hidden="false" customHeight="false" outlineLevel="0" collapsed="false">
      <c r="AD714" s="30"/>
      <c r="AE714" s="30"/>
    </row>
    <row r="715" customFormat="false" ht="15.75" hidden="false" customHeight="false" outlineLevel="0" collapsed="false">
      <c r="AD715" s="30"/>
      <c r="AE715" s="30"/>
    </row>
    <row r="716" customFormat="false" ht="15.75" hidden="false" customHeight="false" outlineLevel="0" collapsed="false">
      <c r="AD716" s="30"/>
      <c r="AE716" s="30"/>
    </row>
    <row r="717" customFormat="false" ht="15.75" hidden="false" customHeight="false" outlineLevel="0" collapsed="false">
      <c r="AD717" s="30"/>
      <c r="AE717" s="30"/>
    </row>
    <row r="718" customFormat="false" ht="15.75" hidden="false" customHeight="false" outlineLevel="0" collapsed="false">
      <c r="AD718" s="30"/>
      <c r="AE718" s="30"/>
    </row>
    <row r="719" customFormat="false" ht="15.75" hidden="false" customHeight="false" outlineLevel="0" collapsed="false">
      <c r="AD719" s="30"/>
      <c r="AE719" s="30"/>
    </row>
    <row r="720" customFormat="false" ht="15.75" hidden="false" customHeight="false" outlineLevel="0" collapsed="false">
      <c r="AD720" s="30"/>
      <c r="AE720" s="30"/>
    </row>
    <row r="721" customFormat="false" ht="15.75" hidden="false" customHeight="false" outlineLevel="0" collapsed="false">
      <c r="AD721" s="30"/>
      <c r="AE721" s="30"/>
    </row>
    <row r="722" customFormat="false" ht="15.75" hidden="false" customHeight="false" outlineLevel="0" collapsed="false">
      <c r="AD722" s="30"/>
      <c r="AE722" s="30"/>
    </row>
    <row r="723" customFormat="false" ht="15.75" hidden="false" customHeight="false" outlineLevel="0" collapsed="false">
      <c r="AD723" s="30"/>
      <c r="AE723" s="30"/>
    </row>
    <row r="724" customFormat="false" ht="15.75" hidden="false" customHeight="false" outlineLevel="0" collapsed="false">
      <c r="AD724" s="30"/>
      <c r="AE724" s="30"/>
    </row>
    <row r="725" customFormat="false" ht="15.75" hidden="false" customHeight="false" outlineLevel="0" collapsed="false">
      <c r="AD725" s="30"/>
      <c r="AE725" s="30"/>
    </row>
    <row r="726" customFormat="false" ht="15.75" hidden="false" customHeight="false" outlineLevel="0" collapsed="false">
      <c r="AD726" s="30"/>
      <c r="AE726" s="30"/>
    </row>
    <row r="727" customFormat="false" ht="15.75" hidden="false" customHeight="false" outlineLevel="0" collapsed="false">
      <c r="AD727" s="30"/>
      <c r="AE727" s="30"/>
    </row>
    <row r="728" customFormat="false" ht="15.75" hidden="false" customHeight="false" outlineLevel="0" collapsed="false">
      <c r="AD728" s="30"/>
      <c r="AE728" s="30"/>
    </row>
    <row r="729" customFormat="false" ht="15.75" hidden="false" customHeight="false" outlineLevel="0" collapsed="false">
      <c r="AD729" s="30"/>
      <c r="AE729" s="30"/>
    </row>
    <row r="730" customFormat="false" ht="15.75" hidden="false" customHeight="false" outlineLevel="0" collapsed="false">
      <c r="AD730" s="30"/>
      <c r="AE730" s="30"/>
    </row>
    <row r="731" customFormat="false" ht="15.75" hidden="false" customHeight="false" outlineLevel="0" collapsed="false">
      <c r="AD731" s="30"/>
      <c r="AE731" s="30"/>
    </row>
    <row r="732" customFormat="false" ht="15.75" hidden="false" customHeight="false" outlineLevel="0" collapsed="false">
      <c r="AD732" s="30"/>
      <c r="AE732" s="30"/>
    </row>
    <row r="733" customFormat="false" ht="15.75" hidden="false" customHeight="false" outlineLevel="0" collapsed="false">
      <c r="AD733" s="30"/>
      <c r="AE733" s="30"/>
    </row>
    <row r="734" customFormat="false" ht="15.75" hidden="false" customHeight="false" outlineLevel="0" collapsed="false">
      <c r="AD734" s="30"/>
      <c r="AE734" s="30"/>
    </row>
    <row r="735" customFormat="false" ht="15.75" hidden="false" customHeight="false" outlineLevel="0" collapsed="false">
      <c r="AD735" s="30"/>
      <c r="AE735" s="30"/>
    </row>
    <row r="736" customFormat="false" ht="15.75" hidden="false" customHeight="false" outlineLevel="0" collapsed="false">
      <c r="AD736" s="30"/>
      <c r="AE736" s="30"/>
    </row>
    <row r="737" customFormat="false" ht="15.75" hidden="false" customHeight="false" outlineLevel="0" collapsed="false">
      <c r="AD737" s="30"/>
      <c r="AE737" s="30"/>
    </row>
    <row r="738" customFormat="false" ht="15.75" hidden="false" customHeight="false" outlineLevel="0" collapsed="false">
      <c r="AD738" s="30"/>
      <c r="AE738" s="30"/>
    </row>
    <row r="739" customFormat="false" ht="15.75" hidden="false" customHeight="false" outlineLevel="0" collapsed="false">
      <c r="AD739" s="30"/>
      <c r="AE739" s="30"/>
    </row>
    <row r="740" customFormat="false" ht="15.75" hidden="false" customHeight="false" outlineLevel="0" collapsed="false">
      <c r="AD740" s="30"/>
      <c r="AE740" s="30"/>
    </row>
    <row r="741" customFormat="false" ht="15.75" hidden="false" customHeight="false" outlineLevel="0" collapsed="false">
      <c r="AD741" s="30"/>
      <c r="AE741" s="30"/>
    </row>
    <row r="742" customFormat="false" ht="15.75" hidden="false" customHeight="false" outlineLevel="0" collapsed="false">
      <c r="AD742" s="30"/>
      <c r="AE742" s="30"/>
    </row>
    <row r="743" customFormat="false" ht="15.75" hidden="false" customHeight="false" outlineLevel="0" collapsed="false">
      <c r="AD743" s="30"/>
      <c r="AE743" s="30"/>
    </row>
    <row r="744" customFormat="false" ht="15.75" hidden="false" customHeight="false" outlineLevel="0" collapsed="false">
      <c r="AD744" s="30"/>
      <c r="AE744" s="30"/>
    </row>
    <row r="745" customFormat="false" ht="15.75" hidden="false" customHeight="false" outlineLevel="0" collapsed="false">
      <c r="AD745" s="30"/>
      <c r="AE745" s="30"/>
    </row>
    <row r="746" customFormat="false" ht="15.75" hidden="false" customHeight="false" outlineLevel="0" collapsed="false">
      <c r="AD746" s="30"/>
      <c r="AE746" s="30"/>
    </row>
    <row r="747" customFormat="false" ht="15.75" hidden="false" customHeight="false" outlineLevel="0" collapsed="false">
      <c r="AD747" s="30"/>
      <c r="AE747" s="30"/>
    </row>
    <row r="748" customFormat="false" ht="15.75" hidden="false" customHeight="false" outlineLevel="0" collapsed="false">
      <c r="AD748" s="30"/>
      <c r="AE748" s="30"/>
    </row>
    <row r="749" customFormat="false" ht="15.75" hidden="false" customHeight="false" outlineLevel="0" collapsed="false">
      <c r="AD749" s="30"/>
      <c r="AE749" s="30"/>
    </row>
    <row r="750" customFormat="false" ht="15.75" hidden="false" customHeight="false" outlineLevel="0" collapsed="false">
      <c r="AD750" s="30"/>
      <c r="AE750" s="30"/>
    </row>
    <row r="751" customFormat="false" ht="15.75" hidden="false" customHeight="false" outlineLevel="0" collapsed="false">
      <c r="AD751" s="30"/>
      <c r="AE751" s="30"/>
    </row>
    <row r="752" customFormat="false" ht="15.75" hidden="false" customHeight="false" outlineLevel="0" collapsed="false">
      <c r="AD752" s="30"/>
      <c r="AE752" s="30"/>
    </row>
    <row r="753" customFormat="false" ht="15.75" hidden="false" customHeight="false" outlineLevel="0" collapsed="false">
      <c r="AD753" s="30"/>
      <c r="AE753" s="30"/>
    </row>
    <row r="754" customFormat="false" ht="15.75" hidden="false" customHeight="false" outlineLevel="0" collapsed="false">
      <c r="AD754" s="30"/>
      <c r="AE754" s="30"/>
    </row>
    <row r="755" customFormat="false" ht="15.75" hidden="false" customHeight="false" outlineLevel="0" collapsed="false">
      <c r="AD755" s="30"/>
      <c r="AE755" s="30"/>
    </row>
    <row r="756" customFormat="false" ht="15.75" hidden="false" customHeight="false" outlineLevel="0" collapsed="false">
      <c r="AD756" s="30"/>
      <c r="AE756" s="30"/>
    </row>
    <row r="757" customFormat="false" ht="15.75" hidden="false" customHeight="false" outlineLevel="0" collapsed="false">
      <c r="AD757" s="30"/>
      <c r="AE757" s="30"/>
    </row>
    <row r="758" customFormat="false" ht="15.75" hidden="false" customHeight="false" outlineLevel="0" collapsed="false">
      <c r="AD758" s="30"/>
      <c r="AE758" s="30"/>
    </row>
    <row r="759" customFormat="false" ht="15.75" hidden="false" customHeight="false" outlineLevel="0" collapsed="false">
      <c r="AD759" s="30"/>
      <c r="AE759" s="30"/>
    </row>
    <row r="760" customFormat="false" ht="15.75" hidden="false" customHeight="false" outlineLevel="0" collapsed="false">
      <c r="AD760" s="30"/>
      <c r="AE760" s="30"/>
    </row>
    <row r="761" customFormat="false" ht="15.75" hidden="false" customHeight="false" outlineLevel="0" collapsed="false">
      <c r="AD761" s="30"/>
      <c r="AE761" s="30"/>
    </row>
    <row r="762" customFormat="false" ht="15.75" hidden="false" customHeight="false" outlineLevel="0" collapsed="false">
      <c r="AD762" s="30"/>
      <c r="AE762" s="30"/>
    </row>
    <row r="763" customFormat="false" ht="15.75" hidden="false" customHeight="false" outlineLevel="0" collapsed="false">
      <c r="AD763" s="30"/>
      <c r="AE763" s="30"/>
    </row>
    <row r="764" customFormat="false" ht="15.75" hidden="false" customHeight="false" outlineLevel="0" collapsed="false">
      <c r="AD764" s="30"/>
      <c r="AE764" s="30"/>
    </row>
    <row r="765" customFormat="false" ht="15.75" hidden="false" customHeight="false" outlineLevel="0" collapsed="false">
      <c r="AD765" s="30"/>
      <c r="AE765" s="30"/>
    </row>
    <row r="766" customFormat="false" ht="15.75" hidden="false" customHeight="false" outlineLevel="0" collapsed="false">
      <c r="AD766" s="30"/>
      <c r="AE766" s="30"/>
    </row>
    <row r="767" customFormat="false" ht="15.75" hidden="false" customHeight="false" outlineLevel="0" collapsed="false">
      <c r="AD767" s="30"/>
      <c r="AE767" s="30"/>
    </row>
    <row r="768" customFormat="false" ht="15.75" hidden="false" customHeight="false" outlineLevel="0" collapsed="false">
      <c r="AD768" s="30"/>
      <c r="AE768" s="30"/>
    </row>
    <row r="769" customFormat="false" ht="15.75" hidden="false" customHeight="false" outlineLevel="0" collapsed="false">
      <c r="AD769" s="30"/>
      <c r="AE769" s="30"/>
    </row>
    <row r="770" customFormat="false" ht="15.75" hidden="false" customHeight="false" outlineLevel="0" collapsed="false">
      <c r="AD770" s="30"/>
      <c r="AE770" s="30"/>
    </row>
    <row r="771" customFormat="false" ht="15.75" hidden="false" customHeight="false" outlineLevel="0" collapsed="false">
      <c r="AD771" s="30"/>
      <c r="AE771" s="30"/>
    </row>
    <row r="772" customFormat="false" ht="15.75" hidden="false" customHeight="false" outlineLevel="0" collapsed="false">
      <c r="AD772" s="30"/>
      <c r="AE772" s="30"/>
    </row>
    <row r="773" customFormat="false" ht="15.75" hidden="false" customHeight="false" outlineLevel="0" collapsed="false">
      <c r="AD773" s="30"/>
      <c r="AE773" s="30"/>
    </row>
    <row r="774" customFormat="false" ht="15.75" hidden="false" customHeight="false" outlineLevel="0" collapsed="false">
      <c r="AD774" s="30"/>
      <c r="AE774" s="30"/>
    </row>
    <row r="775" customFormat="false" ht="15.75" hidden="false" customHeight="false" outlineLevel="0" collapsed="false">
      <c r="AD775" s="30"/>
      <c r="AE775" s="30"/>
    </row>
    <row r="776" customFormat="false" ht="15.75" hidden="false" customHeight="false" outlineLevel="0" collapsed="false">
      <c r="AD776" s="30"/>
      <c r="AE776" s="30"/>
    </row>
    <row r="777" customFormat="false" ht="15.75" hidden="false" customHeight="false" outlineLevel="0" collapsed="false">
      <c r="AD777" s="30"/>
      <c r="AE777" s="30"/>
    </row>
    <row r="778" customFormat="false" ht="15.75" hidden="false" customHeight="false" outlineLevel="0" collapsed="false">
      <c r="AD778" s="30"/>
      <c r="AE778" s="30"/>
    </row>
    <row r="779" customFormat="false" ht="15.75" hidden="false" customHeight="false" outlineLevel="0" collapsed="false">
      <c r="AD779" s="30"/>
      <c r="AE779" s="30"/>
    </row>
    <row r="780" customFormat="false" ht="15.75" hidden="false" customHeight="false" outlineLevel="0" collapsed="false">
      <c r="AD780" s="30"/>
      <c r="AE780" s="30"/>
    </row>
    <row r="781" customFormat="false" ht="15.75" hidden="false" customHeight="false" outlineLevel="0" collapsed="false">
      <c r="AD781" s="30"/>
      <c r="AE781" s="30"/>
    </row>
    <row r="782" customFormat="false" ht="15.75" hidden="false" customHeight="false" outlineLevel="0" collapsed="false">
      <c r="AD782" s="30"/>
      <c r="AE782" s="30"/>
    </row>
    <row r="783" customFormat="false" ht="15.75" hidden="false" customHeight="false" outlineLevel="0" collapsed="false">
      <c r="AD783" s="30"/>
      <c r="AE783" s="30"/>
    </row>
    <row r="784" customFormat="false" ht="15.75" hidden="false" customHeight="false" outlineLevel="0" collapsed="false">
      <c r="AD784" s="30"/>
      <c r="AE784" s="30"/>
    </row>
    <row r="785" customFormat="false" ht="15.75" hidden="false" customHeight="false" outlineLevel="0" collapsed="false">
      <c r="AD785" s="30"/>
      <c r="AE785" s="30"/>
    </row>
    <row r="786" customFormat="false" ht="15.75" hidden="false" customHeight="false" outlineLevel="0" collapsed="false">
      <c r="AD786" s="30"/>
      <c r="AE786" s="30"/>
    </row>
    <row r="787" customFormat="false" ht="15.75" hidden="false" customHeight="false" outlineLevel="0" collapsed="false">
      <c r="AD787" s="30"/>
      <c r="AE787" s="30"/>
    </row>
    <row r="788" customFormat="false" ht="15.75" hidden="false" customHeight="false" outlineLevel="0" collapsed="false">
      <c r="AD788" s="30"/>
      <c r="AE788" s="30"/>
    </row>
    <row r="789" customFormat="false" ht="15.75" hidden="false" customHeight="false" outlineLevel="0" collapsed="false">
      <c r="AD789" s="30"/>
      <c r="AE789" s="30"/>
    </row>
    <row r="790" customFormat="false" ht="15.75" hidden="false" customHeight="false" outlineLevel="0" collapsed="false">
      <c r="AD790" s="30"/>
      <c r="AE790" s="30"/>
    </row>
    <row r="791" customFormat="false" ht="15.75" hidden="false" customHeight="false" outlineLevel="0" collapsed="false">
      <c r="AD791" s="30"/>
      <c r="AE791" s="30"/>
    </row>
    <row r="792" customFormat="false" ht="15.75" hidden="false" customHeight="false" outlineLevel="0" collapsed="false">
      <c r="AD792" s="30"/>
      <c r="AE792" s="30"/>
    </row>
    <row r="793" customFormat="false" ht="15.75" hidden="false" customHeight="false" outlineLevel="0" collapsed="false">
      <c r="AD793" s="30"/>
      <c r="AE793" s="30"/>
    </row>
    <row r="794" customFormat="false" ht="15.75" hidden="false" customHeight="false" outlineLevel="0" collapsed="false">
      <c r="AD794" s="30"/>
      <c r="AE794" s="30"/>
    </row>
    <row r="795" customFormat="false" ht="15.75" hidden="false" customHeight="false" outlineLevel="0" collapsed="false">
      <c r="AD795" s="30"/>
      <c r="AE795" s="30"/>
    </row>
    <row r="796" customFormat="false" ht="15.75" hidden="false" customHeight="false" outlineLevel="0" collapsed="false">
      <c r="AD796" s="30"/>
      <c r="AE796" s="30"/>
    </row>
    <row r="797" customFormat="false" ht="15.75" hidden="false" customHeight="false" outlineLevel="0" collapsed="false">
      <c r="AD797" s="30"/>
      <c r="AE797" s="30"/>
    </row>
    <row r="798" customFormat="false" ht="15.75" hidden="false" customHeight="false" outlineLevel="0" collapsed="false">
      <c r="AD798" s="30"/>
      <c r="AE798" s="30"/>
    </row>
    <row r="799" customFormat="false" ht="15.75" hidden="false" customHeight="false" outlineLevel="0" collapsed="false">
      <c r="AD799" s="30"/>
      <c r="AE799" s="30"/>
    </row>
    <row r="800" customFormat="false" ht="15.75" hidden="false" customHeight="false" outlineLevel="0" collapsed="false">
      <c r="AD800" s="30"/>
      <c r="AE800" s="30"/>
    </row>
    <row r="801" customFormat="false" ht="15.75" hidden="false" customHeight="false" outlineLevel="0" collapsed="false">
      <c r="AD801" s="30"/>
      <c r="AE801" s="30"/>
    </row>
    <row r="802" customFormat="false" ht="15.75" hidden="false" customHeight="false" outlineLevel="0" collapsed="false">
      <c r="AD802" s="30"/>
      <c r="AE802" s="30"/>
    </row>
    <row r="803" customFormat="false" ht="15.75" hidden="false" customHeight="false" outlineLevel="0" collapsed="false">
      <c r="AD803" s="30"/>
      <c r="AE803" s="30"/>
    </row>
    <row r="804" customFormat="false" ht="15.75" hidden="false" customHeight="false" outlineLevel="0" collapsed="false">
      <c r="AD804" s="30"/>
      <c r="AE804" s="30"/>
    </row>
    <row r="805" customFormat="false" ht="15.75" hidden="false" customHeight="false" outlineLevel="0" collapsed="false">
      <c r="AD805" s="30"/>
      <c r="AE805" s="30"/>
    </row>
    <row r="806" customFormat="false" ht="15.75" hidden="false" customHeight="false" outlineLevel="0" collapsed="false">
      <c r="AD806" s="30"/>
      <c r="AE806" s="30"/>
    </row>
    <row r="807" customFormat="false" ht="15.75" hidden="false" customHeight="false" outlineLevel="0" collapsed="false">
      <c r="AD807" s="30"/>
      <c r="AE807" s="30"/>
    </row>
    <row r="808" customFormat="false" ht="15.75" hidden="false" customHeight="false" outlineLevel="0" collapsed="false">
      <c r="AD808" s="30"/>
      <c r="AE808" s="30"/>
    </row>
    <row r="809" customFormat="false" ht="15.75" hidden="false" customHeight="false" outlineLevel="0" collapsed="false">
      <c r="AD809" s="30"/>
      <c r="AE809" s="30"/>
    </row>
    <row r="810" customFormat="false" ht="15.75" hidden="false" customHeight="false" outlineLevel="0" collapsed="false">
      <c r="AD810" s="30"/>
      <c r="AE810" s="30"/>
    </row>
    <row r="811" customFormat="false" ht="15.75" hidden="false" customHeight="false" outlineLevel="0" collapsed="false">
      <c r="AD811" s="30"/>
      <c r="AE811" s="30"/>
    </row>
    <row r="812" customFormat="false" ht="15.75" hidden="false" customHeight="false" outlineLevel="0" collapsed="false">
      <c r="AD812" s="30"/>
      <c r="AE812" s="30"/>
    </row>
    <row r="813" customFormat="false" ht="15.75" hidden="false" customHeight="false" outlineLevel="0" collapsed="false">
      <c r="AD813" s="30"/>
      <c r="AE813" s="30"/>
    </row>
    <row r="814" customFormat="false" ht="15.75" hidden="false" customHeight="false" outlineLevel="0" collapsed="false">
      <c r="AD814" s="30"/>
      <c r="AE814" s="30"/>
    </row>
    <row r="815" customFormat="false" ht="15.75" hidden="false" customHeight="false" outlineLevel="0" collapsed="false">
      <c r="AD815" s="30"/>
      <c r="AE815" s="30"/>
    </row>
    <row r="816" customFormat="false" ht="15.75" hidden="false" customHeight="false" outlineLevel="0" collapsed="false">
      <c r="AD816" s="30"/>
      <c r="AE816" s="30"/>
    </row>
    <row r="817" customFormat="false" ht="15.75" hidden="false" customHeight="false" outlineLevel="0" collapsed="false">
      <c r="AD817" s="30"/>
      <c r="AE817" s="30"/>
    </row>
    <row r="818" customFormat="false" ht="15.75" hidden="false" customHeight="false" outlineLevel="0" collapsed="false">
      <c r="AD818" s="30"/>
      <c r="AE818" s="30"/>
    </row>
    <row r="819" customFormat="false" ht="15.75" hidden="false" customHeight="false" outlineLevel="0" collapsed="false">
      <c r="AD819" s="30"/>
      <c r="AE819" s="30"/>
    </row>
    <row r="820" customFormat="false" ht="15.75" hidden="false" customHeight="false" outlineLevel="0" collapsed="false">
      <c r="AD820" s="30"/>
      <c r="AE820" s="30"/>
    </row>
    <row r="821" customFormat="false" ht="15.75" hidden="false" customHeight="false" outlineLevel="0" collapsed="false">
      <c r="AD821" s="30"/>
      <c r="AE821" s="30"/>
    </row>
    <row r="822" customFormat="false" ht="15.75" hidden="false" customHeight="false" outlineLevel="0" collapsed="false">
      <c r="AD822" s="30"/>
      <c r="AE822" s="30"/>
    </row>
    <row r="823" customFormat="false" ht="15.75" hidden="false" customHeight="false" outlineLevel="0" collapsed="false">
      <c r="AD823" s="30"/>
      <c r="AE823" s="30"/>
    </row>
    <row r="824" customFormat="false" ht="15.75" hidden="false" customHeight="false" outlineLevel="0" collapsed="false">
      <c r="AD824" s="30"/>
      <c r="AE824" s="30"/>
    </row>
    <row r="825" customFormat="false" ht="15.75" hidden="false" customHeight="false" outlineLevel="0" collapsed="false">
      <c r="AD825" s="30"/>
      <c r="AE825" s="30"/>
    </row>
    <row r="826" customFormat="false" ht="15.75" hidden="false" customHeight="false" outlineLevel="0" collapsed="false">
      <c r="AD826" s="30"/>
      <c r="AE826" s="30"/>
    </row>
    <row r="827" customFormat="false" ht="15.75" hidden="false" customHeight="false" outlineLevel="0" collapsed="false">
      <c r="AD827" s="30"/>
      <c r="AE827" s="30"/>
    </row>
    <row r="828" customFormat="false" ht="15.75" hidden="false" customHeight="false" outlineLevel="0" collapsed="false">
      <c r="AD828" s="30"/>
      <c r="AE828" s="30"/>
    </row>
    <row r="829" customFormat="false" ht="15.75" hidden="false" customHeight="false" outlineLevel="0" collapsed="false">
      <c r="AD829" s="30"/>
      <c r="AE829" s="30"/>
    </row>
    <row r="830" customFormat="false" ht="15.75" hidden="false" customHeight="false" outlineLevel="0" collapsed="false">
      <c r="AD830" s="30"/>
      <c r="AE830" s="30"/>
    </row>
    <row r="831" customFormat="false" ht="15.75" hidden="false" customHeight="false" outlineLevel="0" collapsed="false">
      <c r="AD831" s="30"/>
      <c r="AE831" s="30"/>
    </row>
    <row r="832" customFormat="false" ht="15.75" hidden="false" customHeight="false" outlineLevel="0" collapsed="false">
      <c r="AD832" s="30"/>
      <c r="AE832" s="30"/>
    </row>
    <row r="833" customFormat="false" ht="15.75" hidden="false" customHeight="false" outlineLevel="0" collapsed="false">
      <c r="AD833" s="30"/>
      <c r="AE833" s="30"/>
    </row>
    <row r="834" customFormat="false" ht="15.75" hidden="false" customHeight="false" outlineLevel="0" collapsed="false">
      <c r="AD834" s="30"/>
      <c r="AE834" s="30"/>
    </row>
    <row r="835" customFormat="false" ht="15.75" hidden="false" customHeight="false" outlineLevel="0" collapsed="false">
      <c r="AD835" s="30"/>
      <c r="AE835" s="30"/>
    </row>
    <row r="836" customFormat="false" ht="15.75" hidden="false" customHeight="false" outlineLevel="0" collapsed="false">
      <c r="AD836" s="30"/>
      <c r="AE836" s="30"/>
    </row>
    <row r="837" customFormat="false" ht="15.75" hidden="false" customHeight="false" outlineLevel="0" collapsed="false">
      <c r="AD837" s="30"/>
      <c r="AE837" s="30"/>
    </row>
    <row r="838" customFormat="false" ht="15.75" hidden="false" customHeight="false" outlineLevel="0" collapsed="false">
      <c r="AD838" s="30"/>
      <c r="AE838" s="30"/>
    </row>
    <row r="839" customFormat="false" ht="15.75" hidden="false" customHeight="false" outlineLevel="0" collapsed="false">
      <c r="AD839" s="30"/>
      <c r="AE839" s="30"/>
    </row>
    <row r="840" customFormat="false" ht="15.75" hidden="false" customHeight="false" outlineLevel="0" collapsed="false">
      <c r="AD840" s="30"/>
      <c r="AE840" s="30"/>
    </row>
    <row r="841" customFormat="false" ht="15.75" hidden="false" customHeight="false" outlineLevel="0" collapsed="false">
      <c r="AD841" s="30"/>
      <c r="AE841" s="30"/>
    </row>
    <row r="842" customFormat="false" ht="15.75" hidden="false" customHeight="false" outlineLevel="0" collapsed="false">
      <c r="AD842" s="30"/>
      <c r="AE842" s="30"/>
    </row>
    <row r="843" customFormat="false" ht="15.75" hidden="false" customHeight="false" outlineLevel="0" collapsed="false">
      <c r="AD843" s="30"/>
      <c r="AE843" s="30"/>
    </row>
    <row r="844" customFormat="false" ht="15.75" hidden="false" customHeight="false" outlineLevel="0" collapsed="false">
      <c r="AD844" s="30"/>
      <c r="AE844" s="30"/>
    </row>
    <row r="845" customFormat="false" ht="15.75" hidden="false" customHeight="false" outlineLevel="0" collapsed="false">
      <c r="AD845" s="30"/>
      <c r="AE845" s="30"/>
    </row>
    <row r="846" customFormat="false" ht="15.75" hidden="false" customHeight="false" outlineLevel="0" collapsed="false">
      <c r="AD846" s="30"/>
      <c r="AE846" s="30"/>
    </row>
    <row r="847" customFormat="false" ht="15.75" hidden="false" customHeight="false" outlineLevel="0" collapsed="false">
      <c r="AD847" s="30"/>
      <c r="AE847" s="30"/>
    </row>
    <row r="848" customFormat="false" ht="15.75" hidden="false" customHeight="false" outlineLevel="0" collapsed="false">
      <c r="AD848" s="30"/>
      <c r="AE848" s="30"/>
    </row>
    <row r="849" customFormat="false" ht="15.75" hidden="false" customHeight="false" outlineLevel="0" collapsed="false">
      <c r="AD849" s="30"/>
      <c r="AE849" s="30"/>
    </row>
    <row r="850" customFormat="false" ht="15.75" hidden="false" customHeight="false" outlineLevel="0" collapsed="false">
      <c r="AD850" s="30"/>
      <c r="AE850" s="30"/>
    </row>
    <row r="851" customFormat="false" ht="15.75" hidden="false" customHeight="false" outlineLevel="0" collapsed="false">
      <c r="AD851" s="30"/>
      <c r="AE851" s="30"/>
    </row>
    <row r="852" customFormat="false" ht="15.75" hidden="false" customHeight="false" outlineLevel="0" collapsed="false">
      <c r="AD852" s="30"/>
      <c r="AE852" s="30"/>
    </row>
    <row r="853" customFormat="false" ht="15.75" hidden="false" customHeight="false" outlineLevel="0" collapsed="false">
      <c r="AD853" s="30"/>
      <c r="AE853" s="30"/>
    </row>
    <row r="854" customFormat="false" ht="15.75" hidden="false" customHeight="false" outlineLevel="0" collapsed="false">
      <c r="AD854" s="30"/>
      <c r="AE854" s="30"/>
    </row>
    <row r="855" customFormat="false" ht="15.75" hidden="false" customHeight="false" outlineLevel="0" collapsed="false">
      <c r="AD855" s="30"/>
      <c r="AE855" s="30"/>
    </row>
    <row r="856" customFormat="false" ht="15.75" hidden="false" customHeight="false" outlineLevel="0" collapsed="false">
      <c r="AD856" s="30"/>
      <c r="AE856" s="30"/>
    </row>
    <row r="857" customFormat="false" ht="15.75" hidden="false" customHeight="false" outlineLevel="0" collapsed="false">
      <c r="AD857" s="30"/>
      <c r="AE857" s="30"/>
    </row>
    <row r="858" customFormat="false" ht="15.75" hidden="false" customHeight="false" outlineLevel="0" collapsed="false">
      <c r="AD858" s="30"/>
      <c r="AE858" s="30"/>
    </row>
    <row r="859" customFormat="false" ht="15.75" hidden="false" customHeight="false" outlineLevel="0" collapsed="false">
      <c r="AD859" s="30"/>
      <c r="AE859" s="30"/>
    </row>
    <row r="860" customFormat="false" ht="15.75" hidden="false" customHeight="false" outlineLevel="0" collapsed="false">
      <c r="AD860" s="30"/>
      <c r="AE860" s="30"/>
    </row>
    <row r="861" customFormat="false" ht="15.75" hidden="false" customHeight="false" outlineLevel="0" collapsed="false">
      <c r="AD861" s="30"/>
      <c r="AE861" s="30"/>
    </row>
    <row r="862" customFormat="false" ht="15.75" hidden="false" customHeight="false" outlineLevel="0" collapsed="false">
      <c r="AD862" s="30"/>
      <c r="AE862" s="30"/>
    </row>
    <row r="863" customFormat="false" ht="15.75" hidden="false" customHeight="false" outlineLevel="0" collapsed="false">
      <c r="AD863" s="30"/>
      <c r="AE863" s="30"/>
    </row>
    <row r="864" customFormat="false" ht="15.75" hidden="false" customHeight="false" outlineLevel="0" collapsed="false">
      <c r="AD864" s="30"/>
      <c r="AE864" s="30"/>
    </row>
    <row r="865" customFormat="false" ht="15.75" hidden="false" customHeight="false" outlineLevel="0" collapsed="false">
      <c r="AD865" s="30"/>
      <c r="AE865" s="30"/>
    </row>
    <row r="866" customFormat="false" ht="15.75" hidden="false" customHeight="false" outlineLevel="0" collapsed="false">
      <c r="AD866" s="30"/>
      <c r="AE866" s="30"/>
    </row>
    <row r="867" customFormat="false" ht="15.75" hidden="false" customHeight="false" outlineLevel="0" collapsed="false">
      <c r="AD867" s="30"/>
      <c r="AE867" s="30"/>
    </row>
    <row r="868" customFormat="false" ht="15.75" hidden="false" customHeight="false" outlineLevel="0" collapsed="false">
      <c r="AD868" s="30"/>
      <c r="AE868" s="30"/>
    </row>
    <row r="869" customFormat="false" ht="15.75" hidden="false" customHeight="false" outlineLevel="0" collapsed="false">
      <c r="AD869" s="30"/>
      <c r="AE869" s="30"/>
    </row>
    <row r="870" customFormat="false" ht="15.75" hidden="false" customHeight="false" outlineLevel="0" collapsed="false">
      <c r="AD870" s="30"/>
      <c r="AE870" s="30"/>
    </row>
    <row r="871" customFormat="false" ht="15.75" hidden="false" customHeight="false" outlineLevel="0" collapsed="false">
      <c r="AD871" s="30"/>
      <c r="AE871" s="30"/>
    </row>
    <row r="872" customFormat="false" ht="15.75" hidden="false" customHeight="false" outlineLevel="0" collapsed="false">
      <c r="AD872" s="30"/>
      <c r="AE872" s="30"/>
    </row>
    <row r="873" customFormat="false" ht="15.75" hidden="false" customHeight="false" outlineLevel="0" collapsed="false">
      <c r="AD873" s="30"/>
      <c r="AE873" s="30"/>
    </row>
    <row r="874" customFormat="false" ht="15.75" hidden="false" customHeight="false" outlineLevel="0" collapsed="false">
      <c r="AD874" s="30"/>
      <c r="AE874" s="30"/>
    </row>
    <row r="875" customFormat="false" ht="15.75" hidden="false" customHeight="false" outlineLevel="0" collapsed="false">
      <c r="AD875" s="30"/>
      <c r="AE875" s="30"/>
    </row>
    <row r="876" customFormat="false" ht="15.75" hidden="false" customHeight="false" outlineLevel="0" collapsed="false">
      <c r="AD876" s="30"/>
      <c r="AE876" s="30"/>
    </row>
    <row r="877" customFormat="false" ht="15.75" hidden="false" customHeight="false" outlineLevel="0" collapsed="false">
      <c r="AD877" s="30"/>
      <c r="AE877" s="30"/>
    </row>
    <row r="878" customFormat="false" ht="15.75" hidden="false" customHeight="false" outlineLevel="0" collapsed="false">
      <c r="AD878" s="30"/>
      <c r="AE878" s="30"/>
    </row>
    <row r="879" customFormat="false" ht="15.75" hidden="false" customHeight="false" outlineLevel="0" collapsed="false">
      <c r="AD879" s="30"/>
      <c r="AE879" s="30"/>
    </row>
    <row r="880" customFormat="false" ht="15.75" hidden="false" customHeight="false" outlineLevel="0" collapsed="false">
      <c r="AD880" s="30"/>
      <c r="AE880" s="30"/>
    </row>
    <row r="881" customFormat="false" ht="15.75" hidden="false" customHeight="false" outlineLevel="0" collapsed="false">
      <c r="AD881" s="30"/>
      <c r="AE881" s="30"/>
    </row>
    <row r="882" customFormat="false" ht="15.75" hidden="false" customHeight="false" outlineLevel="0" collapsed="false">
      <c r="AD882" s="30"/>
      <c r="AE882" s="30"/>
    </row>
    <row r="883" customFormat="false" ht="15.75" hidden="false" customHeight="false" outlineLevel="0" collapsed="false">
      <c r="AD883" s="30"/>
      <c r="AE883" s="30"/>
    </row>
    <row r="884" customFormat="false" ht="15.75" hidden="false" customHeight="false" outlineLevel="0" collapsed="false">
      <c r="AD884" s="30"/>
      <c r="AE884" s="30"/>
    </row>
    <row r="885" customFormat="false" ht="15.75" hidden="false" customHeight="false" outlineLevel="0" collapsed="false">
      <c r="AD885" s="30"/>
      <c r="AE885" s="30"/>
    </row>
    <row r="886" customFormat="false" ht="15.75" hidden="false" customHeight="false" outlineLevel="0" collapsed="false">
      <c r="AD886" s="30"/>
      <c r="AE886" s="30"/>
    </row>
    <row r="887" customFormat="false" ht="15.75" hidden="false" customHeight="false" outlineLevel="0" collapsed="false">
      <c r="AD887" s="30"/>
      <c r="AE887" s="30"/>
    </row>
    <row r="888" customFormat="false" ht="15.75" hidden="false" customHeight="false" outlineLevel="0" collapsed="false">
      <c r="AD888" s="30"/>
      <c r="AE888" s="30"/>
    </row>
    <row r="889" customFormat="false" ht="15.75" hidden="false" customHeight="false" outlineLevel="0" collapsed="false">
      <c r="AD889" s="30"/>
      <c r="AE889" s="30"/>
    </row>
    <row r="890" customFormat="false" ht="15.75" hidden="false" customHeight="false" outlineLevel="0" collapsed="false">
      <c r="AD890" s="30"/>
      <c r="AE890" s="30"/>
    </row>
    <row r="891" customFormat="false" ht="15.75" hidden="false" customHeight="false" outlineLevel="0" collapsed="false">
      <c r="AD891" s="30"/>
      <c r="AE891" s="30"/>
    </row>
    <row r="892" customFormat="false" ht="15.75" hidden="false" customHeight="false" outlineLevel="0" collapsed="false">
      <c r="AD892" s="30"/>
      <c r="AE892" s="30"/>
    </row>
    <row r="893" customFormat="false" ht="15.75" hidden="false" customHeight="false" outlineLevel="0" collapsed="false">
      <c r="AD893" s="30"/>
      <c r="AE893" s="30"/>
    </row>
    <row r="894" customFormat="false" ht="15.75" hidden="false" customHeight="false" outlineLevel="0" collapsed="false">
      <c r="AD894" s="30"/>
      <c r="AE894" s="30"/>
    </row>
    <row r="895" customFormat="false" ht="15.75" hidden="false" customHeight="false" outlineLevel="0" collapsed="false">
      <c r="AD895" s="30"/>
      <c r="AE895" s="30"/>
    </row>
    <row r="896" customFormat="false" ht="15.75" hidden="false" customHeight="false" outlineLevel="0" collapsed="false">
      <c r="AD896" s="30"/>
      <c r="AE896" s="30"/>
    </row>
    <row r="897" customFormat="false" ht="15.75" hidden="false" customHeight="false" outlineLevel="0" collapsed="false">
      <c r="AD897" s="30"/>
      <c r="AE897" s="30"/>
    </row>
    <row r="898" customFormat="false" ht="15.75" hidden="false" customHeight="false" outlineLevel="0" collapsed="false">
      <c r="AD898" s="30"/>
      <c r="AE898" s="30"/>
    </row>
    <row r="899" customFormat="false" ht="15.75" hidden="false" customHeight="false" outlineLevel="0" collapsed="false">
      <c r="AD899" s="30"/>
      <c r="AE899" s="30"/>
    </row>
    <row r="900" customFormat="false" ht="15.75" hidden="false" customHeight="false" outlineLevel="0" collapsed="false">
      <c r="AD900" s="30"/>
      <c r="AE900" s="30"/>
    </row>
    <row r="901" customFormat="false" ht="15.75" hidden="false" customHeight="false" outlineLevel="0" collapsed="false">
      <c r="AD901" s="30"/>
      <c r="AE901" s="30"/>
    </row>
    <row r="902" customFormat="false" ht="15.75" hidden="false" customHeight="false" outlineLevel="0" collapsed="false">
      <c r="AD902" s="30"/>
      <c r="AE902" s="30"/>
    </row>
    <row r="903" customFormat="false" ht="15.75" hidden="false" customHeight="false" outlineLevel="0" collapsed="false">
      <c r="AD903" s="30"/>
      <c r="AE903" s="30"/>
    </row>
    <row r="904" customFormat="false" ht="15.75" hidden="false" customHeight="false" outlineLevel="0" collapsed="false">
      <c r="AD904" s="30"/>
      <c r="AE904" s="30"/>
    </row>
    <row r="905" customFormat="false" ht="15.75" hidden="false" customHeight="false" outlineLevel="0" collapsed="false">
      <c r="AD905" s="30"/>
      <c r="AE905" s="30"/>
    </row>
    <row r="906" customFormat="false" ht="15.75" hidden="false" customHeight="false" outlineLevel="0" collapsed="false">
      <c r="AD906" s="30"/>
      <c r="AE906" s="30"/>
    </row>
    <row r="907" customFormat="false" ht="15.75" hidden="false" customHeight="false" outlineLevel="0" collapsed="false">
      <c r="AD907" s="30"/>
      <c r="AE907" s="30"/>
    </row>
    <row r="908" customFormat="false" ht="15.75" hidden="false" customHeight="false" outlineLevel="0" collapsed="false">
      <c r="AD908" s="30"/>
      <c r="AE908" s="30"/>
    </row>
    <row r="909" customFormat="false" ht="15.75" hidden="false" customHeight="false" outlineLevel="0" collapsed="false">
      <c r="AD909" s="30"/>
      <c r="AE909" s="30"/>
    </row>
    <row r="910" customFormat="false" ht="15.75" hidden="false" customHeight="false" outlineLevel="0" collapsed="false">
      <c r="AD910" s="30"/>
      <c r="AE910" s="30"/>
    </row>
    <row r="911" customFormat="false" ht="15.75" hidden="false" customHeight="false" outlineLevel="0" collapsed="false">
      <c r="AD911" s="30"/>
      <c r="AE911" s="30"/>
    </row>
    <row r="912" customFormat="false" ht="15.75" hidden="false" customHeight="false" outlineLevel="0" collapsed="false">
      <c r="AD912" s="30"/>
      <c r="AE912" s="30"/>
    </row>
    <row r="913" customFormat="false" ht="15.75" hidden="false" customHeight="false" outlineLevel="0" collapsed="false">
      <c r="AD913" s="30"/>
      <c r="AE913" s="30"/>
    </row>
    <row r="914" customFormat="false" ht="15.75" hidden="false" customHeight="false" outlineLevel="0" collapsed="false">
      <c r="AD914" s="30"/>
      <c r="AE914" s="30"/>
    </row>
    <row r="915" customFormat="false" ht="15.75" hidden="false" customHeight="false" outlineLevel="0" collapsed="false">
      <c r="AD915" s="30"/>
      <c r="AE915" s="30"/>
    </row>
    <row r="916" customFormat="false" ht="15.75" hidden="false" customHeight="false" outlineLevel="0" collapsed="false">
      <c r="AD916" s="30"/>
      <c r="AE916" s="30"/>
    </row>
    <row r="917" customFormat="false" ht="15.75" hidden="false" customHeight="false" outlineLevel="0" collapsed="false">
      <c r="AD917" s="30"/>
      <c r="AE917" s="30"/>
    </row>
    <row r="918" customFormat="false" ht="15.75" hidden="false" customHeight="false" outlineLevel="0" collapsed="false">
      <c r="AD918" s="30"/>
      <c r="AE918" s="30"/>
    </row>
    <row r="919" customFormat="false" ht="15.75" hidden="false" customHeight="false" outlineLevel="0" collapsed="false">
      <c r="AD919" s="30"/>
      <c r="AE919" s="30"/>
    </row>
    <row r="920" customFormat="false" ht="15.75" hidden="false" customHeight="false" outlineLevel="0" collapsed="false">
      <c r="AD920" s="30"/>
      <c r="AE920" s="30"/>
    </row>
    <row r="921" customFormat="false" ht="15.75" hidden="false" customHeight="false" outlineLevel="0" collapsed="false">
      <c r="AD921" s="30"/>
      <c r="AE921" s="30"/>
    </row>
    <row r="922" customFormat="false" ht="15.75" hidden="false" customHeight="false" outlineLevel="0" collapsed="false">
      <c r="AD922" s="30"/>
      <c r="AE922" s="30"/>
    </row>
    <row r="923" customFormat="false" ht="15.75" hidden="false" customHeight="false" outlineLevel="0" collapsed="false">
      <c r="AD923" s="30"/>
      <c r="AE923" s="30"/>
    </row>
    <row r="924" customFormat="false" ht="15.75" hidden="false" customHeight="false" outlineLevel="0" collapsed="false">
      <c r="AD924" s="30"/>
      <c r="AE924" s="30"/>
    </row>
    <row r="925" customFormat="false" ht="15.75" hidden="false" customHeight="false" outlineLevel="0" collapsed="false">
      <c r="AD925" s="30"/>
      <c r="AE925" s="30"/>
    </row>
    <row r="926" customFormat="false" ht="15.75" hidden="false" customHeight="false" outlineLevel="0" collapsed="false">
      <c r="AD926" s="30"/>
      <c r="AE926" s="30"/>
    </row>
    <row r="927" customFormat="false" ht="15.75" hidden="false" customHeight="false" outlineLevel="0" collapsed="false">
      <c r="AD927" s="30"/>
      <c r="AE927" s="30"/>
    </row>
    <row r="928" customFormat="false" ht="15.75" hidden="false" customHeight="false" outlineLevel="0" collapsed="false">
      <c r="AD928" s="30"/>
      <c r="AE928" s="30"/>
    </row>
    <row r="929" customFormat="false" ht="15.75" hidden="false" customHeight="false" outlineLevel="0" collapsed="false">
      <c r="AD929" s="30"/>
      <c r="AE929" s="30"/>
    </row>
    <row r="930" customFormat="false" ht="15.75" hidden="false" customHeight="false" outlineLevel="0" collapsed="false">
      <c r="AD930" s="30"/>
      <c r="AE930" s="30"/>
    </row>
    <row r="931" customFormat="false" ht="15.75" hidden="false" customHeight="false" outlineLevel="0" collapsed="false">
      <c r="AD931" s="30"/>
      <c r="AE931" s="30"/>
    </row>
    <row r="932" customFormat="false" ht="15.75" hidden="false" customHeight="false" outlineLevel="0" collapsed="false">
      <c r="AD932" s="30"/>
      <c r="AE932" s="30"/>
    </row>
    <row r="933" customFormat="false" ht="15.75" hidden="false" customHeight="false" outlineLevel="0" collapsed="false">
      <c r="AD933" s="30"/>
      <c r="AE933" s="30"/>
    </row>
    <row r="934" customFormat="false" ht="15.75" hidden="false" customHeight="false" outlineLevel="0" collapsed="false">
      <c r="AD934" s="30"/>
      <c r="AE934" s="30"/>
    </row>
    <row r="935" customFormat="false" ht="15.75" hidden="false" customHeight="false" outlineLevel="0" collapsed="false">
      <c r="AD935" s="30"/>
      <c r="AE935" s="30"/>
    </row>
    <row r="936" customFormat="false" ht="15.75" hidden="false" customHeight="false" outlineLevel="0" collapsed="false">
      <c r="AD936" s="30"/>
      <c r="AE936" s="30"/>
    </row>
    <row r="937" customFormat="false" ht="15.75" hidden="false" customHeight="false" outlineLevel="0" collapsed="false">
      <c r="AD937" s="30"/>
      <c r="AE937" s="30"/>
    </row>
    <row r="938" customFormat="false" ht="15.75" hidden="false" customHeight="false" outlineLevel="0" collapsed="false">
      <c r="AD938" s="30"/>
      <c r="AE938" s="30"/>
    </row>
    <row r="939" customFormat="false" ht="15.75" hidden="false" customHeight="false" outlineLevel="0" collapsed="false">
      <c r="AD939" s="30"/>
      <c r="AE939" s="30"/>
    </row>
    <row r="940" customFormat="false" ht="15.75" hidden="false" customHeight="false" outlineLevel="0" collapsed="false">
      <c r="AD940" s="30"/>
      <c r="AE940" s="30"/>
    </row>
    <row r="941" customFormat="false" ht="15.75" hidden="false" customHeight="false" outlineLevel="0" collapsed="false">
      <c r="AD941" s="30"/>
      <c r="AE941" s="30"/>
    </row>
    <row r="942" customFormat="false" ht="15.75" hidden="false" customHeight="false" outlineLevel="0" collapsed="false">
      <c r="AD942" s="30"/>
      <c r="AE942" s="30"/>
    </row>
    <row r="943" customFormat="false" ht="15.75" hidden="false" customHeight="false" outlineLevel="0" collapsed="false">
      <c r="AD943" s="30"/>
      <c r="AE943" s="30"/>
    </row>
    <row r="944" customFormat="false" ht="15.75" hidden="false" customHeight="false" outlineLevel="0" collapsed="false">
      <c r="AD944" s="30"/>
      <c r="AE944" s="30"/>
    </row>
    <row r="945" customFormat="false" ht="15.75" hidden="false" customHeight="false" outlineLevel="0" collapsed="false">
      <c r="AD945" s="30"/>
      <c r="AE945" s="30"/>
    </row>
    <row r="946" customFormat="false" ht="15.75" hidden="false" customHeight="false" outlineLevel="0" collapsed="false">
      <c r="AD946" s="30"/>
      <c r="AE946" s="30"/>
    </row>
    <row r="947" customFormat="false" ht="15.75" hidden="false" customHeight="false" outlineLevel="0" collapsed="false">
      <c r="AD947" s="30"/>
      <c r="AE947" s="30"/>
    </row>
    <row r="948" customFormat="false" ht="15.75" hidden="false" customHeight="false" outlineLevel="0" collapsed="false">
      <c r="AD948" s="30"/>
      <c r="AE948" s="30"/>
    </row>
    <row r="949" customFormat="false" ht="15.75" hidden="false" customHeight="false" outlineLevel="0" collapsed="false">
      <c r="AD949" s="30"/>
      <c r="AE949" s="30"/>
    </row>
    <row r="950" customFormat="false" ht="15.75" hidden="false" customHeight="false" outlineLevel="0" collapsed="false">
      <c r="AD950" s="30"/>
      <c r="AE950" s="30"/>
    </row>
    <row r="951" customFormat="false" ht="15.75" hidden="false" customHeight="false" outlineLevel="0" collapsed="false">
      <c r="AD951" s="30"/>
      <c r="AE951" s="30"/>
    </row>
    <row r="952" customFormat="false" ht="15.75" hidden="false" customHeight="false" outlineLevel="0" collapsed="false">
      <c r="AD952" s="30"/>
      <c r="AE952" s="30"/>
    </row>
    <row r="953" customFormat="false" ht="15.75" hidden="false" customHeight="false" outlineLevel="0" collapsed="false">
      <c r="AD953" s="30"/>
      <c r="AE953" s="30"/>
    </row>
    <row r="954" customFormat="false" ht="15.75" hidden="false" customHeight="false" outlineLevel="0" collapsed="false">
      <c r="AD954" s="30"/>
      <c r="AE954" s="30"/>
    </row>
    <row r="955" customFormat="false" ht="15.75" hidden="false" customHeight="false" outlineLevel="0" collapsed="false">
      <c r="AD955" s="30"/>
      <c r="AE955" s="30"/>
    </row>
    <row r="956" customFormat="false" ht="15.75" hidden="false" customHeight="false" outlineLevel="0" collapsed="false">
      <c r="AD956" s="30"/>
      <c r="AE956" s="30"/>
    </row>
    <row r="957" customFormat="false" ht="15.75" hidden="false" customHeight="false" outlineLevel="0" collapsed="false">
      <c r="AD957" s="30"/>
      <c r="AE957" s="30"/>
    </row>
    <row r="958" customFormat="false" ht="15.75" hidden="false" customHeight="false" outlineLevel="0" collapsed="false">
      <c r="AD958" s="30"/>
      <c r="AE958" s="30"/>
    </row>
    <row r="959" customFormat="false" ht="15.75" hidden="false" customHeight="false" outlineLevel="0" collapsed="false">
      <c r="AD959" s="30"/>
      <c r="AE959" s="30"/>
    </row>
    <row r="960" customFormat="false" ht="15.75" hidden="false" customHeight="false" outlineLevel="0" collapsed="false">
      <c r="AD960" s="30"/>
      <c r="AE960" s="30"/>
    </row>
    <row r="961" customFormat="false" ht="15.75" hidden="false" customHeight="false" outlineLevel="0" collapsed="false">
      <c r="AD961" s="30"/>
      <c r="AE961" s="30"/>
    </row>
    <row r="962" customFormat="false" ht="15.75" hidden="false" customHeight="false" outlineLevel="0" collapsed="false">
      <c r="AD962" s="30"/>
      <c r="AE962" s="30"/>
    </row>
    <row r="963" customFormat="false" ht="15.75" hidden="false" customHeight="false" outlineLevel="0" collapsed="false">
      <c r="AD963" s="30"/>
      <c r="AE963" s="30"/>
    </row>
    <row r="964" customFormat="false" ht="15.75" hidden="false" customHeight="false" outlineLevel="0" collapsed="false">
      <c r="AD964" s="30"/>
      <c r="AE964" s="30"/>
    </row>
    <row r="965" customFormat="false" ht="15.75" hidden="false" customHeight="false" outlineLevel="0" collapsed="false">
      <c r="AD965" s="30"/>
      <c r="AE965" s="30"/>
    </row>
    <row r="966" customFormat="false" ht="15.75" hidden="false" customHeight="false" outlineLevel="0" collapsed="false">
      <c r="AD966" s="30"/>
      <c r="AE966" s="30"/>
    </row>
    <row r="967" customFormat="false" ht="15.75" hidden="false" customHeight="false" outlineLevel="0" collapsed="false">
      <c r="AD967" s="30"/>
      <c r="AE967" s="30"/>
    </row>
    <row r="968" customFormat="false" ht="15.75" hidden="false" customHeight="false" outlineLevel="0" collapsed="false">
      <c r="AD968" s="30"/>
      <c r="AE968" s="30"/>
    </row>
    <row r="969" customFormat="false" ht="15.75" hidden="false" customHeight="false" outlineLevel="0" collapsed="false">
      <c r="AD969" s="30"/>
      <c r="AE969" s="30"/>
    </row>
    <row r="970" customFormat="false" ht="15.75" hidden="false" customHeight="false" outlineLevel="0" collapsed="false">
      <c r="AD970" s="30"/>
      <c r="AE970" s="30"/>
    </row>
    <row r="971" customFormat="false" ht="15.75" hidden="false" customHeight="false" outlineLevel="0" collapsed="false">
      <c r="AD971" s="30"/>
      <c r="AE971" s="30"/>
    </row>
    <row r="972" customFormat="false" ht="15.75" hidden="false" customHeight="false" outlineLevel="0" collapsed="false">
      <c r="AD972" s="30"/>
      <c r="AE972" s="30"/>
    </row>
    <row r="973" customFormat="false" ht="15.75" hidden="false" customHeight="false" outlineLevel="0" collapsed="false">
      <c r="AD973" s="30"/>
      <c r="AE973" s="30"/>
    </row>
    <row r="974" customFormat="false" ht="15.75" hidden="false" customHeight="false" outlineLevel="0" collapsed="false">
      <c r="AD974" s="30"/>
      <c r="AE974" s="30"/>
    </row>
    <row r="975" customFormat="false" ht="15.75" hidden="false" customHeight="false" outlineLevel="0" collapsed="false">
      <c r="AD975" s="30"/>
      <c r="AE975" s="30"/>
    </row>
    <row r="976" customFormat="false" ht="15.75" hidden="false" customHeight="false" outlineLevel="0" collapsed="false">
      <c r="AD976" s="30"/>
      <c r="AE976" s="30"/>
    </row>
    <row r="977" customFormat="false" ht="15.75" hidden="false" customHeight="false" outlineLevel="0" collapsed="false">
      <c r="AD977" s="30"/>
      <c r="AE977" s="30"/>
    </row>
    <row r="978" customFormat="false" ht="15.75" hidden="false" customHeight="false" outlineLevel="0" collapsed="false">
      <c r="AD978" s="30"/>
      <c r="AE978" s="30"/>
    </row>
    <row r="979" customFormat="false" ht="15.75" hidden="false" customHeight="false" outlineLevel="0" collapsed="false">
      <c r="AD979" s="30"/>
      <c r="AE979" s="30"/>
    </row>
    <row r="980" customFormat="false" ht="15.75" hidden="false" customHeight="false" outlineLevel="0" collapsed="false">
      <c r="AD980" s="30"/>
      <c r="AE980" s="30"/>
    </row>
    <row r="981" customFormat="false" ht="15.75" hidden="false" customHeight="false" outlineLevel="0" collapsed="false">
      <c r="AD981" s="30"/>
      <c r="AE981" s="30"/>
    </row>
    <row r="982" customFormat="false" ht="15.75" hidden="false" customHeight="false" outlineLevel="0" collapsed="false">
      <c r="AD982" s="30"/>
      <c r="AE982" s="30"/>
    </row>
    <row r="983" customFormat="false" ht="15.75" hidden="false" customHeight="false" outlineLevel="0" collapsed="false">
      <c r="AD983" s="30"/>
      <c r="AE983" s="30"/>
    </row>
    <row r="984" customFormat="false" ht="15.75" hidden="false" customHeight="false" outlineLevel="0" collapsed="false">
      <c r="AD984" s="30"/>
      <c r="AE984" s="30"/>
    </row>
    <row r="985" customFormat="false" ht="15.75" hidden="false" customHeight="false" outlineLevel="0" collapsed="false">
      <c r="AD985" s="30"/>
      <c r="AE985" s="30"/>
    </row>
    <row r="986" customFormat="false" ht="15.75" hidden="false" customHeight="false" outlineLevel="0" collapsed="false">
      <c r="AD986" s="30"/>
      <c r="AE986" s="30"/>
    </row>
    <row r="987" customFormat="false" ht="15.75" hidden="false" customHeight="false" outlineLevel="0" collapsed="false">
      <c r="AD987" s="30"/>
      <c r="AE987" s="30"/>
    </row>
    <row r="988" customFormat="false" ht="15.75" hidden="false" customHeight="false" outlineLevel="0" collapsed="false">
      <c r="AD988" s="30"/>
      <c r="AE988" s="30"/>
    </row>
    <row r="989" customFormat="false" ht="15.75" hidden="false" customHeight="false" outlineLevel="0" collapsed="false">
      <c r="AD989" s="30"/>
      <c r="AE989" s="30"/>
    </row>
    <row r="990" customFormat="false" ht="15.75" hidden="false" customHeight="false" outlineLevel="0" collapsed="false">
      <c r="AD990" s="30"/>
      <c r="AE990" s="30"/>
    </row>
    <row r="991" customFormat="false" ht="15.75" hidden="false" customHeight="false" outlineLevel="0" collapsed="false">
      <c r="AD991" s="30"/>
      <c r="AE991" s="30"/>
    </row>
    <row r="992" customFormat="false" ht="15.75" hidden="false" customHeight="false" outlineLevel="0" collapsed="false">
      <c r="AD992" s="30"/>
      <c r="AE992" s="30"/>
    </row>
    <row r="993" customFormat="false" ht="15.75" hidden="false" customHeight="false" outlineLevel="0" collapsed="false">
      <c r="AD993" s="30"/>
      <c r="AE993" s="30"/>
    </row>
    <row r="994" customFormat="false" ht="15.75" hidden="false" customHeight="false" outlineLevel="0" collapsed="false">
      <c r="AD994" s="30"/>
      <c r="AE994" s="30"/>
    </row>
    <row r="995" customFormat="false" ht="15.75" hidden="false" customHeight="false" outlineLevel="0" collapsed="false">
      <c r="AD995" s="30"/>
      <c r="AE995" s="30"/>
    </row>
    <row r="996" customFormat="false" ht="15.75" hidden="false" customHeight="false" outlineLevel="0" collapsed="false">
      <c r="AD996" s="30"/>
      <c r="AE996" s="30"/>
    </row>
    <row r="997" customFormat="false" ht="15.75" hidden="false" customHeight="false" outlineLevel="0" collapsed="false">
      <c r="AD997" s="30"/>
      <c r="AE997" s="30"/>
    </row>
    <row r="998" customFormat="false" ht="15.75" hidden="false" customHeight="false" outlineLevel="0" collapsed="false">
      <c r="AD998" s="30"/>
      <c r="AE998" s="30"/>
    </row>
    <row r="999" customFormat="false" ht="15.75" hidden="false" customHeight="false" outlineLevel="0" collapsed="false">
      <c r="AD999" s="30"/>
      <c r="AE999" s="30"/>
    </row>
    <row r="1000" customFormat="false" ht="15.75" hidden="false" customHeight="false" outlineLevel="0" collapsed="false">
      <c r="AD1000" s="30"/>
      <c r="AE1000" s="30"/>
    </row>
    <row r="1001" customFormat="false" ht="15.75" hidden="false" customHeight="false" outlineLevel="0" collapsed="false">
      <c r="AD1001" s="30"/>
      <c r="AE1001" s="30"/>
    </row>
    <row r="1002" customFormat="false" ht="15.75" hidden="false" customHeight="false" outlineLevel="0" collapsed="false">
      <c r="AD1002" s="30"/>
      <c r="AE1002" s="30"/>
    </row>
    <row r="1003" customFormat="false" ht="15.75" hidden="false" customHeight="false" outlineLevel="0" collapsed="false">
      <c r="AD1003" s="30"/>
      <c r="AE1003" s="30"/>
    </row>
    <row r="1004" customFormat="false" ht="15.75" hidden="false" customHeight="false" outlineLevel="0" collapsed="false">
      <c r="AD1004" s="30"/>
      <c r="AE1004" s="30"/>
    </row>
    <row r="1005" customFormat="false" ht="15.75" hidden="false" customHeight="false" outlineLevel="0" collapsed="false">
      <c r="AD1005" s="30"/>
      <c r="AE1005" s="30"/>
    </row>
    <row r="1006" customFormat="false" ht="15.75" hidden="false" customHeight="false" outlineLevel="0" collapsed="false">
      <c r="AD1006" s="30"/>
      <c r="AE1006" s="30"/>
    </row>
    <row r="1007" customFormat="false" ht="15.75" hidden="false" customHeight="false" outlineLevel="0" collapsed="false">
      <c r="AD1007" s="30"/>
      <c r="AE1007" s="30"/>
    </row>
    <row r="1008" customFormat="false" ht="15.75" hidden="false" customHeight="false" outlineLevel="0" collapsed="false">
      <c r="AD1008" s="30"/>
      <c r="AE1008" s="30"/>
    </row>
    <row r="1009" customFormat="false" ht="15.75" hidden="false" customHeight="false" outlineLevel="0" collapsed="false">
      <c r="AD1009" s="30"/>
      <c r="AE1009" s="30"/>
    </row>
    <row r="1010" customFormat="false" ht="15.75" hidden="false" customHeight="false" outlineLevel="0" collapsed="false">
      <c r="AD1010" s="30"/>
      <c r="AE1010" s="30"/>
    </row>
    <row r="1011" customFormat="false" ht="15.75" hidden="false" customHeight="false" outlineLevel="0" collapsed="false">
      <c r="AD1011" s="30"/>
      <c r="AE1011" s="30"/>
    </row>
    <row r="1012" customFormat="false" ht="15.75" hidden="false" customHeight="false" outlineLevel="0" collapsed="false">
      <c r="AD1012" s="30"/>
      <c r="AE1012" s="30"/>
    </row>
    <row r="1013" customFormat="false" ht="15.75" hidden="false" customHeight="false" outlineLevel="0" collapsed="false">
      <c r="AD1013" s="30"/>
      <c r="AE1013" s="30"/>
    </row>
    <row r="1014" customFormat="false" ht="15.75" hidden="false" customHeight="false" outlineLevel="0" collapsed="false">
      <c r="AD1014" s="30"/>
      <c r="AE1014" s="30"/>
    </row>
    <row r="1015" customFormat="false" ht="15.75" hidden="false" customHeight="false" outlineLevel="0" collapsed="false">
      <c r="AD1015" s="30"/>
      <c r="AE1015" s="30"/>
    </row>
    <row r="1016" customFormat="false" ht="15.75" hidden="false" customHeight="false" outlineLevel="0" collapsed="false">
      <c r="AD1016" s="30"/>
      <c r="AE1016" s="30"/>
    </row>
    <row r="1017" customFormat="false" ht="15.75" hidden="false" customHeight="false" outlineLevel="0" collapsed="false">
      <c r="AD1017" s="30"/>
      <c r="AE1017" s="30"/>
    </row>
    <row r="1018" customFormat="false" ht="15.75" hidden="false" customHeight="false" outlineLevel="0" collapsed="false">
      <c r="AD1018" s="30"/>
      <c r="AE1018" s="30"/>
    </row>
    <row r="1019" customFormat="false" ht="15.75" hidden="false" customHeight="false" outlineLevel="0" collapsed="false">
      <c r="AD1019" s="30"/>
      <c r="AE1019" s="30"/>
    </row>
    <row r="1020" customFormat="false" ht="15.75" hidden="false" customHeight="false" outlineLevel="0" collapsed="false">
      <c r="AD1020" s="30"/>
      <c r="AE1020" s="30"/>
    </row>
    <row r="1021" customFormat="false" ht="15.75" hidden="false" customHeight="false" outlineLevel="0" collapsed="false">
      <c r="AD1021" s="30"/>
      <c r="AE1021" s="30"/>
    </row>
    <row r="1022" customFormat="false" ht="15.75" hidden="false" customHeight="false" outlineLevel="0" collapsed="false">
      <c r="AD1022" s="30"/>
      <c r="AE1022" s="30"/>
    </row>
    <row r="1023" customFormat="false" ht="15.75" hidden="false" customHeight="false" outlineLevel="0" collapsed="false">
      <c r="AD1023" s="30"/>
      <c r="AE1023" s="30"/>
    </row>
    <row r="1024" customFormat="false" ht="15.75" hidden="false" customHeight="false" outlineLevel="0" collapsed="false">
      <c r="AD1024" s="30"/>
      <c r="AE1024" s="30"/>
    </row>
    <row r="1025" customFormat="false" ht="15.75" hidden="false" customHeight="false" outlineLevel="0" collapsed="false">
      <c r="AD1025" s="30"/>
      <c r="AE1025" s="30"/>
    </row>
    <row r="1026" customFormat="false" ht="15.75" hidden="false" customHeight="false" outlineLevel="0" collapsed="false">
      <c r="AD1026" s="30"/>
      <c r="AE1026" s="30"/>
    </row>
    <row r="1027" customFormat="false" ht="15.75" hidden="false" customHeight="false" outlineLevel="0" collapsed="false">
      <c r="AD1027" s="30"/>
      <c r="AE1027" s="30"/>
    </row>
    <row r="1028" customFormat="false" ht="15.75" hidden="false" customHeight="false" outlineLevel="0" collapsed="false">
      <c r="AD1028" s="30"/>
      <c r="AE1028" s="30"/>
    </row>
    <row r="1029" customFormat="false" ht="15.75" hidden="false" customHeight="false" outlineLevel="0" collapsed="false">
      <c r="AD1029" s="30"/>
      <c r="AE1029" s="30"/>
    </row>
    <row r="1030" customFormat="false" ht="15.75" hidden="false" customHeight="false" outlineLevel="0" collapsed="false">
      <c r="AD1030" s="30"/>
      <c r="AE1030" s="30"/>
    </row>
    <row r="1031" customFormat="false" ht="15.75" hidden="false" customHeight="false" outlineLevel="0" collapsed="false">
      <c r="AD1031" s="30"/>
      <c r="AE1031" s="30"/>
    </row>
    <row r="1032" customFormat="false" ht="15.75" hidden="false" customHeight="false" outlineLevel="0" collapsed="false">
      <c r="AD1032" s="30"/>
      <c r="AE1032" s="30"/>
    </row>
    <row r="1033" customFormat="false" ht="15.75" hidden="false" customHeight="false" outlineLevel="0" collapsed="false">
      <c r="AD1033" s="30"/>
      <c r="AE1033" s="30"/>
    </row>
    <row r="1034" customFormat="false" ht="15.75" hidden="false" customHeight="false" outlineLevel="0" collapsed="false">
      <c r="AD1034" s="30"/>
      <c r="AE1034" s="30"/>
    </row>
    <row r="1035" customFormat="false" ht="15.75" hidden="false" customHeight="false" outlineLevel="0" collapsed="false">
      <c r="AD1035" s="30"/>
      <c r="AE1035" s="30"/>
    </row>
    <row r="1036" customFormat="false" ht="15.75" hidden="false" customHeight="false" outlineLevel="0" collapsed="false">
      <c r="AD1036" s="30"/>
      <c r="AE1036" s="30"/>
    </row>
  </sheetData>
  <dataValidations count="27">
    <dataValidation allowBlank="true" errorStyle="stop" operator="between" showDropDown="false" showErrorMessage="true" showInputMessage="true" sqref="BY2:CI23 BZ24:CI24 BY25:CI1036" type="list">
      <formula1>list!$B$72:$C$72</formula1>
      <formula2>0</formula2>
    </dataValidation>
    <dataValidation allowBlank="true" errorStyle="stop" operator="between" showDropDown="false" showErrorMessage="true" showInputMessage="true" sqref="BW2:BX1036" type="list">
      <formula1>list!$B$70:$F$70</formula1>
      <formula2>0</formula2>
    </dataValidation>
    <dataValidation allowBlank="true" errorStyle="stop" operator="between" showDropDown="false" showErrorMessage="true" showInputMessage="true" sqref="BV2:BV1036" type="list">
      <formula1>list!$B$69:$C$69</formula1>
      <formula2>0</formula2>
    </dataValidation>
    <dataValidation allowBlank="true" errorStyle="stop" operator="between" showDropDown="false" showErrorMessage="true" showInputMessage="true" sqref="BU2:BU1036" type="list">
      <formula1>list!$B$68:$G$68</formula1>
      <formula2>0</formula2>
    </dataValidation>
    <dataValidation allowBlank="true" errorStyle="stop" operator="between" showDropDown="false" showErrorMessage="true" showInputMessage="true" sqref="BR2:BR1036" type="list">
      <formula1>list!$B$65:$F$65</formula1>
      <formula2>0</formula2>
    </dataValidation>
    <dataValidation allowBlank="true" errorStyle="stop" operator="between" showDropDown="false" showErrorMessage="true" showInputMessage="true" sqref="BQ2:BQ1036" type="list">
      <formula1>list!$B$64:$E$64</formula1>
      <formula2>0</formula2>
    </dataValidation>
    <dataValidation allowBlank="true" errorStyle="stop" operator="between" showDropDown="false" showErrorMessage="true" showInputMessage="true" sqref="BB2:BB1036" type="list">
      <formula1>list!$B$49:$P$49</formula1>
      <formula2>0</formula2>
    </dataValidation>
    <dataValidation allowBlank="true" errorStyle="stop" operator="between" showDropDown="false" showErrorMessage="true" showInputMessage="true" sqref="AX2:BA1036 BC2:BP1036 BS2:BT1036" type="list">
      <formula1>list!$B$50:$C$50</formula1>
      <formula2>0</formula2>
    </dataValidation>
    <dataValidation allowBlank="true" errorStyle="stop" operator="between" showDropDown="false" showErrorMessage="true" showInputMessage="true" sqref="AU2:AU1036 AW2:AW1036" type="list">
      <formula1>list!$B$42:$Z$42</formula1>
      <formula2>0</formula2>
    </dataValidation>
    <dataValidation allowBlank="true" errorStyle="stop" operator="between" showDropDown="false" showErrorMessage="true" showInputMessage="true" sqref="AM2:AN1036" type="list">
      <formula1>list!$B$34:$C$34</formula1>
      <formula2>0</formula2>
    </dataValidation>
    <dataValidation allowBlank="true" errorStyle="stop" operator="between" showDropDown="false" showErrorMessage="true" showInputMessage="true" sqref="AL2:AL1036" type="list">
      <formula1>list!$B$33:$H$33</formula1>
      <formula2>0</formula2>
    </dataValidation>
    <dataValidation allowBlank="true" errorStyle="stop" operator="between" showDropDown="false" showErrorMessage="true" showInputMessage="true" sqref="AF2:AK1036" type="list">
      <formula1>list!$B$27:$C$27</formula1>
      <formula2>0</formula2>
    </dataValidation>
    <dataValidation allowBlank="true" errorStyle="stop" operator="between" showDropDown="false" showErrorMessage="true" showInputMessage="true" sqref="Z2:AC1036" type="list">
      <formula1>list!$B$21:$M$21</formula1>
      <formula2>0</formula2>
    </dataValidation>
    <dataValidation allowBlank="true" errorStyle="stop" operator="between" showDropDown="false" showErrorMessage="true" showInputMessage="true" sqref="V2:W1036" type="list">
      <formula1>list!$B$17:$J$17</formula1>
      <formula2>0</formula2>
    </dataValidation>
    <dataValidation allowBlank="true" errorStyle="stop" operator="between" showDropDown="false" showErrorMessage="true" showInputMessage="true" sqref="G2:U1036" type="list">
      <formula1>list!$B$2:$C$2</formula1>
      <formula2>0</formula2>
    </dataValidation>
    <dataValidation allowBlank="true" errorStyle="stop" operator="between" showDropDown="false" showErrorMessage="true" showInputMessage="true" sqref="AO2:AO1036 AQ2:AQ1036" type="list">
      <formula1>list!$B$36:$G$36</formula1>
      <formula2>0</formula2>
    </dataValidation>
    <dataValidation allowBlank="true" errorStyle="stop" operator="between" showDropDown="false" showErrorMessage="true" showInputMessage="true" sqref="AP2:AP6 AR2:AR10 AP9:AP1036 AR12:AR1036" type="list">
      <formula1>list!$B$37:$O$37</formula1>
      <formula2>0</formula2>
    </dataValidation>
    <dataValidation allowBlank="true" errorStyle="stop" operator="between" showDropDown="false" showErrorMessage="true" showInputMessage="true" sqref="AS2:AT2 AS3: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V2:AV1036 AT3:AT1036" type="list">
      <formula1>list!$B$41:$F$41</formula1>
      <formula2>0</formula2>
    </dataValidation>
    <dataValidation allowBlank="true" errorStyle="stop" operator="between" showDropDown="false" showErrorMessage="true" showInputMessage="true" sqref="AS123:AS1036" type="list">
      <formula1>list!$B$40:$G$40</formula1>
      <formula2>0</formula2>
    </dataValidation>
    <dataValidation allowBlank="true" errorStyle="stop" operator="between" showDropDown="false" showErrorMessage="true" showInputMessage="true" sqref="Y155:Y1036" type="list">
      <formula1>list!$B$20:$H$20</formula1>
      <formula2>0</formula2>
    </dataValidation>
    <dataValidation allowBlank="true" errorStyle="stop" operator="between" showDropDown="false" showErrorMessage="true" showInputMessage="true" sqref="X103:X1036" type="list">
      <formula1>list!$B$19:$C$19</formula1>
      <formula2>0</formula2>
    </dataValidation>
    <dataValidation allowBlank="true" errorStyle="stop" operator="between" showDropDown="false" showErrorMessage="false" showInputMessage="true" sqref="AD2:AD1036" type="list">
      <formula1>list!$B$25:$E$25</formula1>
      <formula2>0</formula2>
    </dataValidation>
    <dataValidation allowBlank="true" errorStyle="stop" operator="between" showDropDown="false" showErrorMessage="false" showInputMessage="true" sqref="AE2:AE1036" type="list">
      <formula1>list!$B$26:$E$26</formula1>
      <formula2>0</formula2>
    </dataValidation>
    <dataValidation allowBlank="true" errorStyle="stop" operator="between" showDropDown="false" showErrorMessage="false" showInputMessage="true" sqref="AP7:AP8 AR11" type="list">
      <formula1>list!$B$37:$O$37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101"/>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AR29" activePane="bottomRight" state="frozen"/>
      <selection pane="topLeft" activeCell="A1" activeCellId="0" sqref="A1"/>
      <selection pane="topRight" activeCell="AR1" activeCellId="0" sqref="AR1"/>
      <selection pane="bottomLeft" activeCell="A29" activeCellId="0" sqref="A29"/>
      <selection pane="bottomRight" activeCell="D2" activeCellId="0" sqref="D2"/>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56.16"/>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58.2" hidden="false" customHeight="false" outlineLevel="0" collapsed="false">
      <c r="B2" s="1" t="n">
        <v>1121854</v>
      </c>
      <c r="C2" s="1" t="s">
        <v>631</v>
      </c>
      <c r="D2" s="1" t="n">
        <f aca="false">DATEDIF($C$2, C2, "M")</f>
        <v>0</v>
      </c>
      <c r="E2" s="26" t="s">
        <v>632</v>
      </c>
      <c r="F2" s="27" t="b">
        <f aca="false">TRUE()</f>
        <v>1</v>
      </c>
      <c r="G2" s="27" t="b">
        <f aca="false">TRUE()</f>
        <v>1</v>
      </c>
      <c r="H2" s="27" t="b">
        <f aca="false">TRUE()</f>
        <v>1</v>
      </c>
      <c r="I2" s="31" t="b">
        <f aca="false">TRUE()</f>
        <v>1</v>
      </c>
    </row>
    <row r="3" customFormat="false" ht="33.75" hidden="false" customHeight="false" outlineLevel="0" collapsed="false">
      <c r="B3" s="1" t="n">
        <v>1121854</v>
      </c>
      <c r="C3" s="1" t="s">
        <v>633</v>
      </c>
      <c r="D3" s="1" t="n">
        <f aca="false">DATEDIF($C$2, C3, "M")</f>
        <v>2</v>
      </c>
      <c r="E3" s="26" t="s">
        <v>634</v>
      </c>
      <c r="F3" s="27" t="b">
        <f aca="false">TRUE()</f>
        <v>1</v>
      </c>
      <c r="K3" s="27" t="b">
        <f aca="false">TRUE()</f>
        <v>1</v>
      </c>
      <c r="M3" s="27" t="b">
        <f aca="false">TRUE()</f>
        <v>1</v>
      </c>
      <c r="AL3" s="30" t="s">
        <v>635</v>
      </c>
      <c r="AO3" s="1" t="s">
        <v>101</v>
      </c>
      <c r="AP3" s="30" t="s">
        <v>91</v>
      </c>
      <c r="AQ3" s="1" t="s">
        <v>101</v>
      </c>
      <c r="AR3" s="30" t="s">
        <v>91</v>
      </c>
      <c r="BF3" s="27" t="b">
        <f aca="false">TRUE()</f>
        <v>1</v>
      </c>
    </row>
    <row r="4" customFormat="false" ht="51" hidden="false" customHeight="false" outlineLevel="0" collapsed="false">
      <c r="B4" s="1" t="n">
        <v>1121854</v>
      </c>
      <c r="C4" s="1" t="s">
        <v>636</v>
      </c>
      <c r="D4" s="1" t="n">
        <f aca="false">DATEDIF($C$2, C4, "M")</f>
        <v>3</v>
      </c>
      <c r="E4" s="26" t="s">
        <v>637</v>
      </c>
      <c r="F4" s="27" t="b">
        <f aca="false">TRUE()</f>
        <v>1</v>
      </c>
      <c r="Q4" s="27" t="b">
        <f aca="false">TRUE()</f>
        <v>1</v>
      </c>
      <c r="AM4" s="27" t="b">
        <f aca="false">TRUE()</f>
        <v>1</v>
      </c>
      <c r="AN4" s="27" t="b">
        <f aca="false">FALSE()</f>
        <v>0</v>
      </c>
      <c r="AO4" s="1" t="s">
        <v>101</v>
      </c>
      <c r="AP4" s="30" t="s">
        <v>152</v>
      </c>
      <c r="AQ4" s="1" t="s">
        <v>101</v>
      </c>
      <c r="AR4" s="30" t="s">
        <v>91</v>
      </c>
    </row>
    <row r="5" customFormat="false" ht="84.75" hidden="false" customHeight="false" outlineLevel="0" collapsed="false">
      <c r="B5" s="1" t="n">
        <v>1121854</v>
      </c>
      <c r="C5" s="1" t="s">
        <v>638</v>
      </c>
      <c r="D5" s="1" t="n">
        <f aca="false">DATEDIF($C$2, C5, "M")</f>
        <v>5</v>
      </c>
      <c r="E5" s="26" t="s">
        <v>639</v>
      </c>
      <c r="F5" s="27" t="b">
        <f aca="false">TRUE()</f>
        <v>1</v>
      </c>
      <c r="AM5" s="27" t="b">
        <f aca="false">TRUE()</f>
        <v>1</v>
      </c>
      <c r="AN5" s="27" t="b">
        <f aca="false">TRUE()</f>
        <v>1</v>
      </c>
      <c r="AO5" s="1" t="s">
        <v>96</v>
      </c>
      <c r="AP5" s="30" t="s">
        <v>160</v>
      </c>
      <c r="AQ5" s="1" t="s">
        <v>96</v>
      </c>
      <c r="AR5" s="30" t="s">
        <v>152</v>
      </c>
      <c r="AS5" s="1" t="s">
        <v>451</v>
      </c>
      <c r="BQ5" s="1" t="s">
        <v>103</v>
      </c>
    </row>
    <row r="6" customFormat="false" ht="33.75" hidden="false" customHeight="false" outlineLevel="0" collapsed="false">
      <c r="B6" s="1" t="n">
        <v>1121854</v>
      </c>
      <c r="C6" s="1" t="s">
        <v>640</v>
      </c>
      <c r="D6" s="1" t="n">
        <f aca="false">DATEDIF($C$2, C6, "M")</f>
        <v>5</v>
      </c>
      <c r="E6" s="26" t="s">
        <v>641</v>
      </c>
      <c r="F6" s="27" t="b">
        <f aca="false">TRUE()</f>
        <v>1</v>
      </c>
      <c r="AK6" s="31" t="b">
        <f aca="false">TRUE()</f>
        <v>1</v>
      </c>
      <c r="AP6" s="30"/>
      <c r="AR6" s="30"/>
      <c r="BV6" s="31" t="b">
        <f aca="false">TRUE()</f>
        <v>1</v>
      </c>
    </row>
    <row r="7" customFormat="false" ht="84.75" hidden="false" customHeight="false" outlineLevel="0" collapsed="false">
      <c r="B7" s="1" t="n">
        <v>1121854</v>
      </c>
      <c r="C7" s="1" t="s">
        <v>642</v>
      </c>
      <c r="D7" s="1" t="n">
        <f aca="false">DATEDIF($C$2, C7, "M")</f>
        <v>7</v>
      </c>
      <c r="E7" s="26" t="s">
        <v>643</v>
      </c>
      <c r="F7" s="27" t="b">
        <f aca="false">TRUE()</f>
        <v>1</v>
      </c>
      <c r="O7" s="27" t="b">
        <f aca="false">TRUE()</f>
        <v>1</v>
      </c>
      <c r="AM7" s="27" t="b">
        <f aca="false">TRUE()</f>
        <v>1</v>
      </c>
      <c r="AN7" s="36" t="b">
        <f aca="false">TRUE()</f>
        <v>1</v>
      </c>
      <c r="AO7" s="1" t="s">
        <v>107</v>
      </c>
      <c r="AP7" s="30" t="s">
        <v>94</v>
      </c>
      <c r="AQ7" s="1" t="s">
        <v>96</v>
      </c>
      <c r="AR7" s="30" t="s">
        <v>94</v>
      </c>
      <c r="AS7" s="1" t="s">
        <v>168</v>
      </c>
      <c r="BQ7" s="1" t="s">
        <v>135</v>
      </c>
    </row>
    <row r="8" customFormat="false" ht="102" hidden="false" customHeight="false" outlineLevel="0" collapsed="false">
      <c r="B8" s="1" t="n">
        <v>1121854</v>
      </c>
      <c r="C8" s="1" t="s">
        <v>644</v>
      </c>
      <c r="D8" s="1" t="n">
        <f aca="false">DATEDIF($C$2, C8, "M")</f>
        <v>9</v>
      </c>
      <c r="E8" s="26" t="s">
        <v>645</v>
      </c>
      <c r="F8" s="31" t="b">
        <f aca="false">TRUE()</f>
        <v>1</v>
      </c>
      <c r="G8" s="27" t="b">
        <f aca="false">TRUE()</f>
        <v>1</v>
      </c>
      <c r="AM8" s="27" t="b">
        <f aca="false">TRUE()</f>
        <v>1</v>
      </c>
      <c r="AN8" s="27" t="b">
        <f aca="false">TRUE()</f>
        <v>1</v>
      </c>
      <c r="AO8" s="1" t="s">
        <v>96</v>
      </c>
      <c r="AP8" s="30" t="s">
        <v>131</v>
      </c>
      <c r="AQ8" s="1" t="s">
        <v>96</v>
      </c>
      <c r="AR8" s="30" t="s">
        <v>131</v>
      </c>
      <c r="BQ8" s="1" t="s">
        <v>119</v>
      </c>
    </row>
    <row r="9" customFormat="false" ht="33.75" hidden="false" customHeight="false" outlineLevel="0" collapsed="false">
      <c r="B9" s="1" t="n">
        <v>1121854</v>
      </c>
      <c r="C9" s="1" t="s">
        <v>646</v>
      </c>
      <c r="D9" s="1" t="n">
        <f aca="false">DATEDIF($C$2, C9, "M")</f>
        <v>9</v>
      </c>
      <c r="E9" s="26" t="s">
        <v>647</v>
      </c>
      <c r="F9" s="31" t="b">
        <f aca="false">TRUE()</f>
        <v>1</v>
      </c>
      <c r="H9" s="31" t="b">
        <f aca="false">TRUE()</f>
        <v>1</v>
      </c>
      <c r="AP9" s="30"/>
      <c r="AR9" s="30"/>
    </row>
    <row r="10" customFormat="false" ht="51" hidden="false" customHeight="false" outlineLevel="0" collapsed="false">
      <c r="B10" s="1" t="n">
        <v>1121854</v>
      </c>
      <c r="C10" s="1" t="s">
        <v>648</v>
      </c>
      <c r="D10" s="1" t="n">
        <f aca="false">DATEDIF($C$2, C10, "M")</f>
        <v>11</v>
      </c>
      <c r="E10" s="26" t="s">
        <v>649</v>
      </c>
      <c r="F10" s="31" t="b">
        <f aca="false">TRUE()</f>
        <v>1</v>
      </c>
      <c r="H10" s="27" t="b">
        <f aca="false">TRUE()</f>
        <v>1</v>
      </c>
      <c r="AM10" s="27" t="b">
        <f aca="false">TRUE()</f>
        <v>1</v>
      </c>
      <c r="AN10" s="27" t="b">
        <f aca="false">TRUE()</f>
        <v>1</v>
      </c>
      <c r="AO10" s="1" t="s">
        <v>96</v>
      </c>
      <c r="AP10" s="30" t="s">
        <v>650</v>
      </c>
      <c r="AQ10" s="1" t="s">
        <v>96</v>
      </c>
      <c r="AR10" s="30" t="s">
        <v>152</v>
      </c>
      <c r="BQ10" s="1" t="s">
        <v>103</v>
      </c>
    </row>
    <row r="11" customFormat="false" ht="33.75" hidden="false" customHeight="false" outlineLevel="0" collapsed="false">
      <c r="B11" s="1" t="n">
        <v>1121854</v>
      </c>
      <c r="C11" s="1" t="s">
        <v>651</v>
      </c>
      <c r="D11" s="1" t="n">
        <f aca="false">DATEDIF($C$2, C11, "M")</f>
        <v>12</v>
      </c>
      <c r="E11" s="26" t="s">
        <v>652</v>
      </c>
      <c r="F11" s="31" t="b">
        <f aca="false">TRUE()</f>
        <v>1</v>
      </c>
      <c r="AM11" s="27" t="b">
        <f aca="false">TRUE()</f>
        <v>1</v>
      </c>
      <c r="AN11" s="27" t="b">
        <f aca="false">TRUE()</f>
        <v>1</v>
      </c>
      <c r="AO11" s="1" t="s">
        <v>96</v>
      </c>
      <c r="AP11" s="30" t="s">
        <v>160</v>
      </c>
      <c r="AQ11" s="1" t="s">
        <v>96</v>
      </c>
      <c r="AR11" s="30" t="s">
        <v>650</v>
      </c>
      <c r="BQ11" s="1" t="s">
        <v>103</v>
      </c>
      <c r="BV11" s="31" t="b">
        <f aca="false">TRUE()</f>
        <v>1</v>
      </c>
    </row>
    <row r="12" customFormat="false" ht="51" hidden="false" customHeight="false" outlineLevel="0" collapsed="false">
      <c r="B12" s="1" t="n">
        <v>1121854</v>
      </c>
      <c r="C12" s="1" t="s">
        <v>653</v>
      </c>
      <c r="D12" s="1" t="n">
        <f aca="false">DATEDIF($C$2, C12, "M")</f>
        <v>13</v>
      </c>
      <c r="E12" s="26" t="s">
        <v>654</v>
      </c>
      <c r="F12" s="31" t="b">
        <f aca="false">TRUE()</f>
        <v>1</v>
      </c>
      <c r="O12" s="27" t="b">
        <f aca="false">TRUE()</f>
        <v>1</v>
      </c>
      <c r="AM12" s="27" t="b">
        <f aca="false">TRUE()</f>
        <v>1</v>
      </c>
      <c r="AN12" s="27" t="b">
        <f aca="false">TRUE()</f>
        <v>1</v>
      </c>
      <c r="AO12" s="1" t="s">
        <v>107</v>
      </c>
      <c r="AP12" s="30" t="s">
        <v>164</v>
      </c>
      <c r="AQ12" s="1" t="s">
        <v>96</v>
      </c>
      <c r="AR12" s="30" t="s">
        <v>160</v>
      </c>
      <c r="AS12" s="1" t="s">
        <v>168</v>
      </c>
      <c r="BQ12" s="1" t="s">
        <v>103</v>
      </c>
    </row>
    <row r="13" customFormat="false" ht="51" hidden="false" customHeight="false" outlineLevel="0" collapsed="false">
      <c r="B13" s="1" t="n">
        <v>1121854</v>
      </c>
      <c r="C13" s="1" t="s">
        <v>655</v>
      </c>
      <c r="D13" s="1" t="n">
        <f aca="false">DATEDIF($C$2, C13, "M")</f>
        <v>15</v>
      </c>
      <c r="E13" s="26" t="s">
        <v>656</v>
      </c>
      <c r="F13" s="31" t="b">
        <f aca="false">TRUE()</f>
        <v>1</v>
      </c>
      <c r="O13" s="27" t="b">
        <f aca="false">TRUE()</f>
        <v>1</v>
      </c>
      <c r="AM13" s="27" t="b">
        <f aca="false">FALSE()</f>
        <v>0</v>
      </c>
      <c r="AN13" s="27" t="b">
        <f aca="false">FALSE()</f>
        <v>0</v>
      </c>
      <c r="AO13" s="1" t="s">
        <v>107</v>
      </c>
      <c r="AP13" s="30" t="s">
        <v>164</v>
      </c>
      <c r="AQ13" s="1" t="s">
        <v>96</v>
      </c>
      <c r="AR13" s="30" t="s">
        <v>160</v>
      </c>
      <c r="AS13" s="26" t="s">
        <v>105</v>
      </c>
      <c r="AT13" s="1" t="s">
        <v>116</v>
      </c>
      <c r="AU13" s="1" t="s">
        <v>206</v>
      </c>
      <c r="AZ13" s="27" t="b">
        <f aca="false">TRUE()</f>
        <v>1</v>
      </c>
    </row>
    <row r="14" customFormat="false" ht="153" hidden="false" customHeight="false" outlineLevel="0" collapsed="false">
      <c r="B14" s="1" t="n">
        <v>1121854</v>
      </c>
      <c r="C14" s="1" t="s">
        <v>657</v>
      </c>
      <c r="D14" s="1" t="n">
        <f aca="false">DATEDIF($C$2, C14, "M")</f>
        <v>16</v>
      </c>
      <c r="E14" s="26" t="s">
        <v>658</v>
      </c>
      <c r="F14" s="31" t="b">
        <f aca="false">TRUE()</f>
        <v>1</v>
      </c>
      <c r="O14" s="27" t="b">
        <f aca="false">TRUE()</f>
        <v>1</v>
      </c>
      <c r="Q14" s="27" t="b">
        <f aca="false">TRUE()</f>
        <v>1</v>
      </c>
      <c r="AM14" s="27" t="b">
        <f aca="false">TRUE()</f>
        <v>1</v>
      </c>
      <c r="AN14" s="27" t="b">
        <f aca="false">TRUE()</f>
        <v>1</v>
      </c>
      <c r="AO14" s="1" t="s">
        <v>107</v>
      </c>
      <c r="AP14" s="30" t="s">
        <v>160</v>
      </c>
      <c r="AQ14" s="1" t="s">
        <v>107</v>
      </c>
      <c r="AR14" s="30" t="s">
        <v>164</v>
      </c>
      <c r="AS14" s="26" t="s">
        <v>105</v>
      </c>
      <c r="AT14" s="1" t="s">
        <v>150</v>
      </c>
      <c r="AU14" s="1" t="s">
        <v>206</v>
      </c>
      <c r="AV14" s="1" t="s">
        <v>150</v>
      </c>
      <c r="AW14" s="1" t="s">
        <v>206</v>
      </c>
      <c r="AY14" s="27" t="b">
        <f aca="false">TRUE()</f>
        <v>1</v>
      </c>
      <c r="AZ14" s="27" t="b">
        <f aca="false">FALSE()</f>
        <v>0</v>
      </c>
    </row>
    <row r="15" customFormat="false" ht="84.75" hidden="false" customHeight="false" outlineLevel="0" collapsed="false">
      <c r="B15" s="1" t="n">
        <v>1121854</v>
      </c>
      <c r="C15" s="1" t="s">
        <v>659</v>
      </c>
      <c r="D15" s="1" t="n">
        <f aca="false">DATEDIF($C$2, C15, "M")</f>
        <v>17</v>
      </c>
      <c r="E15" s="26" t="s">
        <v>660</v>
      </c>
      <c r="F15" s="31" t="b">
        <f aca="false">TRUE()</f>
        <v>1</v>
      </c>
      <c r="AM15" s="27" t="b">
        <f aca="false">TRUE()</f>
        <v>1</v>
      </c>
      <c r="AO15" s="1" t="s">
        <v>122</v>
      </c>
      <c r="AP15" s="30" t="s">
        <v>164</v>
      </c>
      <c r="AR15" s="30"/>
      <c r="AT15" s="1" t="s">
        <v>150</v>
      </c>
      <c r="AU15" s="1" t="s">
        <v>206</v>
      </c>
      <c r="AV15" s="1" t="s">
        <v>150</v>
      </c>
      <c r="AW15" s="1" t="s">
        <v>206</v>
      </c>
      <c r="AY15" s="27" t="b">
        <f aca="false">TRUE()</f>
        <v>1</v>
      </c>
      <c r="BS15" s="27" t="b">
        <f aca="false">TRUE()</f>
        <v>1</v>
      </c>
    </row>
    <row r="16" customFormat="false" ht="58.2" hidden="false" customHeight="false" outlineLevel="0" collapsed="false">
      <c r="B16" s="1" t="n">
        <v>1121854</v>
      </c>
      <c r="C16" s="1" t="s">
        <v>661</v>
      </c>
      <c r="D16" s="1" t="n">
        <f aca="false">DATEDIF($C$2, C16, "M")</f>
        <v>18</v>
      </c>
      <c r="E16" s="26" t="s">
        <v>662</v>
      </c>
      <c r="F16" s="31" t="b">
        <f aca="false">TRUE()</f>
        <v>1</v>
      </c>
      <c r="O16" s="27" t="b">
        <f aca="false">TRUE()</f>
        <v>1</v>
      </c>
      <c r="AM16" s="27" t="b">
        <f aca="false">FALSE()</f>
        <v>0</v>
      </c>
      <c r="AN16" s="27" t="b">
        <f aca="false">TRUE()</f>
        <v>1</v>
      </c>
      <c r="AO16" s="1" t="s">
        <v>122</v>
      </c>
      <c r="AP16" s="30" t="s">
        <v>164</v>
      </c>
      <c r="AQ16" s="1" t="s">
        <v>101</v>
      </c>
      <c r="AR16" s="30" t="s">
        <v>663</v>
      </c>
      <c r="AS16" s="26" t="s">
        <v>105</v>
      </c>
      <c r="AT16" s="1" t="s">
        <v>150</v>
      </c>
      <c r="AU16" s="1" t="s">
        <v>206</v>
      </c>
      <c r="AV16" s="1" t="s">
        <v>150</v>
      </c>
      <c r="AW16" s="1" t="s">
        <v>206</v>
      </c>
      <c r="AY16" s="27" t="b">
        <f aca="false">TRUE()</f>
        <v>1</v>
      </c>
    </row>
    <row r="17" customFormat="false" ht="58.2" hidden="false" customHeight="false" outlineLevel="0" collapsed="false">
      <c r="B17" s="1" t="n">
        <v>1121854</v>
      </c>
      <c r="C17" s="1" t="s">
        <v>664</v>
      </c>
      <c r="D17" s="1" t="n">
        <f aca="false">DATEDIF($C$2, C17, "M")</f>
        <v>19</v>
      </c>
      <c r="E17" s="26" t="s">
        <v>665</v>
      </c>
      <c r="F17" s="31" t="b">
        <f aca="false">TRUE()</f>
        <v>1</v>
      </c>
      <c r="AP17" s="30"/>
      <c r="AR17" s="30"/>
    </row>
    <row r="18" customFormat="false" ht="153" hidden="false" customHeight="false" outlineLevel="0" collapsed="false">
      <c r="B18" s="1" t="n">
        <v>1121854</v>
      </c>
      <c r="C18" s="1" t="s">
        <v>666</v>
      </c>
      <c r="D18" s="1" t="n">
        <f aca="false">DATEDIF($C$2, C18, "M")</f>
        <v>19</v>
      </c>
      <c r="E18" s="26" t="s">
        <v>667</v>
      </c>
      <c r="F18" s="31" t="b">
        <f aca="false">TRUE()</f>
        <v>1</v>
      </c>
      <c r="H18" s="27" t="b">
        <f aca="false">TRUE()</f>
        <v>1</v>
      </c>
      <c r="Z18" s="1" t="s">
        <v>128</v>
      </c>
      <c r="AB18" s="1" t="s">
        <v>128</v>
      </c>
      <c r="AM18" s="27" t="b">
        <f aca="false">FALSE()</f>
        <v>0</v>
      </c>
      <c r="AN18" s="27" t="b">
        <f aca="false">TRUE()</f>
        <v>1</v>
      </c>
      <c r="AO18" s="1" t="s">
        <v>122</v>
      </c>
      <c r="AP18" s="30" t="s">
        <v>164</v>
      </c>
      <c r="AQ18" s="1" t="s">
        <v>122</v>
      </c>
      <c r="AR18" s="30" t="s">
        <v>164</v>
      </c>
      <c r="AT18" s="1" t="s">
        <v>150</v>
      </c>
      <c r="AU18" s="1" t="s">
        <v>206</v>
      </c>
      <c r="AV18" s="1" t="s">
        <v>150</v>
      </c>
      <c r="AW18" s="1" t="s">
        <v>206</v>
      </c>
      <c r="AY18" s="27" t="b">
        <f aca="false">TRUE()</f>
        <v>1</v>
      </c>
      <c r="BR18" s="1" t="s">
        <v>119</v>
      </c>
    </row>
    <row r="19" customFormat="false" ht="409.5" hidden="false" customHeight="false" outlineLevel="0" collapsed="false">
      <c r="B19" s="1" t="n">
        <v>1121854</v>
      </c>
      <c r="C19" s="1" t="s">
        <v>668</v>
      </c>
      <c r="D19" s="1" t="n">
        <f aca="false">DATEDIF($C$2, C19, "M")</f>
        <v>21</v>
      </c>
      <c r="E19" s="26" t="s">
        <v>669</v>
      </c>
      <c r="F19" s="31" t="b">
        <f aca="false">TRUE()</f>
        <v>1</v>
      </c>
      <c r="O19" s="27" t="b">
        <f aca="false">TRUE()</f>
        <v>1</v>
      </c>
      <c r="Z19" s="1" t="s">
        <v>87</v>
      </c>
      <c r="AA19" s="1" t="s">
        <v>87</v>
      </c>
      <c r="AB19" s="1" t="s">
        <v>128</v>
      </c>
      <c r="AC19" s="1" t="s">
        <v>128</v>
      </c>
      <c r="AE19" s="1" t="s">
        <v>113</v>
      </c>
      <c r="AM19" s="27" t="b">
        <f aca="false">FALSE()</f>
        <v>0</v>
      </c>
      <c r="AN19" s="27" t="b">
        <f aca="false">FALSE()</f>
        <v>0</v>
      </c>
      <c r="AO19" s="1" t="s">
        <v>122</v>
      </c>
      <c r="AP19" s="30" t="s">
        <v>164</v>
      </c>
      <c r="AQ19" s="1" t="s">
        <v>122</v>
      </c>
      <c r="AR19" s="30" t="s">
        <v>164</v>
      </c>
      <c r="AS19" s="1" t="s">
        <v>168</v>
      </c>
      <c r="AT19" s="1" t="s">
        <v>129</v>
      </c>
      <c r="AV19" s="1" t="s">
        <v>150</v>
      </c>
      <c r="AW19" s="1" t="s">
        <v>206</v>
      </c>
      <c r="AY19" s="27" t="b">
        <f aca="false">TRUE()</f>
        <v>1</v>
      </c>
      <c r="BQ19" s="1" t="s">
        <v>119</v>
      </c>
      <c r="BR19" s="1" t="s">
        <v>119</v>
      </c>
      <c r="BY19" s="31" t="b">
        <f aca="false">TRUE()</f>
        <v>1</v>
      </c>
      <c r="BZ19" s="27" t="b">
        <f aca="false">TRUE()</f>
        <v>1</v>
      </c>
    </row>
    <row r="20" customFormat="false" ht="271.5" hidden="false" customHeight="false" outlineLevel="0" collapsed="false">
      <c r="B20" s="1" t="n">
        <v>1121854</v>
      </c>
      <c r="C20" s="1" t="s">
        <v>670</v>
      </c>
      <c r="D20" s="1" t="n">
        <f aca="false">DATEDIF($C$2, C20, "M")</f>
        <v>22</v>
      </c>
      <c r="E20" s="26" t="s">
        <v>671</v>
      </c>
      <c r="G20" s="27" t="b">
        <f aca="false">TRUE()</f>
        <v>1</v>
      </c>
      <c r="O20" s="27" t="b">
        <f aca="false">TRUE()</f>
        <v>1</v>
      </c>
      <c r="AB20" s="1" t="s">
        <v>128</v>
      </c>
      <c r="AC20" s="1" t="s">
        <v>128</v>
      </c>
      <c r="AE20" s="1" t="s">
        <v>113</v>
      </c>
      <c r="AM20" s="27" t="b">
        <f aca="false">FALSE()</f>
        <v>0</v>
      </c>
      <c r="AN20" s="27" t="b">
        <f aca="false">FALSE()</f>
        <v>0</v>
      </c>
      <c r="AO20" s="1" t="s">
        <v>122</v>
      </c>
      <c r="AP20" s="30" t="s">
        <v>164</v>
      </c>
      <c r="AQ20" s="1" t="s">
        <v>122</v>
      </c>
      <c r="AR20" s="30" t="s">
        <v>164</v>
      </c>
      <c r="AS20" s="1" t="s">
        <v>168</v>
      </c>
      <c r="AV20" s="1" t="s">
        <v>150</v>
      </c>
      <c r="AW20" s="1" t="s">
        <v>206</v>
      </c>
      <c r="AY20" s="27" t="b">
        <f aca="false">TRUE()</f>
        <v>1</v>
      </c>
      <c r="BQ20" s="1" t="s">
        <v>135</v>
      </c>
      <c r="BR20" s="1" t="s">
        <v>103</v>
      </c>
    </row>
    <row r="21" customFormat="false" ht="186.75" hidden="false" customHeight="false" outlineLevel="0" collapsed="false">
      <c r="B21" s="1" t="n">
        <v>1121854</v>
      </c>
      <c r="C21" s="1" t="s">
        <v>672</v>
      </c>
      <c r="D21" s="1" t="n">
        <f aca="false">DATEDIF($C$2, C21, "M")</f>
        <v>22</v>
      </c>
      <c r="E21" s="26" t="s">
        <v>673</v>
      </c>
      <c r="F21" s="27" t="b">
        <f aca="false">TRUE()</f>
        <v>1</v>
      </c>
      <c r="Z21" s="1" t="s">
        <v>87</v>
      </c>
      <c r="AA21" s="1" t="s">
        <v>87</v>
      </c>
      <c r="AB21" s="1" t="s">
        <v>128</v>
      </c>
      <c r="AC21" s="1" t="s">
        <v>128</v>
      </c>
      <c r="AE21" s="1" t="s">
        <v>113</v>
      </c>
      <c r="AM21" s="27" t="b">
        <f aca="false">TRUE()</f>
        <v>1</v>
      </c>
      <c r="AN21" s="27" t="b">
        <f aca="false">TRUE()</f>
        <v>1</v>
      </c>
      <c r="AO21" s="1" t="s">
        <v>96</v>
      </c>
      <c r="AP21" s="30" t="s">
        <v>131</v>
      </c>
      <c r="AQ21" s="1" t="s">
        <v>96</v>
      </c>
      <c r="AR21" s="30" t="s">
        <v>131</v>
      </c>
      <c r="AV21" s="1" t="s">
        <v>129</v>
      </c>
      <c r="AY21" s="27" t="b">
        <f aca="false">FALSE()</f>
        <v>0</v>
      </c>
      <c r="BQ21" s="1" t="s">
        <v>135</v>
      </c>
      <c r="BR21" s="1" t="s">
        <v>108</v>
      </c>
      <c r="BS21" s="27" t="b">
        <f aca="false">TRUE()</f>
        <v>1</v>
      </c>
    </row>
    <row r="22" customFormat="false" ht="220.5" hidden="false" customHeight="false" outlineLevel="0" collapsed="false">
      <c r="B22" s="1" t="n">
        <v>1121854</v>
      </c>
      <c r="C22" s="1" t="s">
        <v>674</v>
      </c>
      <c r="D22" s="1" t="n">
        <f aca="false">DATEDIF($C$2, C22, "M")</f>
        <v>23</v>
      </c>
      <c r="E22" s="26" t="s">
        <v>675</v>
      </c>
      <c r="Z22" s="1" t="s">
        <v>87</v>
      </c>
      <c r="AA22" s="1" t="s">
        <v>87</v>
      </c>
      <c r="AB22" s="1" t="s">
        <v>128</v>
      </c>
      <c r="AC22" s="1" t="s">
        <v>128</v>
      </c>
      <c r="AE22" s="1" t="s">
        <v>113</v>
      </c>
      <c r="AM22" s="27" t="b">
        <f aca="false">FALSE()</f>
        <v>0</v>
      </c>
      <c r="AN22" s="27" t="b">
        <f aca="false">FALSE()</f>
        <v>0</v>
      </c>
      <c r="AO22" s="1" t="s">
        <v>96</v>
      </c>
      <c r="AP22" s="30" t="s">
        <v>131</v>
      </c>
      <c r="AQ22" s="1" t="s">
        <v>96</v>
      </c>
      <c r="AR22" s="30" t="s">
        <v>131</v>
      </c>
      <c r="BQ22" s="1" t="s">
        <v>135</v>
      </c>
      <c r="BR22" s="1" t="s">
        <v>108</v>
      </c>
      <c r="BV22" s="31" t="b">
        <f aca="false">TRUE()</f>
        <v>1</v>
      </c>
    </row>
    <row r="23" customFormat="false" ht="169.5" hidden="false" customHeight="false" outlineLevel="0" collapsed="false">
      <c r="B23" s="1" t="n">
        <v>1121854</v>
      </c>
      <c r="C23" s="1" t="s">
        <v>676</v>
      </c>
      <c r="D23" s="1" t="n">
        <f aca="false">DATEDIF($C$2, C23, "M")</f>
        <v>24</v>
      </c>
      <c r="E23" s="26" t="s">
        <v>677</v>
      </c>
      <c r="F23" s="31" t="b">
        <f aca="false">TRUE()</f>
        <v>1</v>
      </c>
      <c r="Z23" s="1" t="s">
        <v>87</v>
      </c>
      <c r="AA23" s="1" t="s">
        <v>87</v>
      </c>
      <c r="AB23" s="1" t="s">
        <v>128</v>
      </c>
      <c r="AC23" s="1" t="s">
        <v>128</v>
      </c>
      <c r="AE23" s="1" t="s">
        <v>113</v>
      </c>
      <c r="AM23" s="27" t="b">
        <f aca="false">TRUE()</f>
        <v>1</v>
      </c>
      <c r="AN23" s="27" t="b">
        <f aca="false">TRUE()</f>
        <v>1</v>
      </c>
      <c r="AO23" s="1" t="s">
        <v>96</v>
      </c>
      <c r="AP23" s="30" t="s">
        <v>152</v>
      </c>
      <c r="AQ23" s="1" t="s">
        <v>96</v>
      </c>
      <c r="AR23" s="30" t="s">
        <v>152</v>
      </c>
      <c r="BQ23" s="1" t="s">
        <v>135</v>
      </c>
      <c r="BR23" s="1" t="s">
        <v>108</v>
      </c>
      <c r="BS23" s="31" t="b">
        <f aca="false">TRUE()</f>
        <v>1</v>
      </c>
    </row>
    <row r="24" customFormat="false" ht="84.75" hidden="false" customHeight="false" outlineLevel="0" collapsed="false">
      <c r="B24" s="1" t="n">
        <v>1121854</v>
      </c>
      <c r="C24" s="1" t="s">
        <v>678</v>
      </c>
      <c r="D24" s="1" t="n">
        <f aca="false">DATEDIF($C$2, C24, "M")</f>
        <v>25</v>
      </c>
      <c r="E24" s="26" t="s">
        <v>679</v>
      </c>
      <c r="F24" s="31" t="b">
        <f aca="false">TRUE()</f>
        <v>1</v>
      </c>
      <c r="AP24" s="30"/>
      <c r="AR24" s="30"/>
      <c r="BT24" s="31" t="b">
        <f aca="false">TRUE()</f>
        <v>1</v>
      </c>
      <c r="BU24" s="1" t="s">
        <v>174</v>
      </c>
    </row>
    <row r="25" customFormat="false" ht="186.75" hidden="false" customHeight="false" outlineLevel="0" collapsed="false">
      <c r="B25" s="1" t="n">
        <v>1121854</v>
      </c>
      <c r="C25" s="1" t="s">
        <v>680</v>
      </c>
      <c r="D25" s="1" t="n">
        <f aca="false">DATEDIF($C$2, C25, "M")</f>
        <v>26</v>
      </c>
      <c r="E25" s="26" t="s">
        <v>681</v>
      </c>
      <c r="F25" s="31" t="b">
        <f aca="false">TRUE()</f>
        <v>1</v>
      </c>
      <c r="Z25" s="1" t="s">
        <v>87</v>
      </c>
      <c r="AA25" s="1" t="s">
        <v>87</v>
      </c>
      <c r="AB25" s="1" t="s">
        <v>87</v>
      </c>
      <c r="AC25" s="1" t="s">
        <v>87</v>
      </c>
      <c r="AD25" s="1" t="s">
        <v>112</v>
      </c>
      <c r="AE25" s="1" t="s">
        <v>112</v>
      </c>
      <c r="AM25" s="27" t="b">
        <f aca="false">TRUE()</f>
        <v>1</v>
      </c>
      <c r="AN25" s="27" t="b">
        <f aca="false">TRUE()</f>
        <v>1</v>
      </c>
      <c r="AO25" s="1" t="s">
        <v>96</v>
      </c>
      <c r="AP25" s="30" t="s">
        <v>164</v>
      </c>
      <c r="AQ25" s="1" t="s">
        <v>96</v>
      </c>
      <c r="AR25" s="30" t="s">
        <v>164</v>
      </c>
      <c r="BQ25" s="1" t="s">
        <v>135</v>
      </c>
      <c r="BR25" s="1" t="s">
        <v>103</v>
      </c>
    </row>
    <row r="26" customFormat="false" ht="322.5" hidden="false" customHeight="false" outlineLevel="0" collapsed="false">
      <c r="B26" s="1" t="n">
        <v>1121854</v>
      </c>
      <c r="C26" s="1" t="s">
        <v>682</v>
      </c>
      <c r="D26" s="1" t="n">
        <f aca="false">DATEDIF($C$2, C26, "M")</f>
        <v>27</v>
      </c>
      <c r="E26" s="26" t="s">
        <v>683</v>
      </c>
      <c r="F26" s="31" t="b">
        <f aca="false">TRUE()</f>
        <v>1</v>
      </c>
      <c r="O26" s="27" t="b">
        <f aca="false">TRUE()</f>
        <v>1</v>
      </c>
      <c r="Z26" s="1" t="s">
        <v>87</v>
      </c>
      <c r="AA26" s="1" t="s">
        <v>87</v>
      </c>
      <c r="AB26" s="1" t="s">
        <v>128</v>
      </c>
      <c r="AC26" s="1" t="s">
        <v>128</v>
      </c>
      <c r="AD26" s="1" t="s">
        <v>112</v>
      </c>
      <c r="AE26" s="1" t="s">
        <v>112</v>
      </c>
      <c r="AM26" s="27" t="b">
        <f aca="false">TRUE()</f>
        <v>1</v>
      </c>
      <c r="AN26" s="27" t="b">
        <f aca="false">TRUE()</f>
        <v>1</v>
      </c>
      <c r="AO26" s="1" t="s">
        <v>122</v>
      </c>
      <c r="AP26" s="30" t="s">
        <v>97</v>
      </c>
      <c r="AQ26" s="1" t="s">
        <v>122</v>
      </c>
      <c r="AR26" s="30" t="s">
        <v>97</v>
      </c>
      <c r="AS26" s="1" t="s">
        <v>168</v>
      </c>
      <c r="AT26" s="1" t="s">
        <v>133</v>
      </c>
      <c r="AU26" s="1" t="s">
        <v>206</v>
      </c>
      <c r="AV26" s="1" t="s">
        <v>150</v>
      </c>
      <c r="AW26" s="1" t="s">
        <v>206</v>
      </c>
      <c r="AX26" s="31" t="b">
        <f aca="false">TRUE()</f>
        <v>1</v>
      </c>
      <c r="AY26" s="31" t="b">
        <f aca="false">TRUE()</f>
        <v>1</v>
      </c>
      <c r="BQ26" s="1" t="s">
        <v>119</v>
      </c>
      <c r="BR26" s="1" t="s">
        <v>108</v>
      </c>
      <c r="BY26" s="31" t="b">
        <f aca="false">TRUE()</f>
        <v>1</v>
      </c>
      <c r="BZ26" s="27" t="b">
        <f aca="false">TRUE()</f>
        <v>1</v>
      </c>
    </row>
    <row r="27" customFormat="false" ht="403.5" hidden="false" customHeight="false" outlineLevel="0" collapsed="false">
      <c r="B27" s="1" t="n">
        <v>1121854</v>
      </c>
      <c r="C27" s="1" t="s">
        <v>684</v>
      </c>
      <c r="D27" s="1" t="n">
        <f aca="false">DATEDIF($C$2, C27, "M")</f>
        <v>29</v>
      </c>
      <c r="E27" s="26" t="s">
        <v>685</v>
      </c>
      <c r="F27" s="31" t="b">
        <f aca="false">TRUE()</f>
        <v>1</v>
      </c>
      <c r="O27" s="27" t="b">
        <f aca="false">TRUE()</f>
        <v>1</v>
      </c>
      <c r="R27" s="27" t="b">
        <f aca="false">TRUE()</f>
        <v>1</v>
      </c>
      <c r="Z27" s="1" t="s">
        <v>87</v>
      </c>
      <c r="AA27" s="1" t="s">
        <v>87</v>
      </c>
      <c r="AB27" s="1" t="s">
        <v>128</v>
      </c>
      <c r="AC27" s="1" t="s">
        <v>128</v>
      </c>
      <c r="AD27" s="1" t="s">
        <v>112</v>
      </c>
      <c r="AE27" s="1" t="s">
        <v>112</v>
      </c>
      <c r="AM27" s="27" t="b">
        <f aca="false">FALSE()</f>
        <v>0</v>
      </c>
      <c r="AN27" s="27" t="b">
        <f aca="false">FALSE()</f>
        <v>0</v>
      </c>
      <c r="AO27" s="1" t="s">
        <v>122</v>
      </c>
      <c r="AP27" s="30" t="s">
        <v>97</v>
      </c>
      <c r="AQ27" s="1" t="s">
        <v>122</v>
      </c>
      <c r="AR27" s="30" t="s">
        <v>97</v>
      </c>
      <c r="AS27" s="26" t="s">
        <v>105</v>
      </c>
      <c r="AT27" s="1" t="s">
        <v>133</v>
      </c>
      <c r="AU27" s="1" t="s">
        <v>206</v>
      </c>
      <c r="AV27" s="1" t="s">
        <v>150</v>
      </c>
      <c r="AW27" s="1" t="s">
        <v>206</v>
      </c>
      <c r="AX27" s="31" t="b">
        <f aca="false">TRUE()</f>
        <v>1</v>
      </c>
      <c r="AY27" s="31" t="b">
        <f aca="false">TRUE()</f>
        <v>1</v>
      </c>
      <c r="BQ27" s="1" t="s">
        <v>119</v>
      </c>
      <c r="BR27" s="1" t="s">
        <v>108</v>
      </c>
      <c r="BS27" s="31" t="b">
        <f aca="false">TRUE()</f>
        <v>1</v>
      </c>
    </row>
    <row r="28" customFormat="false" ht="255" hidden="false" customHeight="false" outlineLevel="0" collapsed="false">
      <c r="B28" s="1" t="n">
        <v>1121854</v>
      </c>
      <c r="C28" s="1" t="s">
        <v>686</v>
      </c>
      <c r="D28" s="1" t="n">
        <f aca="false">DATEDIF($C$2, C28, "M")</f>
        <v>29</v>
      </c>
      <c r="E28" s="26" t="s">
        <v>687</v>
      </c>
      <c r="F28" s="31" t="b">
        <f aca="false">TRUE()</f>
        <v>1</v>
      </c>
      <c r="O28" s="27" t="b">
        <f aca="false">TRUE()</f>
        <v>1</v>
      </c>
      <c r="R28" s="27" t="b">
        <f aca="false">TRUE()</f>
        <v>1</v>
      </c>
      <c r="Z28" s="1" t="s">
        <v>87</v>
      </c>
      <c r="AA28" s="1" t="s">
        <v>87</v>
      </c>
      <c r="AB28" s="1" t="s">
        <v>128</v>
      </c>
      <c r="AC28" s="1" t="s">
        <v>128</v>
      </c>
      <c r="AD28" s="1" t="s">
        <v>112</v>
      </c>
      <c r="AE28" s="1" t="s">
        <v>112</v>
      </c>
      <c r="AM28" s="27" t="b">
        <f aca="false">FALSE()</f>
        <v>0</v>
      </c>
      <c r="AN28" s="27" t="b">
        <f aca="false">FALSE()</f>
        <v>0</v>
      </c>
      <c r="AO28" s="1" t="s">
        <v>122</v>
      </c>
      <c r="AP28" s="30" t="s">
        <v>97</v>
      </c>
      <c r="AQ28" s="1" t="s">
        <v>122</v>
      </c>
      <c r="AR28" s="30" t="s">
        <v>97</v>
      </c>
      <c r="AS28" s="26" t="s">
        <v>105</v>
      </c>
      <c r="AT28" s="1" t="s">
        <v>133</v>
      </c>
      <c r="AU28" s="1" t="s">
        <v>206</v>
      </c>
      <c r="AV28" s="1" t="s">
        <v>150</v>
      </c>
      <c r="AW28" s="1" t="s">
        <v>206</v>
      </c>
      <c r="AX28" s="31" t="b">
        <f aca="false">TRUE()</f>
        <v>1</v>
      </c>
      <c r="AY28" s="31" t="b">
        <f aca="false">TRUE()</f>
        <v>1</v>
      </c>
      <c r="BQ28" s="1" t="s">
        <v>119</v>
      </c>
      <c r="BR28" s="1" t="s">
        <v>108</v>
      </c>
    </row>
    <row r="29" customFormat="false" ht="84.75" hidden="false" customHeight="false" outlineLevel="0" collapsed="false">
      <c r="B29" s="1" t="n">
        <v>1121854</v>
      </c>
      <c r="C29" s="1" t="s">
        <v>688</v>
      </c>
      <c r="D29" s="1" t="n">
        <f aca="false">DATEDIF($C$2, C29, "M")</f>
        <v>30</v>
      </c>
      <c r="E29" s="26" t="s">
        <v>689</v>
      </c>
      <c r="F29" s="31" t="b">
        <f aca="false">TRUE()</f>
        <v>1</v>
      </c>
      <c r="AP29" s="30"/>
      <c r="AR29" s="30"/>
    </row>
    <row r="30" customFormat="false" ht="199.95" hidden="false" customHeight="false" outlineLevel="0" collapsed="false">
      <c r="B30" s="1" t="n">
        <v>1121854</v>
      </c>
      <c r="C30" s="1" t="s">
        <v>690</v>
      </c>
      <c r="D30" s="1" t="n">
        <f aca="false">DATEDIF($C$2, C30, "M")</f>
        <v>30</v>
      </c>
      <c r="E30" s="26" t="s">
        <v>691</v>
      </c>
      <c r="F30" s="31" t="b">
        <f aca="false">TRUE()</f>
        <v>1</v>
      </c>
      <c r="O30" s="27" t="b">
        <f aca="false">TRUE()</f>
        <v>1</v>
      </c>
      <c r="AB30" s="1" t="s">
        <v>128</v>
      </c>
      <c r="AC30" s="1" t="s">
        <v>128</v>
      </c>
      <c r="AM30" s="27" t="b">
        <f aca="false">FALSE()</f>
        <v>0</v>
      </c>
      <c r="AN30" s="27" t="b">
        <f aca="false">FALSE()</f>
        <v>0</v>
      </c>
      <c r="AO30" s="1" t="s">
        <v>692</v>
      </c>
      <c r="AP30" s="30" t="s">
        <v>97</v>
      </c>
      <c r="AQ30" s="1" t="s">
        <v>122</v>
      </c>
      <c r="AR30" s="30" t="s">
        <v>97</v>
      </c>
      <c r="AS30" s="26" t="s">
        <v>105</v>
      </c>
      <c r="AT30" s="1" t="s">
        <v>133</v>
      </c>
      <c r="AU30" s="1" t="s">
        <v>206</v>
      </c>
      <c r="AV30" s="1" t="s">
        <v>150</v>
      </c>
      <c r="AW30" s="1" t="s">
        <v>206</v>
      </c>
      <c r="AX30" s="31" t="b">
        <f aca="false">TRUE()</f>
        <v>1</v>
      </c>
      <c r="AY30" s="31" t="b">
        <f aca="false">TRUE()</f>
        <v>1</v>
      </c>
      <c r="BQ30" s="1" t="s">
        <v>135</v>
      </c>
      <c r="BR30" s="1" t="s">
        <v>108</v>
      </c>
      <c r="BZ30" s="31" t="b">
        <f aca="false">TRUE()</f>
        <v>1</v>
      </c>
    </row>
    <row r="31" customFormat="false" ht="199.95" hidden="false" customHeight="false" outlineLevel="0" collapsed="false">
      <c r="B31" s="1" t="n">
        <v>1121854</v>
      </c>
      <c r="C31" s="1" t="s">
        <v>693</v>
      </c>
      <c r="D31" s="1" t="n">
        <f aca="false">DATEDIF($C$2, C31, "M")</f>
        <v>31</v>
      </c>
      <c r="E31" s="26" t="s">
        <v>694</v>
      </c>
      <c r="F31" s="31" t="b">
        <f aca="false">TRUE()</f>
        <v>1</v>
      </c>
      <c r="O31" s="27" t="b">
        <f aca="false">TRUE()</f>
        <v>1</v>
      </c>
      <c r="Z31" s="1" t="s">
        <v>87</v>
      </c>
      <c r="AA31" s="1" t="s">
        <v>87</v>
      </c>
      <c r="AB31" s="1" t="s">
        <v>87</v>
      </c>
      <c r="AC31" s="1" t="s">
        <v>87</v>
      </c>
      <c r="AD31" s="1" t="s">
        <v>112</v>
      </c>
      <c r="AE31" s="1" t="s">
        <v>112</v>
      </c>
      <c r="AM31" s="27" t="b">
        <f aca="false">FALSE()</f>
        <v>0</v>
      </c>
      <c r="AN31" s="27" t="b">
        <f aca="false">FALSE()</f>
        <v>0</v>
      </c>
      <c r="AP31" s="30" t="s">
        <v>97</v>
      </c>
      <c r="AR31" s="30" t="s">
        <v>97</v>
      </c>
      <c r="AS31" s="26" t="s">
        <v>105</v>
      </c>
      <c r="AT31" s="1" t="s">
        <v>133</v>
      </c>
      <c r="AU31" s="1" t="s">
        <v>206</v>
      </c>
      <c r="AX31" s="31" t="b">
        <f aca="false">TRUE()</f>
        <v>1</v>
      </c>
      <c r="AY31" s="31" t="b">
        <f aca="false">FALSE()</f>
        <v>0</v>
      </c>
      <c r="BQ31" s="1" t="s">
        <v>119</v>
      </c>
      <c r="BR31" s="1" t="s">
        <v>119</v>
      </c>
    </row>
    <row r="32" customFormat="false" ht="204" hidden="false" customHeight="false" outlineLevel="0" collapsed="false">
      <c r="B32" s="1" t="n">
        <v>1121854</v>
      </c>
      <c r="C32" s="1" t="s">
        <v>695</v>
      </c>
      <c r="D32" s="1" t="n">
        <f aca="false">DATEDIF($C$2, C32, "M")</f>
        <v>32</v>
      </c>
      <c r="E32" s="26" t="s">
        <v>696</v>
      </c>
      <c r="F32" s="31" t="b">
        <f aca="false">TRUE()</f>
        <v>1</v>
      </c>
      <c r="I32" s="1" t="b">
        <f aca="false">TRUE()</f>
        <v>1</v>
      </c>
      <c r="AP32" s="30"/>
      <c r="AR32" s="30"/>
      <c r="CF32" s="31" t="b">
        <f aca="false">TRUE()</f>
        <v>1</v>
      </c>
      <c r="CG32" s="27" t="b">
        <f aca="false">TRUE()</f>
        <v>1</v>
      </c>
    </row>
    <row r="33" customFormat="false" ht="169.5" hidden="false" customHeight="false" outlineLevel="0" collapsed="false">
      <c r="B33" s="1" t="n">
        <v>1121854</v>
      </c>
      <c r="C33" s="1" t="s">
        <v>697</v>
      </c>
      <c r="D33" s="1" t="n">
        <f aca="false">DATEDIF($C$2, C33, "M")</f>
        <v>32</v>
      </c>
      <c r="E33" s="26" t="s">
        <v>698</v>
      </c>
      <c r="F33" s="31" t="b">
        <f aca="false">TRUE()</f>
        <v>1</v>
      </c>
      <c r="AP33" s="30"/>
      <c r="AR33" s="30"/>
      <c r="BW33" s="1" t="s">
        <v>138</v>
      </c>
      <c r="BX33" s="1" t="s">
        <v>138</v>
      </c>
    </row>
    <row r="34" customFormat="false" ht="15.75" hidden="false" customHeight="false" outlineLevel="0" collapsed="false">
      <c r="AP34" s="30"/>
      <c r="AR34" s="30"/>
    </row>
    <row r="35" customFormat="false" ht="15.75" hidden="false" customHeight="false" outlineLevel="0" collapsed="false">
      <c r="AP35" s="30"/>
      <c r="AR35" s="30"/>
    </row>
    <row r="36" customFormat="false" ht="15.75" hidden="false" customHeight="false" outlineLevel="0" collapsed="false">
      <c r="AP36" s="30"/>
      <c r="AR36" s="30"/>
    </row>
    <row r="37" customFormat="false" ht="15.75" hidden="false" customHeight="false" outlineLevel="0" collapsed="false">
      <c r="AP37" s="30"/>
      <c r="AR37" s="30"/>
    </row>
    <row r="38" customFormat="false" ht="15.75" hidden="false" customHeight="false" outlineLevel="0" collapsed="false">
      <c r="AP38" s="30"/>
      <c r="AR38" s="30"/>
    </row>
    <row r="39" customFormat="false" ht="15.75" hidden="false" customHeight="false" outlineLevel="0" collapsed="false">
      <c r="AP39" s="30"/>
      <c r="AR39" s="30"/>
    </row>
    <row r="40" customFormat="false" ht="15.75" hidden="false" customHeight="false" outlineLevel="0" collapsed="false">
      <c r="AP40" s="30"/>
      <c r="AR40" s="30"/>
    </row>
    <row r="41" customFormat="false" ht="15.75" hidden="false" customHeight="false" outlineLevel="0" collapsed="false">
      <c r="AP41" s="30"/>
      <c r="AR41" s="30"/>
    </row>
    <row r="42" customFormat="false" ht="15.75" hidden="false" customHeight="false" outlineLevel="0" collapsed="false">
      <c r="AP42" s="30"/>
      <c r="AR42" s="30"/>
    </row>
    <row r="43" customFormat="false" ht="15.75" hidden="false" customHeight="false" outlineLevel="0" collapsed="false">
      <c r="AP43" s="30"/>
      <c r="AR43" s="30"/>
    </row>
    <row r="44" customFormat="false" ht="15.75" hidden="false" customHeight="false" outlineLevel="0" collapsed="false">
      <c r="AP44" s="30"/>
      <c r="AR44" s="30"/>
    </row>
    <row r="45" customFormat="false" ht="15.75" hidden="false" customHeight="false" outlineLevel="0" collapsed="false">
      <c r="AP45" s="30"/>
      <c r="AR45" s="30"/>
    </row>
    <row r="46" customFormat="false" ht="15.75" hidden="false" customHeight="false" outlineLevel="0" collapsed="false">
      <c r="AP46" s="30"/>
      <c r="AR46" s="30"/>
    </row>
    <row r="47" customFormat="false" ht="15.75" hidden="false" customHeight="false" outlineLevel="0" collapsed="false">
      <c r="AP47" s="30"/>
      <c r="AR47" s="30"/>
    </row>
    <row r="48" customFormat="false" ht="15.75" hidden="false" customHeight="false" outlineLevel="0" collapsed="false">
      <c r="AP48" s="30"/>
      <c r="AR48" s="30"/>
    </row>
    <row r="49" customFormat="false" ht="15.75" hidden="false" customHeight="false" outlineLevel="0" collapsed="false">
      <c r="AP49" s="30"/>
      <c r="AR49" s="30"/>
    </row>
    <row r="50" customFormat="false" ht="15.75" hidden="false" customHeight="false" outlineLevel="0" collapsed="false">
      <c r="AP50" s="30"/>
      <c r="AR50" s="30"/>
    </row>
    <row r="51" customFormat="false" ht="15.75" hidden="false" customHeight="false" outlineLevel="0" collapsed="false">
      <c r="AP51" s="30"/>
      <c r="AR51" s="30"/>
    </row>
    <row r="52" customFormat="false" ht="15.75" hidden="false" customHeight="false" outlineLevel="0" collapsed="false">
      <c r="AP52" s="30"/>
      <c r="AR52" s="30"/>
    </row>
    <row r="53" customFormat="false" ht="15.75" hidden="false" customHeight="false" outlineLevel="0" collapsed="false">
      <c r="AP53" s="30"/>
      <c r="AR53" s="30"/>
    </row>
    <row r="54" customFormat="false" ht="15.75" hidden="false" customHeight="false" outlineLevel="0" collapsed="false">
      <c r="AP54" s="30"/>
      <c r="AR54" s="30"/>
    </row>
    <row r="55" customFormat="false" ht="15.75" hidden="false" customHeight="false" outlineLevel="0" collapsed="false">
      <c r="AP55" s="30"/>
      <c r="AR55" s="30"/>
    </row>
    <row r="56" customFormat="false" ht="15.75" hidden="false" customHeight="false" outlineLevel="0" collapsed="false">
      <c r="AP56" s="30"/>
      <c r="AR56" s="30"/>
    </row>
    <row r="57" customFormat="false" ht="15.75" hidden="false" customHeight="false" outlineLevel="0" collapsed="false">
      <c r="AP57" s="30"/>
      <c r="AR57" s="30"/>
    </row>
    <row r="58" customFormat="false" ht="15.75" hidden="false" customHeight="false" outlineLevel="0" collapsed="false">
      <c r="AP58" s="30"/>
      <c r="AR58" s="30"/>
    </row>
    <row r="59" customFormat="false" ht="15.75" hidden="false" customHeight="false" outlineLevel="0" collapsed="false">
      <c r="AP59" s="30"/>
      <c r="AR59" s="30"/>
    </row>
    <row r="60" customFormat="false" ht="15.75" hidden="false" customHeight="false" outlineLevel="0" collapsed="false">
      <c r="AP60" s="30"/>
      <c r="AR60" s="30"/>
    </row>
    <row r="61" customFormat="false" ht="15.75" hidden="false" customHeight="false" outlineLevel="0" collapsed="false">
      <c r="AP61" s="30"/>
      <c r="AR61" s="30"/>
    </row>
    <row r="62" customFormat="false" ht="15.75" hidden="false" customHeight="false" outlineLevel="0" collapsed="false">
      <c r="AP62" s="30"/>
      <c r="AR62" s="30"/>
    </row>
    <row r="63" customFormat="false" ht="15.75" hidden="false" customHeight="false" outlineLevel="0" collapsed="false">
      <c r="AP63" s="30"/>
      <c r="AR63" s="30"/>
    </row>
    <row r="64" customFormat="false" ht="15.75" hidden="false" customHeight="false" outlineLevel="0" collapsed="false">
      <c r="AP64" s="30"/>
      <c r="AR64" s="30"/>
    </row>
    <row r="65" customFormat="false" ht="15.75" hidden="false" customHeight="false" outlineLevel="0" collapsed="false">
      <c r="AP65" s="30"/>
      <c r="AR65" s="30"/>
    </row>
    <row r="66" customFormat="false" ht="15.75" hidden="false" customHeight="false" outlineLevel="0" collapsed="false">
      <c r="AP66" s="30"/>
      <c r="AR66" s="30"/>
    </row>
    <row r="67" customFormat="false" ht="15.75" hidden="false" customHeight="false" outlineLevel="0" collapsed="false">
      <c r="AP67" s="30"/>
      <c r="AR67" s="30"/>
    </row>
    <row r="68" customFormat="false" ht="15.75" hidden="false" customHeight="false" outlineLevel="0" collapsed="false">
      <c r="AP68" s="30"/>
      <c r="AR68" s="30"/>
    </row>
    <row r="69" customFormat="false" ht="15.75" hidden="false" customHeight="false" outlineLevel="0" collapsed="false">
      <c r="AP69" s="30"/>
      <c r="AR69" s="30"/>
    </row>
    <row r="70" customFormat="false" ht="15.75" hidden="false" customHeight="false" outlineLevel="0" collapsed="false">
      <c r="AP70" s="30"/>
      <c r="AR70" s="30"/>
    </row>
    <row r="71" customFormat="false" ht="15.75" hidden="false" customHeight="false" outlineLevel="0" collapsed="false">
      <c r="AP71" s="30"/>
      <c r="AR71" s="30"/>
    </row>
    <row r="72" customFormat="false" ht="15.75" hidden="false" customHeight="false" outlineLevel="0" collapsed="false">
      <c r="AP72" s="30"/>
      <c r="AR72" s="30"/>
    </row>
    <row r="73" customFormat="false" ht="15.75" hidden="false" customHeight="false" outlineLevel="0" collapsed="false">
      <c r="AP73" s="30"/>
      <c r="AR73" s="30"/>
    </row>
    <row r="74" customFormat="false" ht="15.75" hidden="false" customHeight="false" outlineLevel="0" collapsed="false">
      <c r="AP74" s="30"/>
      <c r="AR74" s="30"/>
    </row>
    <row r="75" customFormat="false" ht="15.75" hidden="false" customHeight="false" outlineLevel="0" collapsed="false">
      <c r="AP75" s="30"/>
      <c r="AR75" s="30"/>
    </row>
    <row r="76" customFormat="false" ht="15.75" hidden="false" customHeight="false" outlineLevel="0" collapsed="false">
      <c r="AP76" s="30"/>
      <c r="AR76" s="30"/>
    </row>
    <row r="77" customFormat="false" ht="15.75" hidden="false" customHeight="false" outlineLevel="0" collapsed="false">
      <c r="AP77" s="30"/>
      <c r="AR77" s="30"/>
    </row>
    <row r="78" customFormat="false" ht="15.75" hidden="false" customHeight="false" outlineLevel="0" collapsed="false">
      <c r="AP78" s="30"/>
      <c r="AR78" s="30"/>
    </row>
    <row r="79" customFormat="false" ht="15.75" hidden="false" customHeight="false" outlineLevel="0" collapsed="false">
      <c r="AP79" s="30"/>
      <c r="AR79" s="30"/>
    </row>
    <row r="80" customFormat="false" ht="15.75" hidden="false" customHeight="false" outlineLevel="0" collapsed="false">
      <c r="AP80" s="30"/>
      <c r="AR80" s="30"/>
    </row>
    <row r="81" customFormat="false" ht="15.75" hidden="false" customHeight="false" outlineLevel="0" collapsed="false">
      <c r="AP81" s="30"/>
      <c r="AR81" s="30"/>
    </row>
    <row r="82" customFormat="false" ht="15.75" hidden="false" customHeight="false" outlineLevel="0" collapsed="false">
      <c r="AP82" s="30"/>
      <c r="AR82" s="30"/>
    </row>
    <row r="83" customFormat="false" ht="15.75" hidden="false" customHeight="false" outlineLevel="0" collapsed="false">
      <c r="AP83" s="30"/>
      <c r="AR83" s="30"/>
    </row>
    <row r="84" customFormat="false" ht="15.75" hidden="false" customHeight="false" outlineLevel="0" collapsed="false">
      <c r="AP84" s="30"/>
      <c r="AR84" s="30"/>
    </row>
    <row r="85" customFormat="false" ht="15.75" hidden="false" customHeight="false" outlineLevel="0" collapsed="false">
      <c r="AP85" s="30"/>
      <c r="AR85" s="30"/>
    </row>
    <row r="86" customFormat="false" ht="15.75" hidden="false" customHeight="false" outlineLevel="0" collapsed="false">
      <c r="AP86" s="30"/>
      <c r="AR86" s="30"/>
    </row>
    <row r="87" customFormat="false" ht="15.75" hidden="false" customHeight="false" outlineLevel="0" collapsed="false">
      <c r="AP87" s="30"/>
      <c r="AR87" s="30"/>
    </row>
    <row r="88" customFormat="false" ht="15.75" hidden="false" customHeight="false" outlineLevel="0" collapsed="false">
      <c r="AP88" s="30"/>
      <c r="AR88" s="30"/>
    </row>
    <row r="89" customFormat="false" ht="15.75" hidden="false" customHeight="false" outlineLevel="0" collapsed="false">
      <c r="AP89" s="30"/>
      <c r="AR89" s="30"/>
    </row>
    <row r="90" customFormat="false" ht="15.75" hidden="false" customHeight="false" outlineLevel="0" collapsed="false">
      <c r="AP90" s="30"/>
      <c r="AR90" s="30"/>
    </row>
    <row r="91" customFormat="false" ht="15.75" hidden="false" customHeight="false" outlineLevel="0" collapsed="false">
      <c r="AP91" s="30"/>
      <c r="AR91" s="30"/>
    </row>
    <row r="92" customFormat="false" ht="15.75" hidden="false" customHeight="false" outlineLevel="0" collapsed="false">
      <c r="AP92" s="30"/>
      <c r="AR92" s="30"/>
    </row>
    <row r="93" customFormat="false" ht="15.75" hidden="false" customHeight="false" outlineLevel="0" collapsed="false">
      <c r="AP93" s="30"/>
    </row>
    <row r="94" customFormat="false" ht="15.75" hidden="false" customHeight="false" outlineLevel="0" collapsed="false">
      <c r="AP94" s="30"/>
    </row>
    <row r="95" customFormat="false" ht="15.75" hidden="false" customHeight="false" outlineLevel="0" collapsed="false">
      <c r="AP95" s="30"/>
    </row>
    <row r="96" customFormat="false" ht="15.75" hidden="false" customHeight="false" outlineLevel="0" collapsed="false">
      <c r="AP96" s="30"/>
    </row>
    <row r="97" customFormat="false" ht="15.75" hidden="false" customHeight="false" outlineLevel="0" collapsed="false">
      <c r="AP97" s="30"/>
    </row>
    <row r="98" customFormat="false" ht="15.75" hidden="false" customHeight="false" outlineLevel="0" collapsed="false">
      <c r="AP98" s="30"/>
    </row>
    <row r="99" customFormat="false" ht="15.75" hidden="false" customHeight="false" outlineLevel="0" collapsed="false">
      <c r="AP99" s="30"/>
    </row>
    <row r="100" customFormat="false" ht="15.75" hidden="false" customHeight="false" outlineLevel="0" collapsed="false">
      <c r="AP100" s="30"/>
    </row>
    <row r="101" customFormat="false" ht="15.75" hidden="false" customHeight="false" outlineLevel="0" collapsed="false">
      <c r="AP101" s="30"/>
    </row>
  </sheetData>
  <dataValidations count="31">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BY2:CI1033" type="list">
      <formula1>list!$B$72:$C$72</formula1>
      <formula2>0</formula2>
    </dataValidation>
    <dataValidation allowBlank="true" errorStyle="stop" operator="between" showDropDown="false" showErrorMessage="true" showInputMessage="true" sqref="BW2:BX1033" type="list">
      <formula1>list!$B$70:$F$70</formula1>
      <formula2>0</formula2>
    </dataValidation>
    <dataValidation allowBlank="true" errorStyle="stop" operator="between" showDropDown="false" showErrorMessage="true" showInputMessage="true" sqref="BV2:BV1033" type="list">
      <formula1>list!$B$69:$C$69</formula1>
      <formula2>0</formula2>
    </dataValidation>
    <dataValidation allowBlank="true" errorStyle="stop" operator="between" showDropDown="false" showErrorMessage="true" showInputMessage="true" sqref="BU2:BU1033" type="list">
      <formula1>list!$B$68:$G$68</formula1>
      <formula2>0</formula2>
    </dataValidation>
    <dataValidation allowBlank="true" errorStyle="stop" operator="between" showDropDown="false" showErrorMessage="true" showInputMessage="true" sqref="BR2:BR1033" type="list">
      <formula1>list!$B$65:$F$65</formula1>
      <formula2>0</formula2>
    </dataValidation>
    <dataValidation allowBlank="true" errorStyle="stop" operator="between" showDropDown="false" showErrorMessage="true" showInputMessage="true" sqref="BQ2:BQ1033" type="list">
      <formula1>list!$B$64:$E$64</formula1>
      <formula2>0</formula2>
    </dataValidation>
    <dataValidation allowBlank="true" errorStyle="stop" operator="between" showDropDown="false" showErrorMessage="true" showInputMessage="true" sqref="BB2:BB1033" type="list">
      <formula1>list!$B$49:$P$49</formula1>
      <formula2>0</formula2>
    </dataValidation>
    <dataValidation allowBlank="true" errorStyle="stop" operator="between" showDropDown="false" showErrorMessage="true" showInputMessage="true" sqref="AX2:BA1033 BC2:BP1033 BS2:BT1033" type="list">
      <formula1>list!$B$50:$C$50</formula1>
      <formula2>0</formula2>
    </dataValidation>
    <dataValidation allowBlank="true" errorStyle="stop" operator="between" showDropDown="false" showErrorMessage="true" showInputMessage="true" sqref="AU2:AU1033 AW2:AW1033" type="list">
      <formula1>list!$B$42:$Z$42</formula1>
      <formula2>0</formula2>
    </dataValidation>
    <dataValidation allowBlank="true" errorStyle="stop" operator="between" showDropDown="false" showErrorMessage="true" showInputMessage="true" sqref="AM2:AN1033" type="list">
      <formula1>list!$B$34:$C$34</formula1>
      <formula2>0</formula2>
    </dataValidation>
    <dataValidation allowBlank="true" errorStyle="stop" operator="between" showDropDown="false" showErrorMessage="true" showInputMessage="true" sqref="AL2 AL4:AL1033" type="list">
      <formula1>list!$B$33:$H$33</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V2:W1033" type="list">
      <formula1>list!$B$17:$J$17</formula1>
      <formula2>0</formula2>
    </dataValidation>
    <dataValidation allowBlank="true" errorStyle="stop" operator="between" showDropDown="false" showErrorMessage="true" showInputMessage="true" sqref="G2:U1033" type="list">
      <formula1>list!$B$2:$C$2</formula1>
      <formula2>0</formula2>
    </dataValidation>
    <dataValidation allowBlank="true" errorStyle="stop" operator="between" showDropDown="false" showErrorMessage="true" showInputMessage="true" sqref="AO2:AO1033 AQ2:AQ1033" type="list">
      <formula1>list!$B$36:$G$36</formula1>
      <formula2>0</formula2>
    </dataValidation>
    <dataValidation allowBlank="true" errorStyle="stop" operator="between" showDropDown="false" showErrorMessage="true" showInputMessage="true" sqref="AT2:AT1033 AV2:AV1033" type="list">
      <formula1>list!$B$41:$F$41</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P2 AR2" type="list">
      <formula1>list!$B$37:$Q$37</formula1>
      <formula2>0</formula2>
    </dataValidation>
    <dataValidation allowBlank="true" errorStyle="stop" operator="between" showDropDown="false" showErrorMessage="true" showInputMessage="true" sqref="AR93:AR1033 AP102:AP1033" type="list">
      <formula1>list!$B$37:$O$37</formula1>
      <formula2>0</formula2>
    </dataValidation>
    <dataValidation allowBlank="true" errorStyle="stop" operator="between" showDropDown="false" showErrorMessage="true" showInputMessage="true" sqref="AP3:AP9 AR3:AR10 AP11:AP93 AR12:AR15 AR17:AR92 AP94:AP101" type="list">
      <formula1>list!$B$37:$P$37</formula1>
      <formula2>0</formula2>
    </dataValidation>
    <dataValidation allowBlank="true" errorStyle="stop" operator="between" showDropDown="false" showErrorMessage="true" showInputMessage="true" sqref="AS123:AS1033" type="list">
      <formula1>list!$B$40:$G$40</formula1>
      <formula2>0</formula2>
    </dataValidation>
    <dataValidation allowBlank="true" errorStyle="stop" operator="between" showDropDown="false" showErrorMessage="true" showInputMessage="true" sqref="Y155:Y1033" type="list">
      <formula1>list!$B$20:$H$20</formula1>
      <formula2>0</formula2>
    </dataValidation>
    <dataValidation allowBlank="true" errorStyle="stop" operator="between" showDropDown="false" showErrorMessage="true" showInputMessage="true" sqref="X103:X1033" type="list">
      <formula1>list!$B$19:$C$19</formula1>
      <formula2>0</formula2>
    </dataValidation>
    <dataValidation allowBlank="true" errorStyle="stop" operator="between" showDropDown="false" showErrorMessage="true" showInputMessage="true" sqref="AL3" type="list">
      <formula1>list!$B$33:$xfd$33</formula1>
      <formula2>0</formula2>
    </dataValidation>
    <dataValidation allowBlank="true" errorStyle="stop" operator="between" showDropDown="false" showErrorMessage="true" showInputMessage="true" sqref="AP10 AR16" type="list">
      <formula1>list!$B$37:$xfd$37</formula1>
      <formula2>0</formula2>
    </dataValidation>
    <dataValidation allowBlank="true" errorStyle="stop" operator="between" showDropDown="false" showErrorMessage="true" showInputMessage="true" sqref="AR11" type="list">
      <formula1>list!$B$39:$xfd$39</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1025"/>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G2" activePane="bottomRight" state="frozen"/>
      <selection pane="topLeft" activeCell="A1" activeCellId="0" sqref="A1"/>
      <selection pane="topRight" activeCell="G1" activeCellId="0" sqref="G1"/>
      <selection pane="bottomLeft" activeCell="A2" activeCellId="0" sqref="A2"/>
      <selection pane="bottomRight" activeCell="D2" activeCellId="0" sqref="D2"/>
    </sheetView>
  </sheetViews>
  <sheetFormatPr defaultColWidth="10.83984375" defaultRowHeight="15.75" zeroHeight="false" outlineLevelRow="0" outlineLevelCol="0"/>
  <cols>
    <col collapsed="false" customWidth="true" hidden="false" outlineLevel="0" max="1" min="1" style="26" width="16"/>
    <col collapsed="false" customWidth="true" hidden="false" outlineLevel="0" max="2" min="2" style="26" width="19.5"/>
    <col collapsed="false" customWidth="true" hidden="false" outlineLevel="0" max="3" min="3" style="26" width="13.5"/>
    <col collapsed="false" customWidth="true" hidden="false" outlineLevel="0" max="4" min="4" style="26" width="15.16"/>
    <col collapsed="false" customWidth="true" hidden="false" outlineLevel="0" max="5" min="5" style="26" width="61.16"/>
    <col collapsed="false" customWidth="true" hidden="false" outlineLevel="0" max="6" min="6" style="26" width="20.66"/>
    <col collapsed="false" customWidth="true" hidden="false" outlineLevel="0" max="7" min="7" style="8" width="16"/>
    <col collapsed="false" customWidth="true" hidden="false" outlineLevel="0" max="8" min="8" style="8" width="19.5"/>
    <col collapsed="false" customWidth="true" hidden="false" outlineLevel="0" max="9" min="9" style="8" width="13.5"/>
    <col collapsed="false" customWidth="true" hidden="false" outlineLevel="0" max="10" min="10" style="8" width="15.16"/>
    <col collapsed="false" customWidth="true" hidden="false" outlineLevel="0" max="11" min="11" style="8" width="20.66"/>
    <col collapsed="false" customWidth="true" hidden="false" outlineLevel="0" max="12" min="12" style="8" width="21.66"/>
    <col collapsed="false" customWidth="true" hidden="false" outlineLevel="0" max="13" min="13" style="8" width="42"/>
    <col collapsed="false" customWidth="true" hidden="false" outlineLevel="0" max="14" min="14" style="8" width="21.16"/>
    <col collapsed="false" customWidth="true" hidden="false" outlineLevel="0" max="15" min="15" style="8" width="23.83"/>
    <col collapsed="false" customWidth="true" hidden="false" outlineLevel="0" max="16" min="16" style="8" width="21.16"/>
    <col collapsed="false" customWidth="true" hidden="false" outlineLevel="0" max="17" min="17" style="8" width="9"/>
    <col collapsed="false" customWidth="true" hidden="false" outlineLevel="0" max="18" min="18" style="8" width="19.83"/>
    <col collapsed="false" customWidth="true" hidden="false" outlineLevel="0" max="19" min="19" style="8" width="9"/>
    <col collapsed="false" customWidth="true" hidden="false" outlineLevel="0" max="20" min="20" style="8" width="15.33"/>
    <col collapsed="false" customWidth="true" hidden="false" outlineLevel="0" max="21" min="21" style="8" width="13"/>
    <col collapsed="false" customWidth="true" hidden="false" outlineLevel="0" max="22" min="22" style="8" width="21.34"/>
    <col collapsed="false" customWidth="true" hidden="false" outlineLevel="0" max="23" min="23" style="8" width="18.16"/>
    <col collapsed="false" customWidth="true" hidden="false" outlineLevel="0" max="24" min="24" style="8" width="14.84"/>
    <col collapsed="false" customWidth="true" hidden="false" outlineLevel="0" max="25" min="25" style="8" width="12.66"/>
    <col collapsed="false" customWidth="true" hidden="false" outlineLevel="0" max="26" min="26" style="8" width="17.5"/>
    <col collapsed="false" customWidth="true" hidden="false" outlineLevel="0" max="27" min="27" style="8" width="19.5"/>
    <col collapsed="false" customWidth="true" hidden="false" outlineLevel="0" max="28" min="28" style="8" width="15.84"/>
    <col collapsed="false" customWidth="true" hidden="false" outlineLevel="0" max="29" min="29" style="8" width="14"/>
    <col collapsed="false" customWidth="true" hidden="false" outlineLevel="0" max="30" min="30" style="8" width="23"/>
    <col collapsed="false" customWidth="true" hidden="false" outlineLevel="0" max="31" min="31" style="8" width="20.33"/>
    <col collapsed="false" customWidth="true" hidden="false" outlineLevel="0" max="32" min="32" style="8" width="32"/>
    <col collapsed="false" customWidth="true" hidden="false" outlineLevel="0" max="33" min="33" style="8" width="48.33"/>
    <col collapsed="false" customWidth="true" hidden="false" outlineLevel="0" max="34" min="34" style="8" width="15"/>
    <col collapsed="false" customWidth="true" hidden="false" outlineLevel="0" max="35" min="35" style="8" width="19.83"/>
    <col collapsed="false" customWidth="true" hidden="false" outlineLevel="0" max="36" min="36" style="8" width="23.83"/>
    <col collapsed="false" customWidth="true" hidden="false" outlineLevel="0" max="37" min="37" style="8" width="24"/>
    <col collapsed="false" customWidth="true" hidden="false" outlineLevel="0" max="38" min="38" style="8" width="40.66"/>
    <col collapsed="false" customWidth="true" hidden="false" outlineLevel="0" max="39" min="39" style="8" width="35.5"/>
    <col collapsed="false" customWidth="true" hidden="false" outlineLevel="0" max="40" min="40" style="8" width="29"/>
    <col collapsed="false" customWidth="true" hidden="false" outlineLevel="0" max="41" min="41" style="8" width="18.5"/>
    <col collapsed="false" customWidth="true" hidden="false" outlineLevel="0" max="42" min="42" style="8" width="16.16"/>
    <col collapsed="false" customWidth="true" hidden="false" outlineLevel="0" max="43" min="43" style="8" width="18.33"/>
    <col collapsed="false" customWidth="true" hidden="false" outlineLevel="0" max="44" min="44" style="8" width="17.67"/>
    <col collapsed="false" customWidth="true" hidden="false" outlineLevel="0" max="45" min="45" style="8" width="19.66"/>
    <col collapsed="false" customWidth="true" hidden="false" outlineLevel="0" max="46" min="46" style="8" width="19.5"/>
    <col collapsed="false" customWidth="true" hidden="false" outlineLevel="0" max="47" min="47" style="8" width="15.84"/>
    <col collapsed="false" customWidth="true" hidden="false" outlineLevel="0" max="48" min="48" style="8" width="19.83"/>
    <col collapsed="false" customWidth="true" hidden="false" outlineLevel="0" max="49" min="49" style="8" width="18"/>
    <col collapsed="false" customWidth="false" hidden="false" outlineLevel="0" max="50" min="50" style="8" width="10.83"/>
    <col collapsed="false" customWidth="true" hidden="false" outlineLevel="0" max="53" min="51" style="8" width="9"/>
    <col collapsed="false" customWidth="true" hidden="false" outlineLevel="0" max="54" min="54" style="8" width="18.33"/>
    <col collapsed="false" customWidth="true" hidden="false" outlineLevel="0" max="56" min="55" style="8" width="9"/>
    <col collapsed="false" customWidth="true" hidden="false" outlineLevel="0" max="57" min="57" style="8" width="19.33"/>
    <col collapsed="false" customWidth="true" hidden="false" outlineLevel="0" max="58" min="58" style="8" width="16.16"/>
    <col collapsed="false" customWidth="true" hidden="false" outlineLevel="0" max="61" min="59" style="8" width="9"/>
    <col collapsed="false" customWidth="true" hidden="false" outlineLevel="0" max="62" min="62" style="8" width="21.34"/>
    <col collapsed="false" customWidth="true" hidden="false" outlineLevel="0" max="63" min="63" style="8" width="21.16"/>
    <col collapsed="false" customWidth="true" hidden="false" outlineLevel="0" max="65" min="64" style="8" width="9"/>
    <col collapsed="false" customWidth="true" hidden="false" outlineLevel="0" max="66" min="66" style="8" width="18.5"/>
    <col collapsed="false" customWidth="true" hidden="false" outlineLevel="0" max="67" min="67" style="8" width="15.84"/>
    <col collapsed="false" customWidth="true" hidden="false" outlineLevel="0" max="68" min="68" style="8" width="21"/>
    <col collapsed="false" customWidth="true" hidden="false" outlineLevel="0" max="69" min="69" style="8" width="16.16"/>
    <col collapsed="false" customWidth="true" hidden="false" outlineLevel="0" max="70" min="70" style="8" width="18.5"/>
    <col collapsed="false" customWidth="true" hidden="false" outlineLevel="0" max="71" min="71" style="8" width="20.66"/>
    <col collapsed="false" customWidth="true" hidden="false" outlineLevel="0" max="72" min="72" style="8" width="18.83"/>
    <col collapsed="false" customWidth="true" hidden="false" outlineLevel="0" max="73" min="73" style="26" width="20.66"/>
    <col collapsed="false" customWidth="true" hidden="false" outlineLevel="0" max="74" min="74" style="8" width="17.5"/>
    <col collapsed="false" customWidth="true" hidden="false" outlineLevel="0" max="75" min="75" style="8" width="15.84"/>
    <col collapsed="false" customWidth="true" hidden="false" outlineLevel="0" max="76" min="76" style="8" width="13"/>
    <col collapsed="false" customWidth="true" hidden="false" outlineLevel="0" max="77" min="77" style="8" width="16.5"/>
    <col collapsed="false" customWidth="true" hidden="false" outlineLevel="0" max="78" min="78" style="8" width="17"/>
    <col collapsed="false" customWidth="true" hidden="false" outlineLevel="0" max="79" min="79" style="8" width="20.83"/>
    <col collapsed="false" customWidth="true" hidden="false" outlineLevel="0" max="80" min="80" style="8" width="20.33"/>
    <col collapsed="false" customWidth="true" hidden="false" outlineLevel="0" max="81" min="81" style="8" width="19.5"/>
    <col collapsed="false" customWidth="true" hidden="false" outlineLevel="0" max="82" min="82" style="8" width="20.83"/>
    <col collapsed="false" customWidth="true" hidden="false" outlineLevel="0" max="83" min="83" style="8" width="17.16"/>
    <col collapsed="false" customWidth="true" hidden="false" outlineLevel="0" max="84" min="84" style="8" width="15"/>
    <col collapsed="false" customWidth="true" hidden="false" outlineLevel="0" max="85" min="85" style="8" width="13.66"/>
    <col collapsed="false" customWidth="true" hidden="false" outlineLevel="0" max="86" min="86" style="8" width="31.33"/>
    <col collapsed="false" customWidth="false" hidden="false" outlineLevel="0" max="87" min="87" style="8" width="10.83"/>
    <col collapsed="false" customWidth="false" hidden="false" outlineLevel="0" max="1024" min="88" style="26"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67.5" hidden="false" customHeight="false" outlineLevel="0" collapsed="false">
      <c r="B2" s="26" t="n">
        <v>1120021</v>
      </c>
      <c r="C2" s="26" t="s">
        <v>699</v>
      </c>
      <c r="D2" s="26" t="n">
        <f aca="false">DATEDIF($C$2, C2, "M")</f>
        <v>0</v>
      </c>
      <c r="E2" s="26" t="s">
        <v>700</v>
      </c>
      <c r="F2" s="65" t="b">
        <f aca="false">TRUE()</f>
        <v>1</v>
      </c>
      <c r="K2" s="36" t="b">
        <f aca="false">TRUE()</f>
        <v>1</v>
      </c>
      <c r="M2" s="36" t="b">
        <f aca="false">TRUE()</f>
        <v>1</v>
      </c>
      <c r="X2" s="26"/>
      <c r="Y2" s="26"/>
      <c r="AO2" s="26" t="s">
        <v>96</v>
      </c>
      <c r="AP2" s="26" t="s">
        <v>91</v>
      </c>
      <c r="AQ2" s="26" t="s">
        <v>96</v>
      </c>
      <c r="AR2" s="26" t="s">
        <v>91</v>
      </c>
      <c r="AT2" s="26" t="s">
        <v>150</v>
      </c>
      <c r="AU2" s="26" t="s">
        <v>701</v>
      </c>
      <c r="AV2" s="26" t="s">
        <v>150</v>
      </c>
      <c r="AW2" s="26" t="s">
        <v>701</v>
      </c>
      <c r="AY2" s="36" t="b">
        <f aca="false">TRUE()</f>
        <v>1</v>
      </c>
    </row>
    <row r="3" customFormat="false" ht="33.75" hidden="false" customHeight="false" outlineLevel="0" collapsed="false">
      <c r="B3" s="26" t="n">
        <v>1120021</v>
      </c>
      <c r="C3" s="26" t="s">
        <v>702</v>
      </c>
      <c r="D3" s="26" t="n">
        <f aca="false">DATEDIF($C$2, C3, "M")</f>
        <v>1</v>
      </c>
      <c r="E3" s="26" t="s">
        <v>703</v>
      </c>
      <c r="F3" s="66" t="b">
        <f aca="false">TRUE()</f>
        <v>1</v>
      </c>
      <c r="V3" s="8" t="s">
        <v>458</v>
      </c>
      <c r="W3" s="8" t="s">
        <v>458</v>
      </c>
      <c r="X3" s="26"/>
      <c r="AM3" s="67" t="b">
        <f aca="false">FALSE()</f>
        <v>0</v>
      </c>
      <c r="AN3" s="36" t="b">
        <f aca="false">FALSE()</f>
        <v>0</v>
      </c>
      <c r="AO3" s="26" t="s">
        <v>96</v>
      </c>
      <c r="AP3" s="26" t="s">
        <v>91</v>
      </c>
      <c r="AQ3" s="26" t="s">
        <v>96</v>
      </c>
      <c r="AR3" s="26" t="s">
        <v>91</v>
      </c>
      <c r="AT3" s="26" t="s">
        <v>150</v>
      </c>
      <c r="AU3" s="26" t="s">
        <v>701</v>
      </c>
      <c r="AV3" s="26" t="s">
        <v>150</v>
      </c>
      <c r="AW3" s="26" t="s">
        <v>701</v>
      </c>
      <c r="AY3" s="36" t="b">
        <f aca="false">TRUE()</f>
        <v>1</v>
      </c>
    </row>
    <row r="4" customFormat="false" ht="169.5" hidden="false" customHeight="false" outlineLevel="0" collapsed="false">
      <c r="B4" s="26" t="n">
        <v>1120021</v>
      </c>
      <c r="C4" s="26" t="s">
        <v>704</v>
      </c>
      <c r="D4" s="26" t="n">
        <f aca="false">DATEDIF($C$2, C4, "M")</f>
        <v>2</v>
      </c>
      <c r="E4" s="26" t="s">
        <v>705</v>
      </c>
      <c r="F4" s="66" t="b">
        <f aca="false">TRUE()</f>
        <v>1</v>
      </c>
      <c r="T4" s="67" t="b">
        <f aca="false">TRUE()</f>
        <v>1</v>
      </c>
      <c r="X4" s="26"/>
      <c r="Y4" s="8" t="s">
        <v>502</v>
      </c>
      <c r="AO4" s="26"/>
      <c r="AQ4" s="26"/>
      <c r="AT4" s="26"/>
      <c r="AU4" s="26"/>
      <c r="AV4" s="26"/>
      <c r="AW4" s="26"/>
      <c r="BT4" s="67" t="b">
        <f aca="false">TRUE()</f>
        <v>1</v>
      </c>
      <c r="BU4" s="26" t="s">
        <v>153</v>
      </c>
      <c r="BV4" s="36" t="b">
        <f aca="false">TRUE()</f>
        <v>1</v>
      </c>
    </row>
    <row r="5" customFormat="false" ht="51" hidden="false" customHeight="false" outlineLevel="0" collapsed="false">
      <c r="B5" s="26" t="n">
        <v>1120021</v>
      </c>
      <c r="C5" s="26" t="s">
        <v>706</v>
      </c>
      <c r="D5" s="26" t="n">
        <f aca="false">DATEDIF($C$2, C5, "M")</f>
        <v>3</v>
      </c>
      <c r="E5" s="26" t="s">
        <v>707</v>
      </c>
      <c r="F5" s="66" t="b">
        <f aca="false">TRUE()</f>
        <v>1</v>
      </c>
      <c r="T5" s="67" t="b">
        <f aca="false">TRUE()</f>
        <v>1</v>
      </c>
      <c r="X5" s="26"/>
      <c r="Y5" s="8" t="s">
        <v>502</v>
      </c>
      <c r="AM5" s="67" t="b">
        <f aca="false">TRUE()</f>
        <v>1</v>
      </c>
      <c r="AN5" s="36" t="b">
        <f aca="false">TRUE()</f>
        <v>1</v>
      </c>
      <c r="AO5" s="26" t="s">
        <v>96</v>
      </c>
      <c r="AP5" s="26" t="s">
        <v>152</v>
      </c>
      <c r="AQ5" s="26" t="s">
        <v>96</v>
      </c>
      <c r="AR5" s="26" t="s">
        <v>152</v>
      </c>
      <c r="AT5" s="26"/>
      <c r="AU5" s="26"/>
      <c r="AV5" s="26"/>
      <c r="AW5" s="26"/>
    </row>
    <row r="6" customFormat="false" ht="220.5" hidden="false" customHeight="false" outlineLevel="0" collapsed="false">
      <c r="B6" s="26" t="n">
        <v>1120021</v>
      </c>
      <c r="C6" s="26" t="s">
        <v>708</v>
      </c>
      <c r="D6" s="26" t="n">
        <f aca="false">DATEDIF($C$2, C6, "M")</f>
        <v>3</v>
      </c>
      <c r="E6" s="26" t="s">
        <v>709</v>
      </c>
      <c r="F6" s="66" t="b">
        <f aca="false">TRUE()</f>
        <v>1</v>
      </c>
      <c r="T6" s="67" t="b">
        <f aca="false">TRUE()</f>
        <v>1</v>
      </c>
      <c r="X6" s="26"/>
      <c r="Y6" s="8" t="s">
        <v>502</v>
      </c>
      <c r="AM6" s="67" t="b">
        <f aca="false">TRUE()</f>
        <v>1</v>
      </c>
      <c r="AN6" s="36" t="b">
        <f aca="false">TRUE()</f>
        <v>1</v>
      </c>
      <c r="AO6" s="26" t="s">
        <v>96</v>
      </c>
      <c r="AP6" s="26" t="s">
        <v>91</v>
      </c>
      <c r="AQ6" s="26" t="s">
        <v>96</v>
      </c>
      <c r="AR6" s="26" t="s">
        <v>91</v>
      </c>
      <c r="AT6" s="26" t="s">
        <v>150</v>
      </c>
      <c r="AU6" s="26" t="s">
        <v>701</v>
      </c>
      <c r="AV6" s="26" t="s">
        <v>150</v>
      </c>
      <c r="AW6" s="26" t="s">
        <v>701</v>
      </c>
      <c r="AY6" s="36" t="b">
        <f aca="false">TRUE()</f>
        <v>1</v>
      </c>
      <c r="BV6" s="36" t="b">
        <f aca="false">TRUE()</f>
        <v>1</v>
      </c>
    </row>
    <row r="7" s="68" customFormat="true" ht="33.75" hidden="false" customHeight="false" outlineLevel="0" collapsed="false">
      <c r="B7" s="68" t="n">
        <v>1120021</v>
      </c>
      <c r="C7" s="68" t="s">
        <v>710</v>
      </c>
      <c r="D7" s="26" t="n">
        <f aca="false">DATEDIF($C$2, C7, "M")</f>
        <v>3</v>
      </c>
      <c r="E7" s="68" t="s">
        <v>711</v>
      </c>
      <c r="T7" s="69" t="b">
        <f aca="false">TRUE()</f>
        <v>1</v>
      </c>
    </row>
    <row r="8" customFormat="false" ht="51" hidden="false" customHeight="false" outlineLevel="0" collapsed="false">
      <c r="B8" s="26" t="n">
        <v>1120021</v>
      </c>
      <c r="C8" s="26" t="s">
        <v>712</v>
      </c>
      <c r="D8" s="26" t="n">
        <f aca="false">DATEDIF($C$2, C8, "M")</f>
        <v>3</v>
      </c>
      <c r="E8" s="26" t="s">
        <v>713</v>
      </c>
      <c r="F8" s="66" t="b">
        <f aca="false">TRUE()</f>
        <v>1</v>
      </c>
      <c r="X8" s="26"/>
      <c r="AO8" s="26"/>
      <c r="AQ8" s="26"/>
      <c r="AT8" s="26"/>
      <c r="AU8" s="26"/>
      <c r="AV8" s="26"/>
      <c r="AW8" s="26"/>
    </row>
    <row r="9" customFormat="false" ht="16.5" hidden="false" customHeight="false" outlineLevel="0" collapsed="false">
      <c r="B9" s="26" t="n">
        <v>1120021</v>
      </c>
      <c r="C9" s="26" t="s">
        <v>714</v>
      </c>
      <c r="D9" s="26" t="n">
        <f aca="false">DATEDIF($C$2, C9, "M")</f>
        <v>4</v>
      </c>
      <c r="E9" s="26" t="s">
        <v>715</v>
      </c>
      <c r="F9" s="66" t="b">
        <f aca="false">TRUE()</f>
        <v>1</v>
      </c>
      <c r="L9" s="67" t="b">
        <f aca="false">TRUE()</f>
        <v>1</v>
      </c>
      <c r="X9" s="26"/>
      <c r="AO9" s="26"/>
      <c r="AQ9" s="26"/>
      <c r="AT9" s="26"/>
      <c r="AU9" s="26"/>
      <c r="AV9" s="26"/>
      <c r="AW9" s="26"/>
      <c r="BB9" s="8" t="s">
        <v>716</v>
      </c>
      <c r="BK9" s="36" t="b">
        <f aca="false">TRUE()</f>
        <v>1</v>
      </c>
    </row>
    <row r="10" customFormat="false" ht="51" hidden="false" customHeight="false" outlineLevel="0" collapsed="false">
      <c r="B10" s="26" t="n">
        <v>1120021</v>
      </c>
      <c r="C10" s="26" t="s">
        <v>717</v>
      </c>
      <c r="D10" s="26" t="n">
        <f aca="false">DATEDIF($C$2, C10, "M")</f>
        <v>4</v>
      </c>
      <c r="E10" s="26" t="s">
        <v>718</v>
      </c>
      <c r="F10" s="66" t="b">
        <f aca="false">TRUE()</f>
        <v>1</v>
      </c>
      <c r="K10" s="67" t="b">
        <f aca="false">TRUE()</f>
        <v>1</v>
      </c>
      <c r="X10" s="26"/>
      <c r="AM10" s="67" t="b">
        <f aca="false">TRUE()</f>
        <v>1</v>
      </c>
      <c r="AN10" s="36" t="b">
        <f aca="false">TRUE()</f>
        <v>1</v>
      </c>
      <c r="AO10" s="26" t="s">
        <v>96</v>
      </c>
      <c r="AP10" s="26" t="s">
        <v>155</v>
      </c>
      <c r="AQ10" s="26" t="s">
        <v>96</v>
      </c>
      <c r="AR10" s="26" t="s">
        <v>155</v>
      </c>
      <c r="AT10" s="26"/>
      <c r="AU10" s="26"/>
      <c r="AV10" s="26"/>
      <c r="AW10" s="26"/>
    </row>
    <row r="11" customFormat="false" ht="33.75" hidden="false" customHeight="false" outlineLevel="0" collapsed="false">
      <c r="B11" s="26" t="n">
        <v>1120021</v>
      </c>
      <c r="C11" s="26" t="s">
        <v>719</v>
      </c>
      <c r="D11" s="26" t="n">
        <f aca="false">DATEDIF($C$2, C11, "M")</f>
        <v>5</v>
      </c>
      <c r="E11" s="26" t="s">
        <v>720</v>
      </c>
      <c r="F11" s="66" t="b">
        <f aca="false">TRUE()</f>
        <v>1</v>
      </c>
      <c r="K11" s="67" t="b">
        <f aca="false">TRUE()</f>
        <v>1</v>
      </c>
      <c r="X11" s="26"/>
      <c r="AM11" s="67" t="b">
        <f aca="false">TRUE()</f>
        <v>1</v>
      </c>
      <c r="AN11" s="36" t="b">
        <f aca="false">TRUE()</f>
        <v>1</v>
      </c>
      <c r="AO11" s="26"/>
      <c r="AP11" s="8" t="s">
        <v>160</v>
      </c>
      <c r="AQ11" s="26"/>
      <c r="AR11" s="8" t="s">
        <v>160</v>
      </c>
      <c r="AT11" s="26"/>
      <c r="AU11" s="26"/>
      <c r="AV11" s="26"/>
      <c r="AW11" s="26"/>
      <c r="BF11" s="36" t="b">
        <f aca="false">TRUE()</f>
        <v>1</v>
      </c>
    </row>
    <row r="12" customFormat="false" ht="51" hidden="false" customHeight="false" outlineLevel="0" collapsed="false">
      <c r="B12" s="26" t="n">
        <v>1120021</v>
      </c>
      <c r="C12" s="26" t="s">
        <v>721</v>
      </c>
      <c r="D12" s="26" t="n">
        <f aca="false">DATEDIF($C$2, C12, "M")</f>
        <v>7</v>
      </c>
      <c r="E12" s="26" t="s">
        <v>722</v>
      </c>
      <c r="F12" s="66" t="b">
        <f aca="false">TRUE()</f>
        <v>1</v>
      </c>
      <c r="O12" s="67" t="b">
        <f aca="false">TRUE()</f>
        <v>1</v>
      </c>
      <c r="X12" s="26"/>
      <c r="AO12" s="26"/>
      <c r="AQ12" s="26"/>
      <c r="AS12" s="8" t="s">
        <v>105</v>
      </c>
      <c r="AT12" s="26"/>
      <c r="AU12" s="26"/>
      <c r="AV12" s="26"/>
      <c r="AW12" s="26"/>
      <c r="BS12" s="36" t="b">
        <f aca="false">TRUE()</f>
        <v>1</v>
      </c>
    </row>
    <row r="13" customFormat="false" ht="84.75" hidden="false" customHeight="false" outlineLevel="0" collapsed="false">
      <c r="B13" s="26" t="n">
        <v>1120021</v>
      </c>
      <c r="C13" s="26" t="s">
        <v>723</v>
      </c>
      <c r="D13" s="26" t="n">
        <f aca="false">DATEDIF($C$2, C13, "M")</f>
        <v>8</v>
      </c>
      <c r="E13" s="26" t="s">
        <v>724</v>
      </c>
      <c r="F13" s="66" t="b">
        <f aca="false">TRUE()</f>
        <v>1</v>
      </c>
      <c r="N13" s="67" t="b">
        <f aca="false">TRUE()</f>
        <v>1</v>
      </c>
      <c r="P13" s="67" t="b">
        <f aca="false">TRUE()</f>
        <v>1</v>
      </c>
      <c r="X13" s="26"/>
      <c r="AO13" s="26"/>
      <c r="AQ13" s="26"/>
      <c r="AT13" s="26"/>
      <c r="AU13" s="26"/>
      <c r="AV13" s="26"/>
      <c r="AW13" s="26"/>
      <c r="BV13" s="67" t="b">
        <f aca="false">TRUE()</f>
        <v>1</v>
      </c>
    </row>
    <row r="14" s="68" customFormat="true" ht="118.5" hidden="false" customHeight="false" outlineLevel="0" collapsed="false">
      <c r="B14" s="68" t="n">
        <v>1120021</v>
      </c>
      <c r="C14" s="68" t="s">
        <v>555</v>
      </c>
      <c r="D14" s="26" t="n">
        <f aca="false">DATEDIF($C$2, C14, "M")</f>
        <v>9</v>
      </c>
      <c r="E14" s="68" t="s">
        <v>725</v>
      </c>
      <c r="P14" s="69" t="b">
        <f aca="false">TRUE()</f>
        <v>1</v>
      </c>
      <c r="AO14" s="68" t="s">
        <v>107</v>
      </c>
      <c r="AP14" s="68" t="s">
        <v>164</v>
      </c>
      <c r="AQ14" s="68" t="s">
        <v>107</v>
      </c>
      <c r="AR14" s="68" t="s">
        <v>164</v>
      </c>
      <c r="AS14" s="68" t="s">
        <v>132</v>
      </c>
      <c r="BV14" s="70" t="b">
        <f aca="false">TRUE()</f>
        <v>1</v>
      </c>
    </row>
    <row r="15" customFormat="false" ht="84.75" hidden="false" customHeight="false" outlineLevel="0" collapsed="false">
      <c r="B15" s="26" t="n">
        <v>1120021</v>
      </c>
      <c r="C15" s="26" t="s">
        <v>726</v>
      </c>
      <c r="D15" s="26" t="n">
        <f aca="false">DATEDIF($C$2, C15, "M")</f>
        <v>11</v>
      </c>
      <c r="E15" s="26" t="s">
        <v>727</v>
      </c>
      <c r="F15" s="66" t="b">
        <f aca="false">TRUE()</f>
        <v>1</v>
      </c>
      <c r="O15" s="67" t="b">
        <f aca="false">TRUE()</f>
        <v>1</v>
      </c>
      <c r="P15" s="67" t="b">
        <f aca="false">TRUE()</f>
        <v>1</v>
      </c>
      <c r="X15" s="26"/>
      <c r="AO15" s="26"/>
      <c r="AQ15" s="26"/>
      <c r="AS15" s="8" t="s">
        <v>168</v>
      </c>
      <c r="AT15" s="26" t="s">
        <v>150</v>
      </c>
      <c r="AU15" s="26"/>
      <c r="AV15" s="26" t="s">
        <v>150</v>
      </c>
      <c r="AW15" s="26"/>
      <c r="AY15" s="36" t="b">
        <f aca="false">TRUE()</f>
        <v>1</v>
      </c>
    </row>
    <row r="16" customFormat="false" ht="153" hidden="false" customHeight="false" outlineLevel="0" collapsed="false">
      <c r="B16" s="26" t="n">
        <v>1120021</v>
      </c>
      <c r="C16" s="26" t="s">
        <v>728</v>
      </c>
      <c r="D16" s="26" t="n">
        <f aca="false">DATEDIF($C$2, C16, "M")</f>
        <v>12</v>
      </c>
      <c r="E16" s="26" t="s">
        <v>729</v>
      </c>
      <c r="F16" s="65" t="b">
        <f aca="false">TRUE()</f>
        <v>1</v>
      </c>
      <c r="H16" s="36" t="b">
        <f aca="false">TRUE()</f>
        <v>1</v>
      </c>
      <c r="O16" s="36" t="b">
        <f aca="false">TRUE()</f>
        <v>1</v>
      </c>
      <c r="P16" s="36" t="b">
        <f aca="false">TRUE()</f>
        <v>1</v>
      </c>
      <c r="X16" s="26"/>
      <c r="AO16" s="26"/>
      <c r="AQ16" s="26"/>
      <c r="AS16" s="8" t="s">
        <v>730</v>
      </c>
      <c r="AT16" s="26"/>
      <c r="AU16" s="26"/>
      <c r="AV16" s="26"/>
      <c r="AW16" s="26"/>
    </row>
    <row r="17" customFormat="false" ht="118.5" hidden="false" customHeight="false" outlineLevel="0" collapsed="false">
      <c r="B17" s="26" t="n">
        <v>1120021</v>
      </c>
      <c r="C17" s="26" t="s">
        <v>731</v>
      </c>
      <c r="D17" s="26" t="n">
        <f aca="false">DATEDIF($C$2, C17, "M")</f>
        <v>13</v>
      </c>
      <c r="E17" s="26" t="s">
        <v>732</v>
      </c>
      <c r="F17" s="65" t="b">
        <f aca="false">TRUE()</f>
        <v>1</v>
      </c>
      <c r="P17" s="36" t="b">
        <f aca="false">TRUE()</f>
        <v>1</v>
      </c>
      <c r="X17" s="26"/>
      <c r="AM17" s="67" t="b">
        <f aca="false">TRUE()</f>
        <v>1</v>
      </c>
      <c r="AO17" s="26" t="s">
        <v>122</v>
      </c>
      <c r="AP17" s="8" t="s">
        <v>97</v>
      </c>
      <c r="AQ17" s="26"/>
      <c r="AT17" s="26"/>
      <c r="AU17" s="26"/>
      <c r="AV17" s="26"/>
      <c r="AW17" s="26"/>
    </row>
    <row r="18" customFormat="false" ht="102" hidden="false" customHeight="false" outlineLevel="0" collapsed="false">
      <c r="B18" s="26" t="n">
        <v>1120021</v>
      </c>
      <c r="C18" s="26" t="s">
        <v>733</v>
      </c>
      <c r="D18" s="26" t="n">
        <f aca="false">DATEDIF($C$2, C18, "M")</f>
        <v>14</v>
      </c>
      <c r="E18" s="26" t="s">
        <v>734</v>
      </c>
      <c r="F18" s="65" t="b">
        <f aca="false">TRUE()</f>
        <v>1</v>
      </c>
      <c r="P18" s="36" t="b">
        <f aca="false">TRUE()</f>
        <v>1</v>
      </c>
      <c r="X18" s="26"/>
      <c r="AM18" s="67" t="b">
        <f aca="false">FALSE()</f>
        <v>0</v>
      </c>
      <c r="AN18" s="36" t="b">
        <f aca="false">TRUE()</f>
        <v>1</v>
      </c>
      <c r="AO18" s="26" t="s">
        <v>122</v>
      </c>
      <c r="AP18" s="8" t="s">
        <v>97</v>
      </c>
      <c r="AQ18" s="26" t="s">
        <v>96</v>
      </c>
      <c r="AR18" s="8" t="s">
        <v>97</v>
      </c>
      <c r="AT18" s="26"/>
      <c r="AU18" s="26"/>
      <c r="AV18" s="26"/>
      <c r="AW18" s="26"/>
      <c r="CD18" s="36" t="b">
        <f aca="false">TRUE()</f>
        <v>1</v>
      </c>
    </row>
    <row r="19" s="68" customFormat="true" ht="84.75" hidden="false" customHeight="false" outlineLevel="0" collapsed="false">
      <c r="B19" s="68" t="n">
        <v>1120021</v>
      </c>
      <c r="C19" s="68" t="s">
        <v>735</v>
      </c>
      <c r="D19" s="26" t="n">
        <f aca="false">DATEDIF($C$2, C19, "M")</f>
        <v>15</v>
      </c>
      <c r="E19" s="68" t="s">
        <v>736</v>
      </c>
      <c r="F19" s="68" t="b">
        <f aca="false">TRUE()</f>
        <v>1</v>
      </c>
      <c r="G19" s="70" t="b">
        <f aca="false">TRUE()</f>
        <v>1</v>
      </c>
      <c r="P19" s="68" t="b">
        <f aca="false">TRUE()</f>
        <v>1</v>
      </c>
      <c r="AQ19" s="68" t="s">
        <v>107</v>
      </c>
      <c r="AR19" s="68" t="s">
        <v>97</v>
      </c>
      <c r="CD19" s="70" t="b">
        <f aca="false">TRUE()</f>
        <v>1</v>
      </c>
    </row>
    <row r="20" customFormat="false" ht="51" hidden="false" customHeight="false" outlineLevel="0" collapsed="false">
      <c r="B20" s="26" t="n">
        <v>1120021</v>
      </c>
      <c r="C20" s="26" t="s">
        <v>737</v>
      </c>
      <c r="D20" s="26" t="n">
        <f aca="false">DATEDIF($C$2, C20, "M")</f>
        <v>18</v>
      </c>
      <c r="E20" s="26" t="s">
        <v>738</v>
      </c>
      <c r="F20" s="26" t="b">
        <f aca="false">TRUE()</f>
        <v>1</v>
      </c>
      <c r="H20" s="36" t="b">
        <f aca="false">TRUE()</f>
        <v>1</v>
      </c>
      <c r="K20" s="36" t="b">
        <f aca="false">TRUE()</f>
        <v>1</v>
      </c>
      <c r="M20" s="36" t="b">
        <f aca="false">TRUE()</f>
        <v>1</v>
      </c>
      <c r="O20" s="36" t="b">
        <f aca="false">TRUE()</f>
        <v>1</v>
      </c>
      <c r="X20" s="26"/>
      <c r="AL20" s="8" t="s">
        <v>89</v>
      </c>
      <c r="AM20" s="36" t="b">
        <f aca="false">TRUE()</f>
        <v>1</v>
      </c>
      <c r="AN20" s="36" t="b">
        <f aca="false">TRUE()</f>
        <v>1</v>
      </c>
      <c r="AO20" s="26" t="s">
        <v>122</v>
      </c>
      <c r="AP20" s="8" t="s">
        <v>97</v>
      </c>
      <c r="AQ20" s="26" t="s">
        <v>122</v>
      </c>
      <c r="AR20" s="8" t="s">
        <v>739</v>
      </c>
      <c r="AS20" s="8" t="s">
        <v>105</v>
      </c>
      <c r="AT20" s="26"/>
      <c r="AU20" s="26"/>
      <c r="AV20" s="26"/>
      <c r="AW20" s="26"/>
    </row>
    <row r="21" customFormat="false" ht="67.5" hidden="false" customHeight="false" outlineLevel="0" collapsed="false">
      <c r="B21" s="26" t="n">
        <v>1120021</v>
      </c>
      <c r="C21" s="26" t="s">
        <v>740</v>
      </c>
      <c r="D21" s="26" t="n">
        <f aca="false">DATEDIF($C$2, C21, "M")</f>
        <v>22</v>
      </c>
      <c r="E21" s="26" t="s">
        <v>741</v>
      </c>
      <c r="F21" s="26" t="b">
        <f aca="false">TRUE()</f>
        <v>1</v>
      </c>
      <c r="I21" s="36" t="b">
        <f aca="false">TRUE()</f>
        <v>1</v>
      </c>
      <c r="X21" s="26"/>
      <c r="AO21" s="26"/>
      <c r="AQ21" s="26"/>
      <c r="AT21" s="26"/>
      <c r="AU21" s="26"/>
      <c r="AV21" s="26"/>
      <c r="AW21" s="26"/>
      <c r="BW21" s="8" t="s">
        <v>224</v>
      </c>
      <c r="BX21" s="8" t="s">
        <v>224</v>
      </c>
      <c r="CF21" s="36" t="b">
        <f aca="false">TRUE()</f>
        <v>1</v>
      </c>
      <c r="CG21" s="36" t="b">
        <f aca="false">TRUE()</f>
        <v>1</v>
      </c>
    </row>
    <row r="22" customFormat="false" ht="16.5" hidden="false" customHeight="false" outlineLevel="0" collapsed="false">
      <c r="B22" s="26" t="n">
        <v>1120021</v>
      </c>
      <c r="C22" s="26" t="s">
        <v>742</v>
      </c>
      <c r="D22" s="26" t="n">
        <f aca="false">DATEDIF($C$2, C22, "M")</f>
        <v>24</v>
      </c>
      <c r="E22" s="26" t="s">
        <v>743</v>
      </c>
      <c r="F22" s="26" t="b">
        <f aca="false">TRUE()</f>
        <v>1</v>
      </c>
      <c r="X22" s="26"/>
      <c r="AO22" s="26"/>
      <c r="AQ22" s="26"/>
      <c r="AT22" s="26"/>
      <c r="AU22" s="26"/>
      <c r="AV22" s="26"/>
      <c r="AW22" s="26"/>
      <c r="BW22" s="8" t="s">
        <v>224</v>
      </c>
      <c r="BX22" s="8" t="s">
        <v>224</v>
      </c>
      <c r="CF22" s="36" t="b">
        <f aca="false">TRUE()</f>
        <v>1</v>
      </c>
      <c r="CG22" s="36" t="b">
        <f aca="false">TRUE()</f>
        <v>1</v>
      </c>
    </row>
    <row r="23" customFormat="false" ht="51" hidden="false" customHeight="false" outlineLevel="0" collapsed="false">
      <c r="B23" s="26" t="n">
        <v>1120021</v>
      </c>
      <c r="C23" s="26" t="s">
        <v>744</v>
      </c>
      <c r="D23" s="26" t="n">
        <f aca="false">DATEDIF($C$2, C23, "M")</f>
        <v>25</v>
      </c>
      <c r="E23" s="26" t="s">
        <v>745</v>
      </c>
      <c r="F23" s="26" t="b">
        <f aca="false">TRUE()</f>
        <v>1</v>
      </c>
      <c r="X23" s="26"/>
      <c r="AO23" s="26"/>
      <c r="AQ23" s="26"/>
      <c r="AT23" s="26"/>
      <c r="AU23" s="26"/>
      <c r="AV23" s="26"/>
      <c r="AW23" s="26"/>
      <c r="BR23" s="8" t="s">
        <v>103</v>
      </c>
      <c r="CH23" s="36" t="b">
        <f aca="false">TRUE()</f>
        <v>1</v>
      </c>
    </row>
    <row r="24" customFormat="false" ht="33.75" hidden="false" customHeight="false" outlineLevel="0" collapsed="false">
      <c r="B24" s="26" t="n">
        <v>1120021</v>
      </c>
      <c r="C24" s="26" t="s">
        <v>746</v>
      </c>
      <c r="D24" s="26" t="n">
        <f aca="false">DATEDIF($C$2, C24, "M")</f>
        <v>27</v>
      </c>
      <c r="E24" s="26" t="s">
        <v>747</v>
      </c>
      <c r="F24" s="26" t="b">
        <f aca="false">TRUE()</f>
        <v>1</v>
      </c>
      <c r="X24" s="26"/>
      <c r="AO24" s="26"/>
      <c r="AQ24" s="26"/>
      <c r="AT24" s="26"/>
      <c r="AU24" s="26"/>
      <c r="AV24" s="26"/>
      <c r="AW24" s="26"/>
      <c r="BW24" s="8" t="s">
        <v>224</v>
      </c>
      <c r="BX24" s="8" t="s">
        <v>224</v>
      </c>
      <c r="CH24" s="36" t="b">
        <f aca="false">TRUE()</f>
        <v>1</v>
      </c>
    </row>
    <row r="25" customFormat="false" ht="51" hidden="false" customHeight="false" outlineLevel="0" collapsed="false">
      <c r="B25" s="26" t="n">
        <v>1120021</v>
      </c>
      <c r="C25" s="26" t="s">
        <v>566</v>
      </c>
      <c r="D25" s="26" t="n">
        <f aca="false">DATEDIF($C$2, C25, "M")</f>
        <v>33</v>
      </c>
      <c r="E25" s="26" t="s">
        <v>748</v>
      </c>
      <c r="F25" s="26" t="b">
        <f aca="false">TRUE()</f>
        <v>1</v>
      </c>
      <c r="X25" s="26"/>
      <c r="AO25" s="26"/>
      <c r="AQ25" s="26"/>
      <c r="AT25" s="26"/>
      <c r="AU25" s="26"/>
      <c r="AV25" s="26"/>
      <c r="AW25" s="26"/>
      <c r="CH25" s="8" t="b">
        <f aca="false">TRUE()</f>
        <v>1</v>
      </c>
    </row>
    <row r="26" customFormat="false" ht="15.75" hidden="false" customHeight="false" outlineLevel="0" collapsed="false">
      <c r="X26" s="26"/>
      <c r="AO26" s="26"/>
      <c r="AQ26" s="26"/>
      <c r="AT26" s="26"/>
      <c r="AU26" s="26"/>
      <c r="AV26" s="26"/>
      <c r="AW26" s="26"/>
    </row>
    <row r="27" customFormat="false" ht="15.75" hidden="false" customHeight="false" outlineLevel="0" collapsed="false">
      <c r="X27" s="26"/>
      <c r="AO27" s="26"/>
      <c r="AQ27" s="26"/>
      <c r="AT27" s="26"/>
      <c r="AU27" s="26"/>
      <c r="AV27" s="26"/>
      <c r="AW27" s="26"/>
    </row>
    <row r="28" customFormat="false" ht="15.75" hidden="false" customHeight="false" outlineLevel="0" collapsed="false">
      <c r="X28" s="26"/>
      <c r="AO28" s="26"/>
      <c r="AQ28" s="26"/>
      <c r="AT28" s="26"/>
      <c r="AU28" s="26"/>
      <c r="AV28" s="26"/>
      <c r="AW28" s="26"/>
    </row>
    <row r="29" customFormat="false" ht="15.75" hidden="false" customHeight="false" outlineLevel="0" collapsed="false">
      <c r="X29" s="26"/>
      <c r="AO29" s="26"/>
      <c r="AQ29" s="26"/>
      <c r="AT29" s="26"/>
      <c r="AU29" s="26"/>
      <c r="AV29" s="26"/>
      <c r="AW29" s="26"/>
    </row>
    <row r="30" customFormat="false" ht="15.75" hidden="false" customHeight="false" outlineLevel="0" collapsed="false">
      <c r="X30" s="26"/>
      <c r="AO30" s="26"/>
      <c r="AQ30" s="26"/>
      <c r="AT30" s="26"/>
      <c r="AU30" s="26"/>
      <c r="AV30" s="26"/>
      <c r="AW30" s="26"/>
    </row>
    <row r="31" customFormat="false" ht="15.75" hidden="false" customHeight="false" outlineLevel="0" collapsed="false">
      <c r="X31" s="26"/>
      <c r="AO31" s="26"/>
      <c r="AQ31" s="26"/>
      <c r="AT31" s="26"/>
      <c r="AU31" s="26"/>
      <c r="AV31" s="26"/>
      <c r="AW31" s="26"/>
    </row>
    <row r="32" customFormat="false" ht="15.75" hidden="false" customHeight="false" outlineLevel="0" collapsed="false">
      <c r="X32" s="26"/>
      <c r="AO32" s="26"/>
      <c r="AQ32" s="26"/>
      <c r="AT32" s="26"/>
      <c r="AU32" s="26"/>
      <c r="AV32" s="26"/>
      <c r="AW32" s="26"/>
    </row>
    <row r="33" customFormat="false" ht="15.75" hidden="false" customHeight="false" outlineLevel="0" collapsed="false">
      <c r="X33" s="26"/>
      <c r="AO33" s="26"/>
      <c r="AQ33" s="26"/>
      <c r="AT33" s="26"/>
      <c r="AU33" s="26"/>
      <c r="AV33" s="26"/>
      <c r="AW33" s="26"/>
    </row>
    <row r="34" customFormat="false" ht="15.75" hidden="false" customHeight="false" outlineLevel="0" collapsed="false">
      <c r="X34" s="26"/>
      <c r="AO34" s="26"/>
      <c r="AQ34" s="26"/>
      <c r="AT34" s="26"/>
      <c r="AU34" s="26"/>
      <c r="AV34" s="26"/>
      <c r="AW34" s="26"/>
    </row>
    <row r="35" customFormat="false" ht="15.75" hidden="false" customHeight="false" outlineLevel="0" collapsed="false">
      <c r="X35" s="26"/>
      <c r="AO35" s="26"/>
      <c r="AQ35" s="26"/>
      <c r="AT35" s="26"/>
      <c r="AU35" s="26"/>
      <c r="AV35" s="26"/>
      <c r="AW35" s="26"/>
    </row>
    <row r="36" customFormat="false" ht="15.75" hidden="false" customHeight="false" outlineLevel="0" collapsed="false">
      <c r="X36" s="26"/>
      <c r="AO36" s="26"/>
      <c r="AQ36" s="26"/>
      <c r="AT36" s="26"/>
      <c r="AU36" s="26"/>
      <c r="AV36" s="26"/>
      <c r="AW36" s="26"/>
    </row>
    <row r="37" customFormat="false" ht="15.75" hidden="false" customHeight="false" outlineLevel="0" collapsed="false">
      <c r="X37" s="26"/>
      <c r="AO37" s="26"/>
      <c r="AQ37" s="26"/>
      <c r="AT37" s="26"/>
      <c r="AU37" s="26"/>
      <c r="AV37" s="26"/>
      <c r="AW37" s="26"/>
    </row>
    <row r="38" customFormat="false" ht="15.75" hidden="false" customHeight="false" outlineLevel="0" collapsed="false">
      <c r="X38" s="26"/>
      <c r="AO38" s="26"/>
      <c r="AQ38" s="26"/>
      <c r="AT38" s="26"/>
      <c r="AU38" s="26"/>
      <c r="AV38" s="26"/>
      <c r="AW38" s="26"/>
    </row>
    <row r="39" customFormat="false" ht="15.75" hidden="false" customHeight="false" outlineLevel="0" collapsed="false">
      <c r="X39" s="26"/>
      <c r="AO39" s="26"/>
      <c r="AQ39" s="26"/>
      <c r="AT39" s="26"/>
      <c r="AU39" s="26"/>
      <c r="AV39" s="26"/>
      <c r="AW39" s="26"/>
    </row>
    <row r="40" customFormat="false" ht="15.75" hidden="false" customHeight="false" outlineLevel="0" collapsed="false">
      <c r="X40" s="26"/>
      <c r="AO40" s="26"/>
      <c r="AQ40" s="26"/>
      <c r="AT40" s="26"/>
      <c r="AU40" s="26"/>
      <c r="AV40" s="26"/>
      <c r="AW40" s="26"/>
    </row>
    <row r="41" customFormat="false" ht="15.75" hidden="false" customHeight="false" outlineLevel="0" collapsed="false">
      <c r="X41" s="26"/>
      <c r="AO41" s="26"/>
      <c r="AQ41" s="26"/>
      <c r="AT41" s="26"/>
      <c r="AU41" s="26"/>
      <c r="AV41" s="26"/>
      <c r="AW41" s="26"/>
    </row>
    <row r="42" customFormat="false" ht="15.75" hidden="false" customHeight="false" outlineLevel="0" collapsed="false">
      <c r="X42" s="26"/>
      <c r="AO42" s="26"/>
      <c r="AQ42" s="26"/>
      <c r="AT42" s="26"/>
      <c r="AU42" s="26"/>
      <c r="AV42" s="26"/>
      <c r="AW42" s="26"/>
    </row>
    <row r="43" customFormat="false" ht="15.75" hidden="false" customHeight="false" outlineLevel="0" collapsed="false">
      <c r="X43" s="26"/>
      <c r="AO43" s="26"/>
      <c r="AQ43" s="26"/>
      <c r="AT43" s="26"/>
      <c r="AU43" s="26"/>
      <c r="AV43" s="26"/>
      <c r="AW43" s="26"/>
    </row>
    <row r="44" customFormat="false" ht="15.75" hidden="false" customHeight="false" outlineLevel="0" collapsed="false">
      <c r="X44" s="26"/>
      <c r="AO44" s="26"/>
      <c r="AQ44" s="26"/>
      <c r="AT44" s="26"/>
      <c r="AU44" s="26"/>
      <c r="AV44" s="26"/>
      <c r="AW44" s="26"/>
    </row>
    <row r="45" customFormat="false" ht="15.75" hidden="false" customHeight="false" outlineLevel="0" collapsed="false">
      <c r="X45" s="26"/>
      <c r="AO45" s="26"/>
      <c r="AQ45" s="26"/>
      <c r="AT45" s="26"/>
      <c r="AU45" s="26"/>
      <c r="AV45" s="26"/>
      <c r="AW45" s="26"/>
    </row>
    <row r="46" customFormat="false" ht="15.75" hidden="false" customHeight="false" outlineLevel="0" collapsed="false">
      <c r="X46" s="26"/>
      <c r="AO46" s="26"/>
      <c r="AQ46" s="26"/>
      <c r="AT46" s="26"/>
      <c r="AU46" s="26"/>
      <c r="AV46" s="26"/>
      <c r="AW46" s="26"/>
    </row>
    <row r="47" customFormat="false" ht="15.75" hidden="false" customHeight="false" outlineLevel="0" collapsed="false">
      <c r="X47" s="26"/>
      <c r="AO47" s="26"/>
      <c r="AQ47" s="26"/>
      <c r="AT47" s="26"/>
      <c r="AU47" s="26"/>
      <c r="AV47" s="26"/>
      <c r="AW47" s="26"/>
    </row>
    <row r="48" customFormat="false" ht="15.75" hidden="false" customHeight="false" outlineLevel="0" collapsed="false">
      <c r="X48" s="26"/>
      <c r="AO48" s="26"/>
      <c r="AQ48" s="26"/>
      <c r="AT48" s="26"/>
      <c r="AU48" s="26"/>
      <c r="AV48" s="26"/>
      <c r="AW48" s="26"/>
    </row>
    <row r="49" customFormat="false" ht="15.75" hidden="false" customHeight="false" outlineLevel="0" collapsed="false">
      <c r="X49" s="26"/>
      <c r="AO49" s="26"/>
      <c r="AQ49" s="26"/>
      <c r="AT49" s="26"/>
      <c r="AU49" s="26"/>
      <c r="AV49" s="26"/>
      <c r="AW49" s="26"/>
    </row>
    <row r="50" customFormat="false" ht="15.75" hidden="false" customHeight="false" outlineLevel="0" collapsed="false">
      <c r="X50" s="26"/>
      <c r="AO50" s="26"/>
      <c r="AQ50" s="26"/>
      <c r="AT50" s="26"/>
      <c r="AU50" s="26"/>
      <c r="AV50" s="26"/>
      <c r="AW50" s="26"/>
    </row>
    <row r="51" customFormat="false" ht="15.75" hidden="false" customHeight="false" outlineLevel="0" collapsed="false">
      <c r="X51" s="26"/>
      <c r="AO51" s="26"/>
      <c r="AQ51" s="26"/>
      <c r="AT51" s="26"/>
      <c r="AU51" s="26"/>
      <c r="AV51" s="26"/>
      <c r="AW51" s="26"/>
    </row>
    <row r="52" customFormat="false" ht="15.75" hidden="false" customHeight="false" outlineLevel="0" collapsed="false">
      <c r="X52" s="26"/>
      <c r="AO52" s="26"/>
      <c r="AQ52" s="26"/>
      <c r="AT52" s="26"/>
      <c r="AU52" s="26"/>
      <c r="AV52" s="26"/>
      <c r="AW52" s="26"/>
    </row>
    <row r="53" customFormat="false" ht="15.75" hidden="false" customHeight="false" outlineLevel="0" collapsed="false">
      <c r="X53" s="26"/>
      <c r="AO53" s="26"/>
      <c r="AQ53" s="26"/>
      <c r="AT53" s="26"/>
      <c r="AU53" s="26"/>
      <c r="AV53" s="26"/>
      <c r="AW53" s="26"/>
    </row>
    <row r="54" customFormat="false" ht="15.75" hidden="false" customHeight="false" outlineLevel="0" collapsed="false">
      <c r="X54" s="26"/>
      <c r="AO54" s="26"/>
      <c r="AQ54" s="26"/>
      <c r="AT54" s="26"/>
      <c r="AU54" s="26"/>
      <c r="AV54" s="26"/>
      <c r="AW54" s="26"/>
    </row>
    <row r="55" customFormat="false" ht="15.75" hidden="false" customHeight="false" outlineLevel="0" collapsed="false">
      <c r="X55" s="26"/>
      <c r="AO55" s="26"/>
      <c r="AQ55" s="26"/>
      <c r="AT55" s="26"/>
      <c r="AU55" s="26"/>
      <c r="AV55" s="26"/>
      <c r="AW55" s="26"/>
    </row>
    <row r="56" customFormat="false" ht="15.75" hidden="false" customHeight="false" outlineLevel="0" collapsed="false">
      <c r="X56" s="26"/>
      <c r="AO56" s="26"/>
      <c r="AQ56" s="26"/>
      <c r="AT56" s="26"/>
      <c r="AU56" s="26"/>
      <c r="AV56" s="26"/>
      <c r="AW56" s="26"/>
    </row>
    <row r="57" customFormat="false" ht="15.75" hidden="false" customHeight="false" outlineLevel="0" collapsed="false">
      <c r="X57" s="26"/>
      <c r="AO57" s="26"/>
      <c r="AQ57" s="26"/>
      <c r="AT57" s="26"/>
      <c r="AU57" s="26"/>
      <c r="AV57" s="26"/>
      <c r="AW57" s="26"/>
    </row>
    <row r="58" customFormat="false" ht="15.75" hidden="false" customHeight="false" outlineLevel="0" collapsed="false">
      <c r="X58" s="26"/>
      <c r="AO58" s="26"/>
      <c r="AQ58" s="26"/>
      <c r="AT58" s="26"/>
      <c r="AU58" s="26"/>
      <c r="AV58" s="26"/>
      <c r="AW58" s="26"/>
    </row>
    <row r="59" customFormat="false" ht="15.75" hidden="false" customHeight="false" outlineLevel="0" collapsed="false">
      <c r="X59" s="26"/>
      <c r="AO59" s="26"/>
      <c r="AQ59" s="26"/>
      <c r="AT59" s="26"/>
      <c r="AU59" s="26"/>
      <c r="AV59" s="26"/>
      <c r="AW59" s="26"/>
    </row>
    <row r="60" customFormat="false" ht="15.75" hidden="false" customHeight="false" outlineLevel="0" collapsed="false">
      <c r="X60" s="26"/>
      <c r="AO60" s="26"/>
      <c r="AQ60" s="26"/>
      <c r="AT60" s="26"/>
      <c r="AU60" s="26"/>
      <c r="AV60" s="26"/>
      <c r="AW60" s="26"/>
    </row>
    <row r="61" customFormat="false" ht="15.75" hidden="false" customHeight="false" outlineLevel="0" collapsed="false">
      <c r="X61" s="26"/>
      <c r="AO61" s="26"/>
      <c r="AQ61" s="26"/>
      <c r="AT61" s="26"/>
      <c r="AU61" s="26"/>
      <c r="AV61" s="26"/>
      <c r="AW61" s="26"/>
    </row>
    <row r="62" customFormat="false" ht="15.75" hidden="false" customHeight="false" outlineLevel="0" collapsed="false">
      <c r="X62" s="26"/>
      <c r="AO62" s="26"/>
      <c r="AQ62" s="26"/>
      <c r="AT62" s="26"/>
      <c r="AU62" s="26"/>
      <c r="AV62" s="26"/>
      <c r="AW62" s="26"/>
    </row>
    <row r="63" customFormat="false" ht="15.75" hidden="false" customHeight="false" outlineLevel="0" collapsed="false">
      <c r="X63" s="26"/>
      <c r="AO63" s="26"/>
      <c r="AQ63" s="26"/>
      <c r="AT63" s="26"/>
      <c r="AU63" s="26"/>
      <c r="AV63" s="26"/>
      <c r="AW63" s="26"/>
    </row>
    <row r="64" customFormat="false" ht="15.75" hidden="false" customHeight="false" outlineLevel="0" collapsed="false">
      <c r="X64" s="26"/>
      <c r="AO64" s="26"/>
      <c r="AQ64" s="26"/>
      <c r="AT64" s="26"/>
      <c r="AU64" s="26"/>
      <c r="AV64" s="26"/>
      <c r="AW64" s="26"/>
    </row>
    <row r="65" customFormat="false" ht="15.75" hidden="false" customHeight="false" outlineLevel="0" collapsed="false">
      <c r="X65" s="26"/>
      <c r="AO65" s="26"/>
      <c r="AQ65" s="26"/>
      <c r="AT65" s="26"/>
      <c r="AU65" s="26"/>
      <c r="AV65" s="26"/>
      <c r="AW65" s="26"/>
    </row>
    <row r="66" customFormat="false" ht="15.75" hidden="false" customHeight="false" outlineLevel="0" collapsed="false">
      <c r="X66" s="26"/>
      <c r="AO66" s="26"/>
      <c r="AQ66" s="26"/>
      <c r="AT66" s="26"/>
      <c r="AU66" s="26"/>
      <c r="AV66" s="26"/>
      <c r="AW66" s="26"/>
    </row>
    <row r="67" customFormat="false" ht="15.75" hidden="false" customHeight="false" outlineLevel="0" collapsed="false">
      <c r="X67" s="26"/>
      <c r="AO67" s="26"/>
      <c r="AQ67" s="26"/>
      <c r="AT67" s="26"/>
      <c r="AU67" s="26"/>
      <c r="AV67" s="26"/>
      <c r="AW67" s="26"/>
    </row>
    <row r="68" customFormat="false" ht="15.75" hidden="false" customHeight="false" outlineLevel="0" collapsed="false">
      <c r="X68" s="26"/>
      <c r="AO68" s="26"/>
      <c r="AQ68" s="26"/>
      <c r="AT68" s="26"/>
      <c r="AU68" s="26"/>
      <c r="AV68" s="26"/>
      <c r="AW68" s="26"/>
    </row>
    <row r="69" customFormat="false" ht="15.75" hidden="false" customHeight="false" outlineLevel="0" collapsed="false">
      <c r="X69" s="26"/>
      <c r="AO69" s="26"/>
      <c r="AQ69" s="26"/>
      <c r="AT69" s="26"/>
      <c r="AU69" s="26"/>
      <c r="AV69" s="26"/>
      <c r="AW69" s="26"/>
    </row>
    <row r="70" customFormat="false" ht="15.75" hidden="false" customHeight="false" outlineLevel="0" collapsed="false">
      <c r="X70" s="26"/>
      <c r="AO70" s="26"/>
      <c r="AQ70" s="26"/>
      <c r="AT70" s="26"/>
      <c r="AU70" s="26"/>
      <c r="AV70" s="26"/>
      <c r="AW70" s="26"/>
    </row>
    <row r="71" customFormat="false" ht="15.75" hidden="false" customHeight="false" outlineLevel="0" collapsed="false">
      <c r="X71" s="26"/>
      <c r="AO71" s="26"/>
      <c r="AQ71" s="26"/>
      <c r="AT71" s="26"/>
      <c r="AU71" s="26"/>
      <c r="AV71" s="26"/>
      <c r="AW71" s="26"/>
    </row>
    <row r="72" customFormat="false" ht="15.75" hidden="false" customHeight="false" outlineLevel="0" collapsed="false">
      <c r="X72" s="26"/>
      <c r="AO72" s="26"/>
      <c r="AQ72" s="26"/>
      <c r="AT72" s="26"/>
      <c r="AU72" s="26"/>
      <c r="AV72" s="26"/>
      <c r="AW72" s="26"/>
    </row>
    <row r="73" customFormat="false" ht="15.75" hidden="false" customHeight="false" outlineLevel="0" collapsed="false">
      <c r="X73" s="26"/>
      <c r="AO73" s="26"/>
      <c r="AQ73" s="26"/>
      <c r="AT73" s="26"/>
      <c r="AU73" s="26"/>
      <c r="AV73" s="26"/>
      <c r="AW73" s="26"/>
    </row>
    <row r="74" customFormat="false" ht="15.75" hidden="false" customHeight="false" outlineLevel="0" collapsed="false">
      <c r="X74" s="26"/>
      <c r="AO74" s="26"/>
      <c r="AQ74" s="26"/>
      <c r="AT74" s="26"/>
      <c r="AU74" s="26"/>
      <c r="AV74" s="26"/>
      <c r="AW74" s="26"/>
    </row>
    <row r="75" customFormat="false" ht="15.75" hidden="false" customHeight="false" outlineLevel="0" collapsed="false">
      <c r="X75" s="26"/>
      <c r="AO75" s="26"/>
      <c r="AQ75" s="26"/>
      <c r="AT75" s="26"/>
      <c r="AU75" s="26"/>
      <c r="AV75" s="26"/>
      <c r="AW75" s="26"/>
    </row>
    <row r="76" customFormat="false" ht="15.75" hidden="false" customHeight="false" outlineLevel="0" collapsed="false">
      <c r="X76" s="26"/>
      <c r="AO76" s="26"/>
      <c r="AQ76" s="26"/>
      <c r="AT76" s="26"/>
      <c r="AU76" s="26"/>
      <c r="AV76" s="26"/>
      <c r="AW76" s="26"/>
    </row>
    <row r="77" customFormat="false" ht="15.75" hidden="false" customHeight="false" outlineLevel="0" collapsed="false">
      <c r="X77" s="26"/>
      <c r="AO77" s="26"/>
      <c r="AQ77" s="26"/>
      <c r="AT77" s="26"/>
      <c r="AU77" s="26"/>
      <c r="AV77" s="26"/>
      <c r="AW77" s="26"/>
    </row>
    <row r="78" customFormat="false" ht="15.75" hidden="false" customHeight="false" outlineLevel="0" collapsed="false">
      <c r="X78" s="26"/>
      <c r="AO78" s="26"/>
      <c r="AQ78" s="26"/>
      <c r="AT78" s="26"/>
      <c r="AU78" s="26"/>
      <c r="AV78" s="26"/>
      <c r="AW78" s="26"/>
    </row>
    <row r="79" customFormat="false" ht="15.75" hidden="false" customHeight="false" outlineLevel="0" collapsed="false">
      <c r="X79" s="26"/>
      <c r="AO79" s="26"/>
      <c r="AQ79" s="26"/>
      <c r="AT79" s="26"/>
      <c r="AU79" s="26"/>
      <c r="AV79" s="26"/>
      <c r="AW79" s="26"/>
    </row>
    <row r="80" customFormat="false" ht="15.75" hidden="false" customHeight="false" outlineLevel="0" collapsed="false">
      <c r="X80" s="26"/>
      <c r="AO80" s="26"/>
      <c r="AQ80" s="26"/>
      <c r="AT80" s="26"/>
      <c r="AU80" s="26"/>
      <c r="AV80" s="26"/>
      <c r="AW80" s="26"/>
    </row>
    <row r="81" customFormat="false" ht="15.75" hidden="false" customHeight="false" outlineLevel="0" collapsed="false">
      <c r="X81" s="26"/>
      <c r="AO81" s="26"/>
      <c r="AQ81" s="26"/>
      <c r="AT81" s="26"/>
      <c r="AU81" s="26"/>
      <c r="AV81" s="26"/>
      <c r="AW81" s="26"/>
    </row>
    <row r="82" customFormat="false" ht="15.75" hidden="false" customHeight="false" outlineLevel="0" collapsed="false">
      <c r="X82" s="26"/>
      <c r="AO82" s="26"/>
      <c r="AQ82" s="26"/>
      <c r="AT82" s="26"/>
      <c r="AU82" s="26"/>
      <c r="AV82" s="26"/>
      <c r="AW82" s="26"/>
    </row>
    <row r="83" customFormat="false" ht="15.75" hidden="false" customHeight="false" outlineLevel="0" collapsed="false">
      <c r="X83" s="26"/>
      <c r="AO83" s="26"/>
      <c r="AQ83" s="26"/>
      <c r="AT83" s="26"/>
      <c r="AU83" s="26"/>
      <c r="AV83" s="26"/>
      <c r="AW83" s="26"/>
    </row>
    <row r="84" customFormat="false" ht="15.75" hidden="false" customHeight="false" outlineLevel="0" collapsed="false">
      <c r="X84" s="26"/>
      <c r="AO84" s="26"/>
      <c r="AQ84" s="26"/>
      <c r="AT84" s="26"/>
      <c r="AU84" s="26"/>
      <c r="AV84" s="26"/>
      <c r="AW84" s="26"/>
    </row>
    <row r="85" customFormat="false" ht="15.75" hidden="false" customHeight="false" outlineLevel="0" collapsed="false">
      <c r="X85" s="26"/>
      <c r="AO85" s="26"/>
      <c r="AQ85" s="26"/>
      <c r="AT85" s="26"/>
      <c r="AU85" s="26"/>
      <c r="AV85" s="26"/>
      <c r="AW85" s="26"/>
    </row>
    <row r="86" customFormat="false" ht="15.75" hidden="false" customHeight="false" outlineLevel="0" collapsed="false">
      <c r="X86" s="26"/>
      <c r="AO86" s="26"/>
      <c r="AQ86" s="26"/>
      <c r="AT86" s="26"/>
      <c r="AU86" s="26"/>
      <c r="AV86" s="26"/>
      <c r="AW86" s="26"/>
    </row>
    <row r="87" customFormat="false" ht="15.75" hidden="false" customHeight="false" outlineLevel="0" collapsed="false">
      <c r="X87" s="26"/>
      <c r="AO87" s="26"/>
      <c r="AQ87" s="26"/>
      <c r="AT87" s="26"/>
      <c r="AU87" s="26"/>
      <c r="AV87" s="26"/>
      <c r="AW87" s="26"/>
    </row>
    <row r="88" customFormat="false" ht="15.75" hidden="false" customHeight="false" outlineLevel="0" collapsed="false">
      <c r="X88" s="26"/>
      <c r="AO88" s="26"/>
      <c r="AQ88" s="26"/>
      <c r="AT88" s="26"/>
      <c r="AU88" s="26"/>
      <c r="AV88" s="26"/>
      <c r="AW88" s="26"/>
    </row>
    <row r="89" customFormat="false" ht="15.75" hidden="false" customHeight="false" outlineLevel="0" collapsed="false">
      <c r="X89" s="26"/>
      <c r="AO89" s="26"/>
      <c r="AQ89" s="26"/>
      <c r="AT89" s="26"/>
      <c r="AU89" s="26"/>
      <c r="AV89" s="26"/>
      <c r="AW89" s="26"/>
    </row>
    <row r="90" customFormat="false" ht="15.75" hidden="false" customHeight="false" outlineLevel="0" collapsed="false">
      <c r="X90" s="26"/>
      <c r="AO90" s="26"/>
      <c r="AQ90" s="26"/>
      <c r="AT90" s="26"/>
      <c r="AU90" s="26"/>
      <c r="AV90" s="26"/>
      <c r="AW90" s="26"/>
    </row>
    <row r="91" customFormat="false" ht="15.75" hidden="false" customHeight="false" outlineLevel="0" collapsed="false">
      <c r="X91" s="26"/>
      <c r="AO91" s="26"/>
      <c r="AQ91" s="26"/>
      <c r="AT91" s="26"/>
      <c r="AU91" s="26"/>
      <c r="AV91" s="26"/>
      <c r="AW91" s="26"/>
    </row>
    <row r="92" customFormat="false" ht="15.75" hidden="false" customHeight="false" outlineLevel="0" collapsed="false">
      <c r="X92" s="26"/>
      <c r="AO92" s="26"/>
      <c r="AQ92" s="26"/>
      <c r="AT92" s="26"/>
      <c r="AU92" s="26"/>
      <c r="AV92" s="26"/>
      <c r="AW92" s="26"/>
    </row>
    <row r="93" customFormat="false" ht="15.75" hidden="false" customHeight="false" outlineLevel="0" collapsed="false">
      <c r="X93" s="26"/>
      <c r="AO93" s="26"/>
      <c r="AQ93" s="26"/>
      <c r="AT93" s="26"/>
      <c r="AU93" s="26"/>
      <c r="AV93" s="26"/>
      <c r="AW93" s="26"/>
    </row>
    <row r="94" customFormat="false" ht="15.75" hidden="false" customHeight="false" outlineLevel="0" collapsed="false">
      <c r="X94" s="26"/>
      <c r="AO94" s="26"/>
      <c r="AQ94" s="26"/>
      <c r="AT94" s="26"/>
      <c r="AU94" s="26"/>
      <c r="AV94" s="26"/>
      <c r="AW94" s="26"/>
    </row>
    <row r="95" customFormat="false" ht="15.75" hidden="false" customHeight="false" outlineLevel="0" collapsed="false">
      <c r="X95" s="26"/>
      <c r="AO95" s="26"/>
      <c r="AQ95" s="26"/>
      <c r="AT95" s="26"/>
      <c r="AU95" s="26"/>
      <c r="AV95" s="26"/>
      <c r="AW95" s="26"/>
    </row>
    <row r="96" customFormat="false" ht="15.75" hidden="false" customHeight="false" outlineLevel="0" collapsed="false">
      <c r="X96" s="26"/>
      <c r="AO96" s="26"/>
      <c r="AQ96" s="26"/>
      <c r="AT96" s="26"/>
      <c r="AU96" s="26"/>
      <c r="AV96" s="26"/>
      <c r="AW96" s="26"/>
    </row>
    <row r="97" customFormat="false" ht="15.75" hidden="false" customHeight="false" outlineLevel="0" collapsed="false">
      <c r="X97" s="26"/>
      <c r="AO97" s="26"/>
      <c r="AQ97" s="26"/>
      <c r="AT97" s="26"/>
      <c r="AU97" s="26"/>
      <c r="AV97" s="26"/>
      <c r="AW97" s="26"/>
    </row>
    <row r="98" customFormat="false" ht="15.75" hidden="false" customHeight="false" outlineLevel="0" collapsed="false">
      <c r="X98" s="26"/>
      <c r="AO98" s="26"/>
      <c r="AQ98" s="26"/>
      <c r="AT98" s="26"/>
      <c r="AU98" s="26"/>
      <c r="AV98" s="26"/>
      <c r="AW98" s="26"/>
    </row>
    <row r="99" customFormat="false" ht="15.75" hidden="false" customHeight="false" outlineLevel="0" collapsed="false">
      <c r="X99" s="26"/>
      <c r="AO99" s="26"/>
      <c r="AQ99" s="26"/>
      <c r="AT99" s="26"/>
      <c r="AU99" s="26"/>
      <c r="AV99" s="26"/>
      <c r="AW99" s="26"/>
    </row>
    <row r="100" customFormat="false" ht="15.75" hidden="false" customHeight="false" outlineLevel="0" collapsed="false">
      <c r="X100" s="26"/>
      <c r="AO100" s="26"/>
      <c r="AQ100" s="26"/>
      <c r="AT100" s="26"/>
      <c r="AU100" s="26"/>
      <c r="AV100" s="26"/>
      <c r="AW100" s="26"/>
    </row>
    <row r="101" customFormat="false" ht="15.75" hidden="false" customHeight="false" outlineLevel="0" collapsed="false">
      <c r="X101" s="26"/>
      <c r="AO101" s="26"/>
      <c r="AQ101" s="26"/>
      <c r="AT101" s="26"/>
      <c r="AU101" s="26"/>
      <c r="AV101" s="26"/>
      <c r="AW101" s="26"/>
    </row>
    <row r="102" customFormat="false" ht="15.75" hidden="false" customHeight="false" outlineLevel="0" collapsed="false">
      <c r="X102" s="26"/>
      <c r="AO102" s="26"/>
      <c r="AQ102" s="26"/>
      <c r="AT102" s="26"/>
      <c r="AU102" s="26"/>
      <c r="AV102" s="26"/>
      <c r="AW102" s="26"/>
    </row>
    <row r="103" customFormat="false" ht="15.75" hidden="false" customHeight="false" outlineLevel="0" collapsed="false">
      <c r="AO103" s="26"/>
      <c r="AQ103" s="26"/>
      <c r="AT103" s="26"/>
      <c r="AU103" s="26"/>
      <c r="AV103" s="26"/>
      <c r="AW103" s="26"/>
    </row>
    <row r="104" customFormat="false" ht="15.75" hidden="false" customHeight="false" outlineLevel="0" collapsed="false">
      <c r="AO104" s="26"/>
      <c r="AQ104" s="26"/>
      <c r="AT104" s="26"/>
      <c r="AU104" s="26"/>
      <c r="AV104" s="26"/>
      <c r="AW104" s="26"/>
    </row>
    <row r="105" customFormat="false" ht="15.75" hidden="false" customHeight="false" outlineLevel="0" collapsed="false">
      <c r="AO105" s="26"/>
      <c r="AQ105" s="26"/>
      <c r="AT105" s="26"/>
      <c r="AU105" s="26"/>
      <c r="AV105" s="26"/>
      <c r="AW105" s="26"/>
    </row>
    <row r="106" customFormat="false" ht="15.75" hidden="false" customHeight="false" outlineLevel="0" collapsed="false">
      <c r="AO106" s="26"/>
      <c r="AQ106" s="26"/>
      <c r="AT106" s="26"/>
      <c r="AU106" s="26"/>
      <c r="AV106" s="26"/>
      <c r="AW106" s="26"/>
    </row>
    <row r="107" customFormat="false" ht="15.75" hidden="false" customHeight="false" outlineLevel="0" collapsed="false">
      <c r="AO107" s="26"/>
      <c r="AQ107" s="26"/>
      <c r="AT107" s="26"/>
      <c r="AU107" s="26"/>
      <c r="AV107" s="26"/>
      <c r="AW107" s="26"/>
    </row>
    <row r="108" customFormat="false" ht="15.75" hidden="false" customHeight="false" outlineLevel="0" collapsed="false">
      <c r="AO108" s="26"/>
      <c r="AQ108" s="26"/>
      <c r="AT108" s="26"/>
      <c r="AU108" s="26"/>
      <c r="AV108" s="26"/>
      <c r="AW108" s="26"/>
    </row>
    <row r="109" customFormat="false" ht="15.75" hidden="false" customHeight="false" outlineLevel="0" collapsed="false">
      <c r="AO109" s="26"/>
      <c r="AQ109" s="26"/>
      <c r="AT109" s="26"/>
      <c r="AU109" s="26"/>
      <c r="AV109" s="26"/>
      <c r="AW109" s="26"/>
    </row>
    <row r="110" customFormat="false" ht="15.75" hidden="false" customHeight="false" outlineLevel="0" collapsed="false">
      <c r="AO110" s="26"/>
      <c r="AQ110" s="26"/>
      <c r="AT110" s="26"/>
      <c r="AU110" s="26"/>
      <c r="AV110" s="26"/>
      <c r="AW110" s="26"/>
    </row>
    <row r="111" customFormat="false" ht="15.75" hidden="false" customHeight="false" outlineLevel="0" collapsed="false">
      <c r="AO111" s="26"/>
      <c r="AQ111" s="26"/>
      <c r="AS111" s="26"/>
      <c r="AT111" s="26"/>
      <c r="AU111" s="26"/>
      <c r="AV111" s="26"/>
      <c r="AW111" s="26"/>
    </row>
    <row r="112" customFormat="false" ht="15.75" hidden="false" customHeight="false" outlineLevel="0" collapsed="false">
      <c r="AO112" s="26"/>
      <c r="AQ112" s="26"/>
      <c r="AS112" s="26"/>
      <c r="AT112" s="26"/>
      <c r="AU112" s="26"/>
      <c r="AV112" s="26"/>
      <c r="AW112" s="26"/>
    </row>
    <row r="113" customFormat="false" ht="15.75" hidden="false" customHeight="false" outlineLevel="0" collapsed="false">
      <c r="AO113" s="26"/>
      <c r="AQ113" s="26"/>
      <c r="AS113" s="26"/>
      <c r="AT113" s="26"/>
      <c r="AU113" s="26"/>
      <c r="AV113" s="26"/>
      <c r="AW113" s="26"/>
    </row>
    <row r="114" customFormat="false" ht="15.75" hidden="false" customHeight="false" outlineLevel="0" collapsed="false">
      <c r="AO114" s="26"/>
      <c r="AQ114" s="26"/>
      <c r="AS114" s="26"/>
      <c r="AT114" s="26"/>
      <c r="AU114" s="26"/>
      <c r="AV114" s="26"/>
      <c r="AW114" s="26"/>
    </row>
    <row r="115" customFormat="false" ht="15.75" hidden="false" customHeight="false" outlineLevel="0" collapsed="false">
      <c r="AO115" s="26"/>
      <c r="AQ115" s="26"/>
      <c r="AS115" s="26"/>
      <c r="AT115" s="26"/>
      <c r="AU115" s="26"/>
      <c r="AV115" s="26"/>
      <c r="AW115" s="26"/>
    </row>
    <row r="116" customFormat="false" ht="15.75" hidden="false" customHeight="false" outlineLevel="0" collapsed="false">
      <c r="AO116" s="26"/>
      <c r="AQ116" s="26"/>
      <c r="AS116" s="26"/>
      <c r="AT116" s="26"/>
      <c r="AU116" s="26"/>
      <c r="AV116" s="26"/>
      <c r="AW116" s="26"/>
    </row>
    <row r="117" customFormat="false" ht="15.75" hidden="false" customHeight="false" outlineLevel="0" collapsed="false">
      <c r="AO117" s="26"/>
      <c r="AQ117" s="26"/>
      <c r="AS117" s="26"/>
      <c r="AT117" s="26"/>
      <c r="AU117" s="26"/>
      <c r="AV117" s="26"/>
      <c r="AW117" s="26"/>
    </row>
    <row r="118" customFormat="false" ht="15.75" hidden="false" customHeight="false" outlineLevel="0" collapsed="false">
      <c r="AO118" s="26"/>
      <c r="AQ118" s="26"/>
      <c r="AS118" s="26"/>
      <c r="AT118" s="26"/>
      <c r="AU118" s="26"/>
      <c r="AV118" s="26"/>
      <c r="AW118" s="26"/>
    </row>
    <row r="119" customFormat="false" ht="15.75" hidden="false" customHeight="false" outlineLevel="0" collapsed="false">
      <c r="AO119" s="26"/>
      <c r="AQ119" s="26"/>
      <c r="AS119" s="26"/>
      <c r="AT119" s="26"/>
      <c r="AU119" s="26"/>
      <c r="AV119" s="26"/>
      <c r="AW119" s="26"/>
    </row>
    <row r="120" customFormat="false" ht="15.75" hidden="false" customHeight="false" outlineLevel="0" collapsed="false">
      <c r="AO120" s="26"/>
      <c r="AQ120" s="26"/>
      <c r="AS120" s="26"/>
      <c r="AT120" s="26"/>
      <c r="AU120" s="26"/>
      <c r="AV120" s="26"/>
      <c r="AW120" s="26"/>
    </row>
    <row r="121" customFormat="false" ht="15.75" hidden="false" customHeight="false" outlineLevel="0" collapsed="false">
      <c r="AO121" s="26"/>
      <c r="AQ121" s="26"/>
      <c r="AS121" s="26"/>
      <c r="AT121" s="26"/>
      <c r="AU121" s="26"/>
      <c r="AV121" s="26"/>
      <c r="AW121" s="26"/>
    </row>
    <row r="122" customFormat="false" ht="15.75" hidden="false" customHeight="false" outlineLevel="0" collapsed="false">
      <c r="AO122" s="26"/>
      <c r="AQ122" s="26"/>
      <c r="AS122" s="26"/>
      <c r="AT122" s="26"/>
      <c r="AU122" s="26"/>
      <c r="AV122" s="26"/>
      <c r="AW122" s="26"/>
    </row>
    <row r="123" customFormat="false" ht="15.75" hidden="false" customHeight="false" outlineLevel="0" collapsed="false">
      <c r="AO123" s="26"/>
      <c r="AQ123" s="26"/>
      <c r="AT123" s="26"/>
      <c r="AU123" s="26"/>
      <c r="AV123" s="26"/>
      <c r="AW123" s="26"/>
    </row>
    <row r="124" customFormat="false" ht="15.75" hidden="false" customHeight="false" outlineLevel="0" collapsed="false">
      <c r="AO124" s="26"/>
      <c r="AQ124" s="26"/>
      <c r="AT124" s="26"/>
      <c r="AU124" s="26"/>
      <c r="AV124" s="26"/>
      <c r="AW124" s="26"/>
    </row>
    <row r="125" customFormat="false" ht="15.75" hidden="false" customHeight="false" outlineLevel="0" collapsed="false">
      <c r="AO125" s="26"/>
      <c r="AQ125" s="26"/>
      <c r="AT125" s="26"/>
      <c r="AU125" s="26"/>
      <c r="AV125" s="26"/>
      <c r="AW125" s="26"/>
    </row>
    <row r="126" customFormat="false" ht="15.75" hidden="false" customHeight="false" outlineLevel="0" collapsed="false">
      <c r="AO126" s="26"/>
      <c r="AQ126" s="26"/>
      <c r="AT126" s="26"/>
      <c r="AU126" s="26"/>
      <c r="AV126" s="26"/>
      <c r="AW126" s="26"/>
    </row>
    <row r="127" customFormat="false" ht="15.75" hidden="false" customHeight="false" outlineLevel="0" collapsed="false">
      <c r="AO127" s="26"/>
      <c r="AQ127" s="26"/>
      <c r="AT127" s="26"/>
      <c r="AU127" s="26"/>
      <c r="AV127" s="26"/>
      <c r="AW127" s="26"/>
    </row>
    <row r="128" customFormat="false" ht="15.75" hidden="false" customHeight="false" outlineLevel="0" collapsed="false">
      <c r="AO128" s="26"/>
      <c r="AQ128" s="26"/>
      <c r="AT128" s="26"/>
      <c r="AU128" s="26"/>
      <c r="AV128" s="26"/>
      <c r="AW128" s="26"/>
    </row>
    <row r="129" customFormat="false" ht="15.75" hidden="false" customHeight="false" outlineLevel="0" collapsed="false">
      <c r="AO129" s="26"/>
      <c r="AQ129" s="26"/>
      <c r="AT129" s="26"/>
      <c r="AU129" s="26"/>
      <c r="AV129" s="26"/>
      <c r="AW129" s="26"/>
    </row>
    <row r="130" customFormat="false" ht="15.75" hidden="false" customHeight="false" outlineLevel="0" collapsed="false">
      <c r="AO130" s="26"/>
      <c r="AQ130" s="26"/>
      <c r="AT130" s="26"/>
      <c r="AU130" s="26"/>
      <c r="AV130" s="26"/>
      <c r="AW130" s="26"/>
    </row>
    <row r="131" customFormat="false" ht="15.75" hidden="false" customHeight="false" outlineLevel="0" collapsed="false">
      <c r="AO131" s="26"/>
      <c r="AQ131" s="26"/>
      <c r="AT131" s="26"/>
      <c r="AU131" s="26"/>
      <c r="AV131" s="26"/>
      <c r="AW131" s="26"/>
    </row>
    <row r="132" customFormat="false" ht="15.75" hidden="false" customHeight="false" outlineLevel="0" collapsed="false">
      <c r="AO132" s="26"/>
      <c r="AQ132" s="26"/>
      <c r="AT132" s="26"/>
      <c r="AU132" s="26"/>
      <c r="AV132" s="26"/>
      <c r="AW132" s="26"/>
    </row>
    <row r="133" customFormat="false" ht="15.75" hidden="false" customHeight="false" outlineLevel="0" collapsed="false">
      <c r="AO133" s="26"/>
      <c r="AQ133" s="26"/>
      <c r="AT133" s="26"/>
      <c r="AU133" s="26"/>
      <c r="AV133" s="26"/>
      <c r="AW133" s="26"/>
    </row>
    <row r="134" customFormat="false" ht="15.75" hidden="false" customHeight="false" outlineLevel="0" collapsed="false">
      <c r="AO134" s="26"/>
      <c r="AQ134" s="26"/>
      <c r="AT134" s="26"/>
      <c r="AU134" s="26"/>
      <c r="AV134" s="26"/>
      <c r="AW134" s="26"/>
    </row>
    <row r="135" customFormat="false" ht="15.75" hidden="false" customHeight="false" outlineLevel="0" collapsed="false">
      <c r="AO135" s="26"/>
      <c r="AQ135" s="26"/>
      <c r="AT135" s="26"/>
      <c r="AU135" s="26"/>
      <c r="AV135" s="26"/>
      <c r="AW135" s="26"/>
    </row>
    <row r="136" customFormat="false" ht="15.75" hidden="false" customHeight="false" outlineLevel="0" collapsed="false">
      <c r="AO136" s="26"/>
      <c r="AQ136" s="26"/>
      <c r="AT136" s="26"/>
      <c r="AU136" s="26"/>
      <c r="AV136" s="26"/>
      <c r="AW136" s="26"/>
    </row>
    <row r="137" customFormat="false" ht="15.75" hidden="false" customHeight="false" outlineLevel="0" collapsed="false">
      <c r="AO137" s="26"/>
      <c r="AQ137" s="26"/>
      <c r="AT137" s="26"/>
      <c r="AU137" s="26"/>
      <c r="AV137" s="26"/>
      <c r="AW137" s="26"/>
    </row>
    <row r="138" customFormat="false" ht="15.75" hidden="false" customHeight="false" outlineLevel="0" collapsed="false">
      <c r="AO138" s="26"/>
      <c r="AQ138" s="26"/>
      <c r="AT138" s="26"/>
      <c r="AU138" s="26"/>
      <c r="AV138" s="26"/>
      <c r="AW138" s="26"/>
    </row>
    <row r="139" customFormat="false" ht="15.75" hidden="false" customHeight="false" outlineLevel="0" collapsed="false">
      <c r="AO139" s="26"/>
      <c r="AQ139" s="26"/>
      <c r="AT139" s="26"/>
      <c r="AU139" s="26"/>
      <c r="AV139" s="26"/>
      <c r="AW139" s="26"/>
    </row>
    <row r="140" customFormat="false" ht="15.75" hidden="false" customHeight="false" outlineLevel="0" collapsed="false">
      <c r="AO140" s="26"/>
      <c r="AQ140" s="26"/>
      <c r="AT140" s="26"/>
      <c r="AU140" s="26"/>
      <c r="AV140" s="26"/>
      <c r="AW140" s="26"/>
    </row>
    <row r="141" customFormat="false" ht="15.75" hidden="false" customHeight="false" outlineLevel="0" collapsed="false">
      <c r="AO141" s="26"/>
      <c r="AQ141" s="26"/>
      <c r="AT141" s="26"/>
      <c r="AU141" s="26"/>
      <c r="AV141" s="26"/>
      <c r="AW141" s="26"/>
    </row>
    <row r="142" customFormat="false" ht="15.75" hidden="false" customHeight="false" outlineLevel="0" collapsed="false">
      <c r="AO142" s="26"/>
      <c r="AQ142" s="26"/>
      <c r="AT142" s="26"/>
      <c r="AU142" s="26"/>
      <c r="AV142" s="26"/>
      <c r="AW142" s="26"/>
    </row>
    <row r="143" customFormat="false" ht="15.75" hidden="false" customHeight="false" outlineLevel="0" collapsed="false">
      <c r="AO143" s="26"/>
      <c r="AQ143" s="26"/>
      <c r="AT143" s="26"/>
      <c r="AU143" s="26"/>
      <c r="AV143" s="26"/>
      <c r="AW143" s="26"/>
    </row>
    <row r="144" customFormat="false" ht="15.75" hidden="false" customHeight="false" outlineLevel="0" collapsed="false">
      <c r="AO144" s="26"/>
      <c r="AQ144" s="26"/>
      <c r="AT144" s="26"/>
      <c r="AU144" s="26"/>
      <c r="AV144" s="26"/>
      <c r="AW144" s="26"/>
    </row>
    <row r="145" customFormat="false" ht="15.75" hidden="false" customHeight="false" outlineLevel="0" collapsed="false">
      <c r="AO145" s="26"/>
      <c r="AQ145" s="26"/>
      <c r="AT145" s="26"/>
      <c r="AU145" s="26"/>
      <c r="AV145" s="26"/>
      <c r="AW145" s="26"/>
    </row>
    <row r="146" customFormat="false" ht="15.75" hidden="false" customHeight="false" outlineLevel="0" collapsed="false">
      <c r="AO146" s="26"/>
      <c r="AQ146" s="26"/>
      <c r="AT146" s="26"/>
      <c r="AU146" s="26"/>
      <c r="AV146" s="26"/>
      <c r="AW146" s="26"/>
    </row>
    <row r="147" customFormat="false" ht="15.75" hidden="false" customHeight="false" outlineLevel="0" collapsed="false">
      <c r="AO147" s="26"/>
      <c r="AQ147" s="26"/>
      <c r="AT147" s="26"/>
      <c r="AU147" s="26"/>
      <c r="AV147" s="26"/>
      <c r="AW147" s="26"/>
    </row>
    <row r="148" customFormat="false" ht="15.75" hidden="false" customHeight="false" outlineLevel="0" collapsed="false">
      <c r="AO148" s="26"/>
      <c r="AQ148" s="26"/>
      <c r="AT148" s="26"/>
      <c r="AU148" s="26"/>
      <c r="AV148" s="26"/>
      <c r="AW148" s="26"/>
    </row>
    <row r="149" customFormat="false" ht="15.75" hidden="false" customHeight="false" outlineLevel="0" collapsed="false">
      <c r="AO149" s="26"/>
      <c r="AQ149" s="26"/>
      <c r="AT149" s="26"/>
      <c r="AU149" s="26"/>
      <c r="AV149" s="26"/>
      <c r="AW149" s="26"/>
    </row>
    <row r="150" customFormat="false" ht="15.75" hidden="false" customHeight="false" outlineLevel="0" collapsed="false">
      <c r="AO150" s="26"/>
      <c r="AQ150" s="26"/>
      <c r="AT150" s="26"/>
      <c r="AU150" s="26"/>
      <c r="AV150" s="26"/>
      <c r="AW150" s="26"/>
    </row>
    <row r="151" customFormat="false" ht="15.75" hidden="false" customHeight="false" outlineLevel="0" collapsed="false">
      <c r="AO151" s="26"/>
      <c r="AQ151" s="26"/>
      <c r="AT151" s="26"/>
      <c r="AU151" s="26"/>
      <c r="AV151" s="26"/>
      <c r="AW151" s="26"/>
    </row>
    <row r="152" customFormat="false" ht="15.75" hidden="false" customHeight="false" outlineLevel="0" collapsed="false">
      <c r="AO152" s="26"/>
      <c r="AQ152" s="26"/>
      <c r="AT152" s="26"/>
      <c r="AU152" s="26"/>
      <c r="AV152" s="26"/>
      <c r="AW152" s="26"/>
    </row>
    <row r="153" customFormat="false" ht="15.75" hidden="false" customHeight="false" outlineLevel="0" collapsed="false">
      <c r="AO153" s="26"/>
      <c r="AQ153" s="26"/>
      <c r="AT153" s="26"/>
      <c r="AU153" s="26"/>
      <c r="AV153" s="26"/>
      <c r="AW153" s="26"/>
    </row>
    <row r="154" customFormat="false" ht="15.75" hidden="false" customHeight="false" outlineLevel="0" collapsed="false">
      <c r="AO154" s="26"/>
      <c r="AQ154" s="26"/>
      <c r="AT154" s="26"/>
      <c r="AU154" s="26"/>
      <c r="AV154" s="26"/>
      <c r="AW154" s="26"/>
    </row>
    <row r="155" customFormat="false" ht="15.75" hidden="false" customHeight="false" outlineLevel="0" collapsed="false">
      <c r="AO155" s="26"/>
      <c r="AQ155" s="26"/>
      <c r="AT155" s="26"/>
      <c r="AU155" s="26"/>
      <c r="AV155" s="26"/>
      <c r="AW155" s="26"/>
    </row>
    <row r="156" customFormat="false" ht="15.75" hidden="false" customHeight="false" outlineLevel="0" collapsed="false">
      <c r="AO156" s="26"/>
      <c r="AQ156" s="26"/>
      <c r="AT156" s="26"/>
      <c r="AU156" s="26"/>
      <c r="AV156" s="26"/>
      <c r="AW156" s="26"/>
    </row>
    <row r="157" customFormat="false" ht="15.75" hidden="false" customHeight="false" outlineLevel="0" collapsed="false">
      <c r="AO157" s="26"/>
      <c r="AQ157" s="26"/>
      <c r="AT157" s="26"/>
      <c r="AU157" s="26"/>
      <c r="AV157" s="26"/>
      <c r="AW157" s="26"/>
    </row>
    <row r="158" customFormat="false" ht="15.75" hidden="false" customHeight="false" outlineLevel="0" collapsed="false">
      <c r="AO158" s="26"/>
      <c r="AQ158" s="26"/>
      <c r="AT158" s="26"/>
      <c r="AU158" s="26"/>
      <c r="AV158" s="26"/>
      <c r="AW158" s="26"/>
    </row>
    <row r="159" customFormat="false" ht="15.75" hidden="false" customHeight="false" outlineLevel="0" collapsed="false">
      <c r="AO159" s="26"/>
      <c r="AQ159" s="26"/>
      <c r="AT159" s="26"/>
      <c r="AU159" s="26"/>
      <c r="AV159" s="26"/>
      <c r="AW159" s="26"/>
    </row>
    <row r="160" customFormat="false" ht="15.75" hidden="false" customHeight="false" outlineLevel="0" collapsed="false">
      <c r="AO160" s="26"/>
      <c r="AQ160" s="26"/>
      <c r="AT160" s="26"/>
      <c r="AU160" s="26"/>
      <c r="AV160" s="26"/>
      <c r="AW160" s="26"/>
    </row>
    <row r="161" customFormat="false" ht="15.75" hidden="false" customHeight="false" outlineLevel="0" collapsed="false">
      <c r="AO161" s="26"/>
      <c r="AQ161" s="26"/>
      <c r="AT161" s="26"/>
      <c r="AU161" s="26"/>
      <c r="AV161" s="26"/>
      <c r="AW161" s="26"/>
    </row>
    <row r="162" customFormat="false" ht="15.75" hidden="false" customHeight="false" outlineLevel="0" collapsed="false">
      <c r="AO162" s="26"/>
      <c r="AQ162" s="26"/>
      <c r="AT162" s="26"/>
      <c r="AU162" s="26"/>
      <c r="AV162" s="26"/>
      <c r="AW162" s="26"/>
    </row>
    <row r="163" customFormat="false" ht="15.75" hidden="false" customHeight="false" outlineLevel="0" collapsed="false">
      <c r="AO163" s="26"/>
      <c r="AQ163" s="26"/>
      <c r="AT163" s="26"/>
      <c r="AU163" s="26"/>
      <c r="AV163" s="26"/>
      <c r="AW163" s="26"/>
    </row>
    <row r="164" customFormat="false" ht="15.75" hidden="false" customHeight="false" outlineLevel="0" collapsed="false">
      <c r="AO164" s="26"/>
      <c r="AQ164" s="26"/>
      <c r="AT164" s="26"/>
      <c r="AU164" s="26"/>
      <c r="AV164" s="26"/>
      <c r="AW164" s="26"/>
    </row>
    <row r="165" customFormat="false" ht="15.75" hidden="false" customHeight="false" outlineLevel="0" collapsed="false">
      <c r="AO165" s="26"/>
      <c r="AQ165" s="26"/>
      <c r="AT165" s="26"/>
      <c r="AU165" s="26"/>
      <c r="AV165" s="26"/>
      <c r="AW165" s="26"/>
    </row>
    <row r="166" customFormat="false" ht="15.75" hidden="false" customHeight="false" outlineLevel="0" collapsed="false">
      <c r="AO166" s="26"/>
      <c r="AQ166" s="26"/>
      <c r="AT166" s="26"/>
      <c r="AU166" s="26"/>
      <c r="AV166" s="26"/>
      <c r="AW166" s="26"/>
    </row>
    <row r="167" customFormat="false" ht="15.75" hidden="false" customHeight="false" outlineLevel="0" collapsed="false">
      <c r="AO167" s="26"/>
      <c r="AQ167" s="26"/>
      <c r="AT167" s="26"/>
      <c r="AU167" s="26"/>
      <c r="AV167" s="26"/>
      <c r="AW167" s="26"/>
    </row>
    <row r="168" customFormat="false" ht="15.75" hidden="false" customHeight="false" outlineLevel="0" collapsed="false">
      <c r="AO168" s="26"/>
      <c r="AQ168" s="26"/>
      <c r="AT168" s="26"/>
      <c r="AU168" s="26"/>
      <c r="AV168" s="26"/>
      <c r="AW168" s="26"/>
    </row>
    <row r="169" customFormat="false" ht="15.75" hidden="false" customHeight="false" outlineLevel="0" collapsed="false">
      <c r="AO169" s="26"/>
      <c r="AQ169" s="26"/>
      <c r="AT169" s="26"/>
      <c r="AU169" s="26"/>
      <c r="AV169" s="26"/>
      <c r="AW169" s="26"/>
    </row>
    <row r="170" customFormat="false" ht="15.75" hidden="false" customHeight="false" outlineLevel="0" collapsed="false">
      <c r="AO170" s="26"/>
      <c r="AQ170" s="26"/>
      <c r="AT170" s="26"/>
      <c r="AU170" s="26"/>
      <c r="AV170" s="26"/>
      <c r="AW170" s="26"/>
    </row>
    <row r="171" customFormat="false" ht="15.75" hidden="false" customHeight="false" outlineLevel="0" collapsed="false">
      <c r="AO171" s="26"/>
      <c r="AQ171" s="26"/>
      <c r="AT171" s="26"/>
      <c r="AU171" s="26"/>
      <c r="AV171" s="26"/>
      <c r="AW171" s="26"/>
    </row>
    <row r="172" customFormat="false" ht="15.75" hidden="false" customHeight="false" outlineLevel="0" collapsed="false">
      <c r="AO172" s="26"/>
      <c r="AQ172" s="26"/>
      <c r="AT172" s="26"/>
      <c r="AU172" s="26"/>
      <c r="AV172" s="26"/>
      <c r="AW172" s="26"/>
    </row>
    <row r="173" customFormat="false" ht="15.75" hidden="false" customHeight="false" outlineLevel="0" collapsed="false">
      <c r="AO173" s="26"/>
      <c r="AQ173" s="26"/>
      <c r="AT173" s="26"/>
      <c r="AU173" s="26"/>
      <c r="AV173" s="26"/>
      <c r="AW173" s="26"/>
    </row>
    <row r="174" customFormat="false" ht="15.75" hidden="false" customHeight="false" outlineLevel="0" collapsed="false">
      <c r="AO174" s="26"/>
      <c r="AQ174" s="26"/>
      <c r="AT174" s="26"/>
      <c r="AU174" s="26"/>
      <c r="AV174" s="26"/>
      <c r="AW174" s="26"/>
    </row>
    <row r="175" customFormat="false" ht="15.75" hidden="false" customHeight="false" outlineLevel="0" collapsed="false">
      <c r="AO175" s="26"/>
      <c r="AQ175" s="26"/>
      <c r="AT175" s="26"/>
      <c r="AU175" s="26"/>
      <c r="AV175" s="26"/>
      <c r="AW175" s="26"/>
    </row>
    <row r="176" customFormat="false" ht="15.75" hidden="false" customHeight="false" outlineLevel="0" collapsed="false">
      <c r="AO176" s="26"/>
      <c r="AQ176" s="26"/>
      <c r="AT176" s="26"/>
      <c r="AU176" s="26"/>
      <c r="AV176" s="26"/>
      <c r="AW176" s="26"/>
    </row>
    <row r="177" customFormat="false" ht="15.75" hidden="false" customHeight="false" outlineLevel="0" collapsed="false">
      <c r="AO177" s="26"/>
      <c r="AQ177" s="26"/>
      <c r="AT177" s="26"/>
      <c r="AU177" s="26"/>
      <c r="AV177" s="26"/>
      <c r="AW177" s="26"/>
    </row>
    <row r="178" customFormat="false" ht="15.75" hidden="false" customHeight="false" outlineLevel="0" collapsed="false">
      <c r="AO178" s="26"/>
      <c r="AQ178" s="26"/>
      <c r="AT178" s="26"/>
      <c r="AU178" s="26"/>
      <c r="AV178" s="26"/>
      <c r="AW178" s="26"/>
    </row>
    <row r="179" customFormat="false" ht="15.75" hidden="false" customHeight="false" outlineLevel="0" collapsed="false">
      <c r="AO179" s="26"/>
      <c r="AQ179" s="26"/>
      <c r="AT179" s="26"/>
      <c r="AU179" s="26"/>
      <c r="AV179" s="26"/>
      <c r="AW179" s="26"/>
    </row>
    <row r="180" customFormat="false" ht="15.75" hidden="false" customHeight="false" outlineLevel="0" collapsed="false">
      <c r="AO180" s="26"/>
      <c r="AQ180" s="26"/>
      <c r="AT180" s="26"/>
      <c r="AU180" s="26"/>
      <c r="AV180" s="26"/>
      <c r="AW180" s="26"/>
    </row>
    <row r="181" customFormat="false" ht="15.75" hidden="false" customHeight="false" outlineLevel="0" collapsed="false">
      <c r="AO181" s="26"/>
      <c r="AQ181" s="26"/>
      <c r="AT181" s="26"/>
      <c r="AU181" s="26"/>
      <c r="AV181" s="26"/>
      <c r="AW181" s="26"/>
    </row>
    <row r="182" customFormat="false" ht="15.75" hidden="false" customHeight="false" outlineLevel="0" collapsed="false">
      <c r="AO182" s="26"/>
      <c r="AQ182" s="26"/>
      <c r="AT182" s="26"/>
      <c r="AU182" s="26"/>
      <c r="AV182" s="26"/>
      <c r="AW182" s="26"/>
    </row>
    <row r="183" customFormat="false" ht="15.75" hidden="false" customHeight="false" outlineLevel="0" collapsed="false">
      <c r="AO183" s="26"/>
      <c r="AQ183" s="26"/>
      <c r="AT183" s="26"/>
      <c r="AU183" s="26"/>
      <c r="AV183" s="26"/>
      <c r="AW183" s="26"/>
    </row>
    <row r="184" customFormat="false" ht="15.75" hidden="false" customHeight="false" outlineLevel="0" collapsed="false">
      <c r="AO184" s="26"/>
      <c r="AQ184" s="26"/>
      <c r="AT184" s="26"/>
      <c r="AU184" s="26"/>
      <c r="AV184" s="26"/>
      <c r="AW184" s="26"/>
    </row>
    <row r="185" customFormat="false" ht="15.75" hidden="false" customHeight="false" outlineLevel="0" collapsed="false">
      <c r="AO185" s="26"/>
      <c r="AQ185" s="26"/>
      <c r="AT185" s="26"/>
      <c r="AU185" s="26"/>
      <c r="AV185" s="26"/>
      <c r="AW185" s="26"/>
    </row>
    <row r="186" customFormat="false" ht="15.75" hidden="false" customHeight="false" outlineLevel="0" collapsed="false">
      <c r="AO186" s="26"/>
      <c r="AQ186" s="26"/>
      <c r="AT186" s="26"/>
      <c r="AU186" s="26"/>
      <c r="AV186" s="26"/>
      <c r="AW186" s="26"/>
    </row>
    <row r="187" customFormat="false" ht="15.75" hidden="false" customHeight="false" outlineLevel="0" collapsed="false">
      <c r="AO187" s="26"/>
      <c r="AQ187" s="26"/>
      <c r="AT187" s="26"/>
      <c r="AU187" s="26"/>
      <c r="AV187" s="26"/>
      <c r="AW187" s="26"/>
    </row>
    <row r="188" customFormat="false" ht="15.75" hidden="false" customHeight="false" outlineLevel="0" collapsed="false">
      <c r="AO188" s="26"/>
      <c r="AQ188" s="26"/>
      <c r="AT188" s="26"/>
      <c r="AU188" s="26"/>
      <c r="AV188" s="26"/>
      <c r="AW188" s="26"/>
    </row>
    <row r="189" customFormat="false" ht="15.75" hidden="false" customHeight="false" outlineLevel="0" collapsed="false">
      <c r="AO189" s="26"/>
      <c r="AQ189" s="26"/>
      <c r="AT189" s="26"/>
      <c r="AU189" s="26"/>
      <c r="AV189" s="26"/>
      <c r="AW189" s="26"/>
    </row>
    <row r="190" customFormat="false" ht="15.75" hidden="false" customHeight="false" outlineLevel="0" collapsed="false">
      <c r="AO190" s="26"/>
      <c r="AQ190" s="26"/>
      <c r="AT190" s="26"/>
      <c r="AU190" s="26"/>
      <c r="AV190" s="26"/>
      <c r="AW190" s="26"/>
    </row>
    <row r="191" customFormat="false" ht="15.75" hidden="false" customHeight="false" outlineLevel="0" collapsed="false">
      <c r="AO191" s="26"/>
      <c r="AQ191" s="26"/>
      <c r="AT191" s="26"/>
      <c r="AU191" s="26"/>
      <c r="AV191" s="26"/>
      <c r="AW191" s="26"/>
    </row>
    <row r="192" customFormat="false" ht="15.75" hidden="false" customHeight="false" outlineLevel="0" collapsed="false">
      <c r="AO192" s="26"/>
      <c r="AQ192" s="26"/>
      <c r="AT192" s="26"/>
      <c r="AU192" s="26"/>
      <c r="AV192" s="26"/>
      <c r="AW192" s="26"/>
    </row>
    <row r="193" customFormat="false" ht="15.75" hidden="false" customHeight="false" outlineLevel="0" collapsed="false">
      <c r="AO193" s="26"/>
      <c r="AQ193" s="26"/>
      <c r="AT193" s="26"/>
      <c r="AU193" s="26"/>
      <c r="AV193" s="26"/>
      <c r="AW193" s="26"/>
    </row>
    <row r="194" customFormat="false" ht="15.75" hidden="false" customHeight="false" outlineLevel="0" collapsed="false">
      <c r="AO194" s="26"/>
      <c r="AQ194" s="26"/>
      <c r="AT194" s="26"/>
      <c r="AU194" s="26"/>
      <c r="AV194" s="26"/>
      <c r="AW194" s="26"/>
    </row>
    <row r="195" customFormat="false" ht="15.75" hidden="false" customHeight="false" outlineLevel="0" collapsed="false">
      <c r="AO195" s="26"/>
      <c r="AQ195" s="26"/>
      <c r="AT195" s="26"/>
      <c r="AU195" s="26"/>
      <c r="AV195" s="26"/>
      <c r="AW195" s="26"/>
    </row>
    <row r="196" customFormat="false" ht="15.75" hidden="false" customHeight="false" outlineLevel="0" collapsed="false">
      <c r="AO196" s="26"/>
      <c r="AQ196" s="26"/>
      <c r="AT196" s="26"/>
      <c r="AU196" s="26"/>
      <c r="AV196" s="26"/>
      <c r="AW196" s="26"/>
    </row>
    <row r="197" customFormat="false" ht="15.75" hidden="false" customHeight="false" outlineLevel="0" collapsed="false">
      <c r="AO197" s="26"/>
      <c r="AQ197" s="26"/>
      <c r="AT197" s="26"/>
      <c r="AU197" s="26"/>
      <c r="AV197" s="26"/>
      <c r="AW197" s="26"/>
    </row>
    <row r="198" customFormat="false" ht="15.75" hidden="false" customHeight="false" outlineLevel="0" collapsed="false">
      <c r="AO198" s="26"/>
      <c r="AQ198" s="26"/>
      <c r="AT198" s="26"/>
      <c r="AU198" s="26"/>
      <c r="AV198" s="26"/>
      <c r="AW198" s="26"/>
    </row>
    <row r="199" customFormat="false" ht="15.75" hidden="false" customHeight="false" outlineLevel="0" collapsed="false">
      <c r="AO199" s="26"/>
      <c r="AQ199" s="26"/>
      <c r="AT199" s="26"/>
      <c r="AU199" s="26"/>
      <c r="AV199" s="26"/>
      <c r="AW199" s="26"/>
    </row>
    <row r="200" customFormat="false" ht="15.75" hidden="false" customHeight="false" outlineLevel="0" collapsed="false">
      <c r="AO200" s="26"/>
      <c r="AQ200" s="26"/>
      <c r="AT200" s="26"/>
      <c r="AU200" s="26"/>
      <c r="AV200" s="26"/>
      <c r="AW200" s="26"/>
    </row>
    <row r="201" customFormat="false" ht="15.75" hidden="false" customHeight="false" outlineLevel="0" collapsed="false">
      <c r="AO201" s="26"/>
      <c r="AQ201" s="26"/>
      <c r="AT201" s="26"/>
      <c r="AU201" s="26"/>
      <c r="AV201" s="26"/>
      <c r="AW201" s="26"/>
    </row>
    <row r="202" customFormat="false" ht="15.75" hidden="false" customHeight="false" outlineLevel="0" collapsed="false">
      <c r="AO202" s="26"/>
      <c r="AQ202" s="26"/>
      <c r="AT202" s="26"/>
      <c r="AU202" s="26"/>
      <c r="AV202" s="26"/>
      <c r="AW202" s="26"/>
    </row>
    <row r="203" customFormat="false" ht="15.75" hidden="false" customHeight="false" outlineLevel="0" collapsed="false">
      <c r="AO203" s="26"/>
      <c r="AQ203" s="26"/>
      <c r="AT203" s="26"/>
      <c r="AU203" s="26"/>
      <c r="AV203" s="26"/>
      <c r="AW203" s="26"/>
    </row>
    <row r="204" customFormat="false" ht="15.75" hidden="false" customHeight="false" outlineLevel="0" collapsed="false">
      <c r="AO204" s="26"/>
      <c r="AQ204" s="26"/>
      <c r="AT204" s="26"/>
      <c r="AU204" s="26"/>
      <c r="AV204" s="26"/>
      <c r="AW204" s="26"/>
    </row>
    <row r="205" customFormat="false" ht="15.75" hidden="false" customHeight="false" outlineLevel="0" collapsed="false">
      <c r="AO205" s="26"/>
      <c r="AQ205" s="26"/>
      <c r="AT205" s="26"/>
      <c r="AU205" s="26"/>
      <c r="AV205" s="26"/>
      <c r="AW205" s="26"/>
    </row>
    <row r="206" customFormat="false" ht="15.75" hidden="false" customHeight="false" outlineLevel="0" collapsed="false">
      <c r="AO206" s="26"/>
      <c r="AQ206" s="26"/>
      <c r="AT206" s="26"/>
      <c r="AU206" s="26"/>
      <c r="AV206" s="26"/>
      <c r="AW206" s="26"/>
    </row>
    <row r="207" customFormat="false" ht="15.75" hidden="false" customHeight="false" outlineLevel="0" collapsed="false">
      <c r="AO207" s="26"/>
      <c r="AQ207" s="26"/>
      <c r="AT207" s="26"/>
      <c r="AU207" s="26"/>
      <c r="AV207" s="26"/>
      <c r="AW207" s="26"/>
    </row>
    <row r="208" customFormat="false" ht="15.75" hidden="false" customHeight="false" outlineLevel="0" collapsed="false">
      <c r="AO208" s="26"/>
      <c r="AQ208" s="26"/>
      <c r="AT208" s="26"/>
      <c r="AU208" s="26"/>
      <c r="AV208" s="26"/>
      <c r="AW208" s="26"/>
    </row>
    <row r="209" customFormat="false" ht="15.75" hidden="false" customHeight="false" outlineLevel="0" collapsed="false">
      <c r="AO209" s="26"/>
      <c r="AQ209" s="26"/>
      <c r="AT209" s="26"/>
      <c r="AU209" s="26"/>
      <c r="AV209" s="26"/>
      <c r="AW209" s="26"/>
    </row>
    <row r="210" customFormat="false" ht="15.75" hidden="false" customHeight="false" outlineLevel="0" collapsed="false">
      <c r="AO210" s="26"/>
      <c r="AQ210" s="26"/>
      <c r="AT210" s="26"/>
      <c r="AU210" s="26"/>
      <c r="AV210" s="26"/>
      <c r="AW210" s="26"/>
    </row>
    <row r="211" customFormat="false" ht="15.75" hidden="false" customHeight="false" outlineLevel="0" collapsed="false">
      <c r="AO211" s="26"/>
      <c r="AQ211" s="26"/>
      <c r="AT211" s="26"/>
      <c r="AU211" s="26"/>
      <c r="AV211" s="26"/>
      <c r="AW211" s="26"/>
    </row>
    <row r="212" customFormat="false" ht="15.75" hidden="false" customHeight="false" outlineLevel="0" collapsed="false">
      <c r="AO212" s="26"/>
      <c r="AQ212" s="26"/>
      <c r="AT212" s="26"/>
      <c r="AU212" s="26"/>
      <c r="AV212" s="26"/>
      <c r="AW212" s="26"/>
    </row>
    <row r="213" customFormat="false" ht="15.75" hidden="false" customHeight="false" outlineLevel="0" collapsed="false">
      <c r="AO213" s="26"/>
      <c r="AQ213" s="26"/>
      <c r="AT213" s="26"/>
      <c r="AU213" s="26"/>
      <c r="AV213" s="26"/>
      <c r="AW213" s="26"/>
    </row>
    <row r="214" customFormat="false" ht="15.75" hidden="false" customHeight="false" outlineLevel="0" collapsed="false">
      <c r="AO214" s="26"/>
      <c r="AQ214" s="26"/>
      <c r="AT214" s="26"/>
      <c r="AU214" s="26"/>
      <c r="AV214" s="26"/>
      <c r="AW214" s="26"/>
    </row>
    <row r="215" customFormat="false" ht="15.75" hidden="false" customHeight="false" outlineLevel="0" collapsed="false">
      <c r="AO215" s="26"/>
      <c r="AQ215" s="26"/>
      <c r="AT215" s="26"/>
      <c r="AU215" s="26"/>
      <c r="AV215" s="26"/>
      <c r="AW215" s="26"/>
    </row>
    <row r="216" customFormat="false" ht="15.75" hidden="false" customHeight="false" outlineLevel="0" collapsed="false">
      <c r="AO216" s="26"/>
      <c r="AQ216" s="26"/>
      <c r="AT216" s="26"/>
      <c r="AU216" s="26"/>
      <c r="AV216" s="26"/>
      <c r="AW216" s="26"/>
    </row>
    <row r="217" customFormat="false" ht="15.75" hidden="false" customHeight="false" outlineLevel="0" collapsed="false">
      <c r="AO217" s="26"/>
      <c r="AQ217" s="26"/>
      <c r="AT217" s="26"/>
      <c r="AU217" s="26"/>
      <c r="AV217" s="26"/>
      <c r="AW217" s="26"/>
    </row>
    <row r="218" customFormat="false" ht="15.75" hidden="false" customHeight="false" outlineLevel="0" collapsed="false">
      <c r="AO218" s="26"/>
      <c r="AQ218" s="26"/>
      <c r="AT218" s="26"/>
      <c r="AU218" s="26"/>
      <c r="AV218" s="26"/>
      <c r="AW218" s="26"/>
    </row>
    <row r="219" customFormat="false" ht="15.75" hidden="false" customHeight="false" outlineLevel="0" collapsed="false">
      <c r="AO219" s="26"/>
      <c r="AQ219" s="26"/>
      <c r="AT219" s="26"/>
      <c r="AU219" s="26"/>
      <c r="AV219" s="26"/>
      <c r="AW219" s="26"/>
    </row>
    <row r="220" customFormat="false" ht="15.75" hidden="false" customHeight="false" outlineLevel="0" collapsed="false">
      <c r="AO220" s="26"/>
      <c r="AQ220" s="26"/>
      <c r="AT220" s="26"/>
      <c r="AU220" s="26"/>
      <c r="AV220" s="26"/>
      <c r="AW220" s="26"/>
    </row>
    <row r="221" customFormat="false" ht="15.75" hidden="false" customHeight="false" outlineLevel="0" collapsed="false">
      <c r="AO221" s="26"/>
      <c r="AQ221" s="26"/>
      <c r="AT221" s="26"/>
      <c r="AU221" s="26"/>
      <c r="AV221" s="26"/>
      <c r="AW221" s="26"/>
    </row>
    <row r="222" customFormat="false" ht="15.75" hidden="false" customHeight="false" outlineLevel="0" collapsed="false">
      <c r="AO222" s="26"/>
      <c r="AQ222" s="26"/>
      <c r="AT222" s="26"/>
      <c r="AU222" s="26"/>
      <c r="AV222" s="26"/>
      <c r="AW222" s="26"/>
    </row>
    <row r="223" customFormat="false" ht="15.75" hidden="false" customHeight="false" outlineLevel="0" collapsed="false">
      <c r="AO223" s="26"/>
      <c r="AQ223" s="26"/>
      <c r="AT223" s="26"/>
      <c r="AU223" s="26"/>
      <c r="AV223" s="26"/>
      <c r="AW223" s="26"/>
    </row>
    <row r="224" customFormat="false" ht="15.75" hidden="false" customHeight="false" outlineLevel="0" collapsed="false">
      <c r="AO224" s="26"/>
      <c r="AQ224" s="26"/>
      <c r="AT224" s="26"/>
      <c r="AU224" s="26"/>
      <c r="AV224" s="26"/>
      <c r="AW224" s="26"/>
    </row>
    <row r="225" customFormat="false" ht="15.75" hidden="false" customHeight="false" outlineLevel="0" collapsed="false">
      <c r="AO225" s="26"/>
      <c r="AQ225" s="26"/>
      <c r="AT225" s="26"/>
      <c r="AU225" s="26"/>
      <c r="AV225" s="26"/>
      <c r="AW225" s="26"/>
    </row>
    <row r="226" customFormat="false" ht="15.75" hidden="false" customHeight="false" outlineLevel="0" collapsed="false">
      <c r="AO226" s="26"/>
      <c r="AQ226" s="26"/>
      <c r="AT226" s="26"/>
      <c r="AU226" s="26"/>
      <c r="AV226" s="26"/>
      <c r="AW226" s="26"/>
    </row>
    <row r="227" customFormat="false" ht="15.75" hidden="false" customHeight="false" outlineLevel="0" collapsed="false">
      <c r="AO227" s="26"/>
      <c r="AQ227" s="26"/>
      <c r="AT227" s="26"/>
      <c r="AU227" s="26"/>
      <c r="AV227" s="26"/>
      <c r="AW227" s="26"/>
    </row>
    <row r="228" customFormat="false" ht="15.75" hidden="false" customHeight="false" outlineLevel="0" collapsed="false">
      <c r="AO228" s="26"/>
      <c r="AQ228" s="26"/>
      <c r="AT228" s="26"/>
      <c r="AU228" s="26"/>
      <c r="AV228" s="26"/>
      <c r="AW228" s="26"/>
    </row>
    <row r="229" customFormat="false" ht="15.75" hidden="false" customHeight="false" outlineLevel="0" collapsed="false">
      <c r="AO229" s="26"/>
      <c r="AQ229" s="26"/>
      <c r="AT229" s="26"/>
      <c r="AU229" s="26"/>
      <c r="AV229" s="26"/>
      <c r="AW229" s="26"/>
    </row>
    <row r="230" customFormat="false" ht="15.75" hidden="false" customHeight="false" outlineLevel="0" collapsed="false">
      <c r="AO230" s="26"/>
      <c r="AQ230" s="26"/>
      <c r="AT230" s="26"/>
      <c r="AU230" s="26"/>
      <c r="AV230" s="26"/>
      <c r="AW230" s="26"/>
    </row>
    <row r="231" customFormat="false" ht="15.75" hidden="false" customHeight="false" outlineLevel="0" collapsed="false">
      <c r="AO231" s="26"/>
      <c r="AQ231" s="26"/>
      <c r="AT231" s="26"/>
      <c r="AU231" s="26"/>
      <c r="AV231" s="26"/>
      <c r="AW231" s="26"/>
    </row>
    <row r="232" customFormat="false" ht="15.75" hidden="false" customHeight="false" outlineLevel="0" collapsed="false">
      <c r="AO232" s="26"/>
      <c r="AQ232" s="26"/>
      <c r="AT232" s="26"/>
      <c r="AU232" s="26"/>
      <c r="AV232" s="26"/>
      <c r="AW232" s="26"/>
    </row>
    <row r="233" customFormat="false" ht="15.75" hidden="false" customHeight="false" outlineLevel="0" collapsed="false">
      <c r="AO233" s="26"/>
      <c r="AQ233" s="26"/>
      <c r="AT233" s="26"/>
      <c r="AU233" s="26"/>
      <c r="AV233" s="26"/>
      <c r="AW233" s="26"/>
    </row>
    <row r="234" customFormat="false" ht="15.75" hidden="false" customHeight="false" outlineLevel="0" collapsed="false">
      <c r="AO234" s="26"/>
      <c r="AQ234" s="26"/>
      <c r="AT234" s="26"/>
      <c r="AU234" s="26"/>
      <c r="AV234" s="26"/>
      <c r="AW234" s="26"/>
    </row>
    <row r="235" customFormat="false" ht="15.75" hidden="false" customHeight="false" outlineLevel="0" collapsed="false">
      <c r="AO235" s="26"/>
      <c r="AQ235" s="26"/>
      <c r="AT235" s="26"/>
      <c r="AU235" s="26"/>
      <c r="AV235" s="26"/>
      <c r="AW235" s="26"/>
    </row>
    <row r="236" customFormat="false" ht="15.75" hidden="false" customHeight="false" outlineLevel="0" collapsed="false">
      <c r="AO236" s="26"/>
      <c r="AQ236" s="26"/>
      <c r="AT236" s="26"/>
      <c r="AU236" s="26"/>
      <c r="AV236" s="26"/>
      <c r="AW236" s="26"/>
    </row>
    <row r="237" customFormat="false" ht="15.75" hidden="false" customHeight="false" outlineLevel="0" collapsed="false">
      <c r="AO237" s="26"/>
      <c r="AQ237" s="26"/>
      <c r="AT237" s="26"/>
      <c r="AU237" s="26"/>
      <c r="AV237" s="26"/>
      <c r="AW237" s="26"/>
    </row>
    <row r="238" customFormat="false" ht="15.75" hidden="false" customHeight="false" outlineLevel="0" collapsed="false">
      <c r="AO238" s="26"/>
      <c r="AQ238" s="26"/>
      <c r="AT238" s="26"/>
      <c r="AU238" s="26"/>
      <c r="AV238" s="26"/>
      <c r="AW238" s="26"/>
    </row>
    <row r="239" customFormat="false" ht="15.75" hidden="false" customHeight="false" outlineLevel="0" collapsed="false">
      <c r="AO239" s="26"/>
      <c r="AQ239" s="26"/>
      <c r="AT239" s="26"/>
      <c r="AU239" s="26"/>
      <c r="AV239" s="26"/>
      <c r="AW239" s="26"/>
    </row>
    <row r="240" customFormat="false" ht="15.75" hidden="false" customHeight="false" outlineLevel="0" collapsed="false">
      <c r="AO240" s="26"/>
      <c r="AQ240" s="26"/>
      <c r="AT240" s="26"/>
      <c r="AU240" s="26"/>
      <c r="AV240" s="26"/>
      <c r="AW240" s="26"/>
    </row>
    <row r="241" customFormat="false" ht="15.75" hidden="false" customHeight="false" outlineLevel="0" collapsed="false">
      <c r="AO241" s="26"/>
      <c r="AQ241" s="26"/>
      <c r="AT241" s="26"/>
      <c r="AU241" s="26"/>
      <c r="AV241" s="26"/>
      <c r="AW241" s="26"/>
    </row>
    <row r="242" customFormat="false" ht="15.75" hidden="false" customHeight="false" outlineLevel="0" collapsed="false">
      <c r="AO242" s="26"/>
      <c r="AQ242" s="26"/>
      <c r="AT242" s="26"/>
      <c r="AU242" s="26"/>
      <c r="AV242" s="26"/>
      <c r="AW242" s="26"/>
    </row>
    <row r="243" customFormat="false" ht="15.75" hidden="false" customHeight="false" outlineLevel="0" collapsed="false">
      <c r="AO243" s="26"/>
      <c r="AQ243" s="26"/>
      <c r="AT243" s="26"/>
      <c r="AU243" s="26"/>
      <c r="AV243" s="26"/>
      <c r="AW243" s="26"/>
    </row>
    <row r="244" customFormat="false" ht="15.75" hidden="false" customHeight="false" outlineLevel="0" collapsed="false">
      <c r="AO244" s="26"/>
      <c r="AQ244" s="26"/>
      <c r="AT244" s="26"/>
      <c r="AU244" s="26"/>
      <c r="AV244" s="26"/>
      <c r="AW244" s="26"/>
    </row>
    <row r="245" customFormat="false" ht="15.75" hidden="false" customHeight="false" outlineLevel="0" collapsed="false">
      <c r="AO245" s="26"/>
      <c r="AQ245" s="26"/>
      <c r="AT245" s="26"/>
      <c r="AU245" s="26"/>
      <c r="AV245" s="26"/>
      <c r="AW245" s="26"/>
    </row>
    <row r="246" customFormat="false" ht="15.75" hidden="false" customHeight="false" outlineLevel="0" collapsed="false">
      <c r="AO246" s="26"/>
      <c r="AQ246" s="26"/>
      <c r="AT246" s="26"/>
      <c r="AU246" s="26"/>
      <c r="AV246" s="26"/>
      <c r="AW246" s="26"/>
    </row>
    <row r="247" customFormat="false" ht="15.75" hidden="false" customHeight="false" outlineLevel="0" collapsed="false">
      <c r="AO247" s="26"/>
      <c r="AQ247" s="26"/>
      <c r="AT247" s="26"/>
      <c r="AU247" s="26"/>
      <c r="AV247" s="26"/>
      <c r="AW247" s="26"/>
    </row>
    <row r="248" customFormat="false" ht="15.75" hidden="false" customHeight="false" outlineLevel="0" collapsed="false">
      <c r="AO248" s="26"/>
      <c r="AQ248" s="26"/>
      <c r="AT248" s="26"/>
      <c r="AU248" s="26"/>
      <c r="AV248" s="26"/>
      <c r="AW248" s="26"/>
    </row>
    <row r="249" customFormat="false" ht="15.75" hidden="false" customHeight="false" outlineLevel="0" collapsed="false">
      <c r="AO249" s="26"/>
      <c r="AQ249" s="26"/>
      <c r="AT249" s="26"/>
      <c r="AU249" s="26"/>
      <c r="AV249" s="26"/>
      <c r="AW249" s="26"/>
    </row>
    <row r="250" customFormat="false" ht="15.75" hidden="false" customHeight="false" outlineLevel="0" collapsed="false">
      <c r="AO250" s="26"/>
      <c r="AQ250" s="26"/>
      <c r="AT250" s="26"/>
      <c r="AU250" s="26"/>
      <c r="AV250" s="26"/>
      <c r="AW250" s="26"/>
    </row>
    <row r="251" customFormat="false" ht="15.75" hidden="false" customHeight="false" outlineLevel="0" collapsed="false">
      <c r="AO251" s="26"/>
      <c r="AQ251" s="26"/>
      <c r="AT251" s="26"/>
      <c r="AU251" s="26"/>
      <c r="AV251" s="26"/>
      <c r="AW251" s="26"/>
    </row>
    <row r="252" customFormat="false" ht="15.75" hidden="false" customHeight="false" outlineLevel="0" collapsed="false">
      <c r="AO252" s="26"/>
      <c r="AQ252" s="26"/>
      <c r="AT252" s="26"/>
      <c r="AU252" s="26"/>
      <c r="AV252" s="26"/>
      <c r="AW252" s="26"/>
    </row>
    <row r="253" customFormat="false" ht="15.75" hidden="false" customHeight="false" outlineLevel="0" collapsed="false">
      <c r="AO253" s="26"/>
      <c r="AQ253" s="26"/>
      <c r="AT253" s="26"/>
      <c r="AU253" s="26"/>
      <c r="AV253" s="26"/>
      <c r="AW253" s="26"/>
    </row>
    <row r="254" customFormat="false" ht="15.75" hidden="false" customHeight="false" outlineLevel="0" collapsed="false">
      <c r="AO254" s="26"/>
      <c r="AQ254" s="26"/>
      <c r="AT254" s="26"/>
      <c r="AU254" s="26"/>
      <c r="AV254" s="26"/>
      <c r="AW254" s="26"/>
    </row>
    <row r="255" customFormat="false" ht="15.75" hidden="false" customHeight="false" outlineLevel="0" collapsed="false">
      <c r="AO255" s="26"/>
      <c r="AQ255" s="26"/>
      <c r="AT255" s="26"/>
      <c r="AU255" s="26"/>
      <c r="AV255" s="26"/>
      <c r="AW255" s="26"/>
    </row>
    <row r="256" customFormat="false" ht="15.75" hidden="false" customHeight="false" outlineLevel="0" collapsed="false">
      <c r="AO256" s="26"/>
      <c r="AQ256" s="26"/>
      <c r="AT256" s="26"/>
      <c r="AU256" s="26"/>
      <c r="AV256" s="26"/>
      <c r="AW256" s="26"/>
    </row>
    <row r="257" customFormat="false" ht="15.75" hidden="false" customHeight="false" outlineLevel="0" collapsed="false">
      <c r="AO257" s="26"/>
      <c r="AQ257" s="26"/>
      <c r="AT257" s="26"/>
      <c r="AU257" s="26"/>
      <c r="AV257" s="26"/>
      <c r="AW257" s="26"/>
    </row>
    <row r="258" customFormat="false" ht="15.75" hidden="false" customHeight="false" outlineLevel="0" collapsed="false">
      <c r="AO258" s="26"/>
      <c r="AQ258" s="26"/>
      <c r="AT258" s="26"/>
      <c r="AU258" s="26"/>
      <c r="AV258" s="26"/>
      <c r="AW258" s="26"/>
    </row>
    <row r="259" customFormat="false" ht="15.75" hidden="false" customHeight="false" outlineLevel="0" collapsed="false">
      <c r="AO259" s="26"/>
      <c r="AQ259" s="26"/>
      <c r="AT259" s="26"/>
      <c r="AU259" s="26"/>
      <c r="AV259" s="26"/>
      <c r="AW259" s="26"/>
    </row>
    <row r="260" customFormat="false" ht="15.75" hidden="false" customHeight="false" outlineLevel="0" collapsed="false">
      <c r="AO260" s="26"/>
      <c r="AQ260" s="26"/>
      <c r="AT260" s="26"/>
      <c r="AU260" s="26"/>
      <c r="AV260" s="26"/>
      <c r="AW260" s="26"/>
    </row>
    <row r="261" customFormat="false" ht="15.75" hidden="false" customHeight="false" outlineLevel="0" collapsed="false">
      <c r="AO261" s="26"/>
      <c r="AQ261" s="26"/>
      <c r="AT261" s="26"/>
      <c r="AU261" s="26"/>
      <c r="AV261" s="26"/>
      <c r="AW261" s="26"/>
    </row>
    <row r="262" customFormat="false" ht="15.75" hidden="false" customHeight="false" outlineLevel="0" collapsed="false">
      <c r="AO262" s="26"/>
      <c r="AQ262" s="26"/>
      <c r="AT262" s="26"/>
      <c r="AU262" s="26"/>
      <c r="AV262" s="26"/>
      <c r="AW262" s="26"/>
    </row>
    <row r="263" customFormat="false" ht="15.75" hidden="false" customHeight="false" outlineLevel="0" collapsed="false">
      <c r="AO263" s="26"/>
      <c r="AQ263" s="26"/>
      <c r="AT263" s="26"/>
      <c r="AU263" s="26"/>
      <c r="AV263" s="26"/>
      <c r="AW263" s="26"/>
    </row>
    <row r="264" customFormat="false" ht="15.75" hidden="false" customHeight="false" outlineLevel="0" collapsed="false">
      <c r="AO264" s="26"/>
      <c r="AQ264" s="26"/>
      <c r="AT264" s="26"/>
      <c r="AU264" s="26"/>
      <c r="AV264" s="26"/>
      <c r="AW264" s="26"/>
    </row>
    <row r="265" customFormat="false" ht="15.75" hidden="false" customHeight="false" outlineLevel="0" collapsed="false">
      <c r="AO265" s="26"/>
      <c r="AQ265" s="26"/>
      <c r="AT265" s="26"/>
      <c r="AU265" s="26"/>
      <c r="AV265" s="26"/>
      <c r="AW265" s="26"/>
    </row>
    <row r="266" customFormat="false" ht="15.75" hidden="false" customHeight="false" outlineLevel="0" collapsed="false">
      <c r="AO266" s="26"/>
      <c r="AQ266" s="26"/>
      <c r="AT266" s="26"/>
      <c r="AU266" s="26"/>
      <c r="AV266" s="26"/>
      <c r="AW266" s="26"/>
    </row>
    <row r="267" customFormat="false" ht="15.75" hidden="false" customHeight="false" outlineLevel="0" collapsed="false">
      <c r="AO267" s="26"/>
      <c r="AQ267" s="26"/>
      <c r="AT267" s="26"/>
      <c r="AU267" s="26"/>
      <c r="AV267" s="26"/>
      <c r="AW267" s="26"/>
    </row>
    <row r="268" customFormat="false" ht="15.75" hidden="false" customHeight="false" outlineLevel="0" collapsed="false">
      <c r="AO268" s="26"/>
      <c r="AQ268" s="26"/>
      <c r="AT268" s="26"/>
      <c r="AU268" s="26"/>
      <c r="AV268" s="26"/>
      <c r="AW268" s="26"/>
    </row>
    <row r="269" customFormat="false" ht="15.75" hidden="false" customHeight="false" outlineLevel="0" collapsed="false">
      <c r="AO269" s="26"/>
      <c r="AQ269" s="26"/>
      <c r="AT269" s="26"/>
      <c r="AU269" s="26"/>
      <c r="AV269" s="26"/>
      <c r="AW269" s="26"/>
    </row>
    <row r="270" customFormat="false" ht="15.75" hidden="false" customHeight="false" outlineLevel="0" collapsed="false">
      <c r="AO270" s="26"/>
      <c r="AQ270" s="26"/>
      <c r="AT270" s="26"/>
      <c r="AU270" s="26"/>
      <c r="AV270" s="26"/>
      <c r="AW270" s="26"/>
    </row>
    <row r="271" customFormat="false" ht="15.75" hidden="false" customHeight="false" outlineLevel="0" collapsed="false">
      <c r="AO271" s="26"/>
      <c r="AQ271" s="26"/>
      <c r="AT271" s="26"/>
      <c r="AU271" s="26"/>
      <c r="AV271" s="26"/>
      <c r="AW271" s="26"/>
    </row>
    <row r="272" customFormat="false" ht="15.75" hidden="false" customHeight="false" outlineLevel="0" collapsed="false">
      <c r="AO272" s="26"/>
      <c r="AQ272" s="26"/>
      <c r="AT272" s="26"/>
      <c r="AU272" s="26"/>
      <c r="AV272" s="26"/>
      <c r="AW272" s="26"/>
    </row>
    <row r="273" customFormat="false" ht="15.75" hidden="false" customHeight="false" outlineLevel="0" collapsed="false">
      <c r="AO273" s="26"/>
      <c r="AQ273" s="26"/>
      <c r="AT273" s="26"/>
      <c r="AU273" s="26"/>
      <c r="AV273" s="26"/>
      <c r="AW273" s="26"/>
    </row>
    <row r="274" customFormat="false" ht="15.75" hidden="false" customHeight="false" outlineLevel="0" collapsed="false">
      <c r="AO274" s="26"/>
      <c r="AQ274" s="26"/>
      <c r="AT274" s="26"/>
      <c r="AU274" s="26"/>
      <c r="AV274" s="26"/>
      <c r="AW274" s="26"/>
    </row>
    <row r="275" customFormat="false" ht="15.75" hidden="false" customHeight="false" outlineLevel="0" collapsed="false">
      <c r="AO275" s="26"/>
      <c r="AQ275" s="26"/>
      <c r="AT275" s="26"/>
      <c r="AU275" s="26"/>
      <c r="AV275" s="26"/>
      <c r="AW275" s="26"/>
    </row>
    <row r="276" customFormat="false" ht="15.75" hidden="false" customHeight="false" outlineLevel="0" collapsed="false">
      <c r="AO276" s="26"/>
      <c r="AQ276" s="26"/>
      <c r="AT276" s="26"/>
      <c r="AU276" s="26"/>
      <c r="AV276" s="26"/>
      <c r="AW276" s="26"/>
    </row>
    <row r="277" customFormat="false" ht="15.75" hidden="false" customHeight="false" outlineLevel="0" collapsed="false">
      <c r="AO277" s="26"/>
      <c r="AQ277" s="26"/>
      <c r="AT277" s="26"/>
      <c r="AU277" s="26"/>
      <c r="AV277" s="26"/>
      <c r="AW277" s="26"/>
    </row>
    <row r="278" customFormat="false" ht="15.75" hidden="false" customHeight="false" outlineLevel="0" collapsed="false">
      <c r="AO278" s="26"/>
      <c r="AQ278" s="26"/>
      <c r="AT278" s="26"/>
      <c r="AU278" s="26"/>
      <c r="AV278" s="26"/>
      <c r="AW278" s="26"/>
    </row>
    <row r="279" customFormat="false" ht="15.75" hidden="false" customHeight="false" outlineLevel="0" collapsed="false">
      <c r="AO279" s="26"/>
      <c r="AQ279" s="26"/>
      <c r="AT279" s="26"/>
      <c r="AU279" s="26"/>
      <c r="AV279" s="26"/>
      <c r="AW279" s="26"/>
    </row>
    <row r="280" customFormat="false" ht="15.75" hidden="false" customHeight="false" outlineLevel="0" collapsed="false">
      <c r="AO280" s="26"/>
      <c r="AQ280" s="26"/>
      <c r="AT280" s="26"/>
      <c r="AU280" s="26"/>
      <c r="AV280" s="26"/>
      <c r="AW280" s="26"/>
    </row>
    <row r="281" customFormat="false" ht="15.75" hidden="false" customHeight="false" outlineLevel="0" collapsed="false">
      <c r="AO281" s="26"/>
      <c r="AQ281" s="26"/>
      <c r="AT281" s="26"/>
      <c r="AU281" s="26"/>
      <c r="AV281" s="26"/>
      <c r="AW281" s="26"/>
    </row>
    <row r="282" customFormat="false" ht="15.75" hidden="false" customHeight="false" outlineLevel="0" collapsed="false">
      <c r="AO282" s="26"/>
      <c r="AQ282" s="26"/>
      <c r="AT282" s="26"/>
      <c r="AU282" s="26"/>
      <c r="AV282" s="26"/>
      <c r="AW282" s="26"/>
    </row>
    <row r="283" customFormat="false" ht="15.75" hidden="false" customHeight="false" outlineLevel="0" collapsed="false">
      <c r="AO283" s="26"/>
      <c r="AQ283" s="26"/>
      <c r="AT283" s="26"/>
      <c r="AU283" s="26"/>
      <c r="AV283" s="26"/>
      <c r="AW283" s="26"/>
    </row>
    <row r="284" customFormat="false" ht="15.75" hidden="false" customHeight="false" outlineLevel="0" collapsed="false">
      <c r="AO284" s="26"/>
      <c r="AQ284" s="26"/>
      <c r="AT284" s="26"/>
      <c r="AU284" s="26"/>
      <c r="AV284" s="26"/>
      <c r="AW284" s="26"/>
    </row>
    <row r="285" customFormat="false" ht="15.75" hidden="false" customHeight="false" outlineLevel="0" collapsed="false">
      <c r="AO285" s="26"/>
      <c r="AQ285" s="26"/>
      <c r="AT285" s="26"/>
      <c r="AU285" s="26"/>
      <c r="AV285" s="26"/>
      <c r="AW285" s="26"/>
    </row>
    <row r="286" customFormat="false" ht="15.75" hidden="false" customHeight="false" outlineLevel="0" collapsed="false">
      <c r="AO286" s="26"/>
      <c r="AQ286" s="26"/>
      <c r="AT286" s="26"/>
      <c r="AU286" s="26"/>
      <c r="AV286" s="26"/>
      <c r="AW286" s="26"/>
    </row>
    <row r="287" customFormat="false" ht="15.75" hidden="false" customHeight="false" outlineLevel="0" collapsed="false">
      <c r="AO287" s="26"/>
      <c r="AQ287" s="26"/>
      <c r="AT287" s="26"/>
      <c r="AU287" s="26"/>
      <c r="AV287" s="26"/>
      <c r="AW287" s="26"/>
    </row>
    <row r="288" customFormat="false" ht="15.75" hidden="false" customHeight="false" outlineLevel="0" collapsed="false">
      <c r="AO288" s="26"/>
      <c r="AQ288" s="26"/>
      <c r="AT288" s="26"/>
      <c r="AU288" s="26"/>
      <c r="AV288" s="26"/>
      <c r="AW288" s="26"/>
    </row>
    <row r="289" customFormat="false" ht="15.75" hidden="false" customHeight="false" outlineLevel="0" collapsed="false">
      <c r="AO289" s="26"/>
      <c r="AQ289" s="26"/>
      <c r="AT289" s="26"/>
      <c r="AU289" s="26"/>
      <c r="AV289" s="26"/>
      <c r="AW289" s="26"/>
    </row>
    <row r="290" customFormat="false" ht="15.75" hidden="false" customHeight="false" outlineLevel="0" collapsed="false">
      <c r="AO290" s="26"/>
      <c r="AQ290" s="26"/>
      <c r="AT290" s="26"/>
      <c r="AU290" s="26"/>
      <c r="AV290" s="26"/>
      <c r="AW290" s="26"/>
    </row>
    <row r="291" customFormat="false" ht="15.75" hidden="false" customHeight="false" outlineLevel="0" collapsed="false">
      <c r="AO291" s="26"/>
      <c r="AQ291" s="26"/>
      <c r="AT291" s="26"/>
      <c r="AU291" s="26"/>
      <c r="AV291" s="26"/>
      <c r="AW291" s="26"/>
    </row>
    <row r="292" customFormat="false" ht="15.75" hidden="false" customHeight="false" outlineLevel="0" collapsed="false">
      <c r="AO292" s="26"/>
      <c r="AQ292" s="26"/>
      <c r="AT292" s="26"/>
      <c r="AU292" s="26"/>
      <c r="AV292" s="26"/>
      <c r="AW292" s="26"/>
    </row>
    <row r="293" customFormat="false" ht="15.75" hidden="false" customHeight="false" outlineLevel="0" collapsed="false">
      <c r="AO293" s="26"/>
      <c r="AQ293" s="26"/>
      <c r="AT293" s="26"/>
      <c r="AU293" s="26"/>
      <c r="AV293" s="26"/>
      <c r="AW293" s="26"/>
    </row>
    <row r="294" customFormat="false" ht="15.75" hidden="false" customHeight="false" outlineLevel="0" collapsed="false">
      <c r="AO294" s="26"/>
      <c r="AQ294" s="26"/>
      <c r="AT294" s="26"/>
      <c r="AU294" s="26"/>
      <c r="AV294" s="26"/>
      <c r="AW294" s="26"/>
    </row>
    <row r="295" customFormat="false" ht="15.75" hidden="false" customHeight="false" outlineLevel="0" collapsed="false">
      <c r="AO295" s="26"/>
      <c r="AQ295" s="26"/>
      <c r="AT295" s="26"/>
      <c r="AU295" s="26"/>
      <c r="AV295" s="26"/>
      <c r="AW295" s="26"/>
    </row>
    <row r="296" customFormat="false" ht="15.75" hidden="false" customHeight="false" outlineLevel="0" collapsed="false">
      <c r="AO296" s="26"/>
      <c r="AQ296" s="26"/>
      <c r="AT296" s="26"/>
      <c r="AU296" s="26"/>
      <c r="AV296" s="26"/>
      <c r="AW296" s="26"/>
    </row>
    <row r="297" customFormat="false" ht="15.75" hidden="false" customHeight="false" outlineLevel="0" collapsed="false">
      <c r="AO297" s="26"/>
      <c r="AQ297" s="26"/>
      <c r="AT297" s="26"/>
      <c r="AU297" s="26"/>
      <c r="AV297" s="26"/>
      <c r="AW297" s="26"/>
    </row>
    <row r="298" customFormat="false" ht="15.75" hidden="false" customHeight="false" outlineLevel="0" collapsed="false">
      <c r="AO298" s="26"/>
      <c r="AQ298" s="26"/>
      <c r="AT298" s="26"/>
      <c r="AU298" s="26"/>
      <c r="AV298" s="26"/>
      <c r="AW298" s="26"/>
    </row>
    <row r="299" customFormat="false" ht="15.75" hidden="false" customHeight="false" outlineLevel="0" collapsed="false">
      <c r="AO299" s="26"/>
      <c r="AQ299" s="26"/>
      <c r="AT299" s="26"/>
      <c r="AU299" s="26"/>
      <c r="AV299" s="26"/>
      <c r="AW299" s="26"/>
    </row>
    <row r="300" customFormat="false" ht="15.75" hidden="false" customHeight="false" outlineLevel="0" collapsed="false">
      <c r="AO300" s="26"/>
      <c r="AQ300" s="26"/>
      <c r="AT300" s="26"/>
      <c r="AU300" s="26"/>
      <c r="AV300" s="26"/>
      <c r="AW300" s="26"/>
    </row>
    <row r="301" customFormat="false" ht="15.75" hidden="false" customHeight="false" outlineLevel="0" collapsed="false">
      <c r="AO301" s="26"/>
      <c r="AQ301" s="26"/>
      <c r="AT301" s="26"/>
      <c r="AU301" s="26"/>
      <c r="AV301" s="26"/>
      <c r="AW301" s="26"/>
    </row>
    <row r="302" customFormat="false" ht="15.75" hidden="false" customHeight="false" outlineLevel="0" collapsed="false">
      <c r="AO302" s="26"/>
      <c r="AQ302" s="26"/>
      <c r="AT302" s="26"/>
      <c r="AU302" s="26"/>
      <c r="AV302" s="26"/>
      <c r="AW302" s="26"/>
    </row>
    <row r="303" customFormat="false" ht="15.75" hidden="false" customHeight="false" outlineLevel="0" collapsed="false">
      <c r="AO303" s="26"/>
      <c r="AQ303" s="26"/>
      <c r="AT303" s="26"/>
      <c r="AU303" s="26"/>
      <c r="AV303" s="26"/>
      <c r="AW303" s="26"/>
    </row>
    <row r="304" customFormat="false" ht="15.75" hidden="false" customHeight="false" outlineLevel="0" collapsed="false">
      <c r="AO304" s="26"/>
      <c r="AQ304" s="26"/>
      <c r="AT304" s="26"/>
      <c r="AU304" s="26"/>
      <c r="AV304" s="26"/>
      <c r="AW304" s="26"/>
    </row>
    <row r="305" customFormat="false" ht="15.75" hidden="false" customHeight="false" outlineLevel="0" collapsed="false">
      <c r="AO305" s="26"/>
      <c r="AQ305" s="26"/>
      <c r="AT305" s="26"/>
      <c r="AU305" s="26"/>
      <c r="AV305" s="26"/>
      <c r="AW305" s="26"/>
    </row>
    <row r="306" customFormat="false" ht="15.75" hidden="false" customHeight="false" outlineLevel="0" collapsed="false">
      <c r="AO306" s="26"/>
      <c r="AQ306" s="26"/>
      <c r="AT306" s="26"/>
      <c r="AU306" s="26"/>
      <c r="AV306" s="26"/>
      <c r="AW306" s="26"/>
    </row>
    <row r="307" customFormat="false" ht="15.75" hidden="false" customHeight="false" outlineLevel="0" collapsed="false">
      <c r="AO307" s="26"/>
      <c r="AQ307" s="26"/>
      <c r="AT307" s="26"/>
      <c r="AU307" s="26"/>
      <c r="AV307" s="26"/>
      <c r="AW307" s="26"/>
    </row>
    <row r="308" customFormat="false" ht="15.75" hidden="false" customHeight="false" outlineLevel="0" collapsed="false">
      <c r="AO308" s="26"/>
      <c r="AQ308" s="26"/>
      <c r="AT308" s="26"/>
      <c r="AU308" s="26"/>
      <c r="AV308" s="26"/>
      <c r="AW308" s="26"/>
    </row>
    <row r="309" customFormat="false" ht="15.75" hidden="false" customHeight="false" outlineLevel="0" collapsed="false">
      <c r="AO309" s="26"/>
      <c r="AQ309" s="26"/>
      <c r="AT309" s="26"/>
      <c r="AU309" s="26"/>
      <c r="AV309" s="26"/>
      <c r="AW309" s="26"/>
    </row>
    <row r="310" customFormat="false" ht="15.75" hidden="false" customHeight="false" outlineLevel="0" collapsed="false">
      <c r="AO310" s="26"/>
      <c r="AQ310" s="26"/>
      <c r="AT310" s="26"/>
      <c r="AU310" s="26"/>
      <c r="AV310" s="26"/>
      <c r="AW310" s="26"/>
    </row>
    <row r="311" customFormat="false" ht="15.75" hidden="false" customHeight="false" outlineLevel="0" collapsed="false">
      <c r="AO311" s="26"/>
      <c r="AQ311" s="26"/>
      <c r="AT311" s="26"/>
      <c r="AU311" s="26"/>
      <c r="AV311" s="26"/>
      <c r="AW311" s="26"/>
    </row>
    <row r="312" customFormat="false" ht="15.75" hidden="false" customHeight="false" outlineLevel="0" collapsed="false">
      <c r="AO312" s="26"/>
      <c r="AQ312" s="26"/>
      <c r="AT312" s="26"/>
      <c r="AU312" s="26"/>
      <c r="AV312" s="26"/>
      <c r="AW312" s="26"/>
    </row>
    <row r="313" customFormat="false" ht="15.75" hidden="false" customHeight="false" outlineLevel="0" collapsed="false">
      <c r="AO313" s="26"/>
      <c r="AQ313" s="26"/>
      <c r="AT313" s="26"/>
      <c r="AU313" s="26"/>
      <c r="AV313" s="26"/>
      <c r="AW313" s="26"/>
    </row>
    <row r="314" customFormat="false" ht="15.75" hidden="false" customHeight="false" outlineLevel="0" collapsed="false">
      <c r="AO314" s="26"/>
      <c r="AQ314" s="26"/>
      <c r="AT314" s="26"/>
      <c r="AU314" s="26"/>
      <c r="AV314" s="26"/>
      <c r="AW314" s="26"/>
    </row>
    <row r="315" customFormat="false" ht="15.75" hidden="false" customHeight="false" outlineLevel="0" collapsed="false">
      <c r="AO315" s="26"/>
      <c r="AQ315" s="26"/>
      <c r="AT315" s="26"/>
      <c r="AU315" s="26"/>
      <c r="AV315" s="26"/>
      <c r="AW315" s="26"/>
    </row>
    <row r="316" customFormat="false" ht="15.75" hidden="false" customHeight="false" outlineLevel="0" collapsed="false">
      <c r="AO316" s="26"/>
      <c r="AQ316" s="26"/>
      <c r="AT316" s="26"/>
      <c r="AU316" s="26"/>
      <c r="AV316" s="26"/>
      <c r="AW316" s="26"/>
    </row>
    <row r="317" customFormat="false" ht="15.75" hidden="false" customHeight="false" outlineLevel="0" collapsed="false">
      <c r="AO317" s="26"/>
      <c r="AQ317" s="26"/>
      <c r="AT317" s="26"/>
      <c r="AU317" s="26"/>
      <c r="AV317" s="26"/>
      <c r="AW317" s="26"/>
    </row>
    <row r="318" customFormat="false" ht="15.75" hidden="false" customHeight="false" outlineLevel="0" collapsed="false">
      <c r="AO318" s="26"/>
      <c r="AQ318" s="26"/>
      <c r="AT318" s="26"/>
      <c r="AU318" s="26"/>
      <c r="AV318" s="26"/>
      <c r="AW318" s="26"/>
    </row>
    <row r="319" customFormat="false" ht="15.75" hidden="false" customHeight="false" outlineLevel="0" collapsed="false">
      <c r="AO319" s="26"/>
      <c r="AQ319" s="26"/>
      <c r="AT319" s="26"/>
      <c r="AU319" s="26"/>
      <c r="AV319" s="26"/>
      <c r="AW319" s="26"/>
    </row>
    <row r="320" customFormat="false" ht="15.75" hidden="false" customHeight="false" outlineLevel="0" collapsed="false">
      <c r="AO320" s="26"/>
      <c r="AQ320" s="26"/>
      <c r="AT320" s="26"/>
      <c r="AU320" s="26"/>
      <c r="AV320" s="26"/>
      <c r="AW320" s="26"/>
    </row>
    <row r="321" customFormat="false" ht="15.75" hidden="false" customHeight="false" outlineLevel="0" collapsed="false">
      <c r="AO321" s="26"/>
      <c r="AQ321" s="26"/>
      <c r="AT321" s="26"/>
      <c r="AU321" s="26"/>
      <c r="AV321" s="26"/>
      <c r="AW321" s="26"/>
    </row>
    <row r="322" customFormat="false" ht="15.75" hidden="false" customHeight="false" outlineLevel="0" collapsed="false">
      <c r="AO322" s="26"/>
      <c r="AQ322" s="26"/>
      <c r="AT322" s="26"/>
      <c r="AU322" s="26"/>
      <c r="AV322" s="26"/>
      <c r="AW322" s="26"/>
    </row>
    <row r="323" customFormat="false" ht="15.75" hidden="false" customHeight="false" outlineLevel="0" collapsed="false">
      <c r="AO323" s="26"/>
      <c r="AQ323" s="26"/>
      <c r="AT323" s="26"/>
      <c r="AU323" s="26"/>
      <c r="AV323" s="26"/>
      <c r="AW323" s="26"/>
    </row>
    <row r="324" customFormat="false" ht="15.75" hidden="false" customHeight="false" outlineLevel="0" collapsed="false">
      <c r="AO324" s="26"/>
      <c r="AQ324" s="26"/>
      <c r="AT324" s="26"/>
      <c r="AU324" s="26"/>
      <c r="AV324" s="26"/>
      <c r="AW324" s="26"/>
    </row>
    <row r="325" customFormat="false" ht="15.75" hidden="false" customHeight="false" outlineLevel="0" collapsed="false">
      <c r="AO325" s="26"/>
      <c r="AQ325" s="26"/>
      <c r="AT325" s="26"/>
      <c r="AU325" s="26"/>
      <c r="AV325" s="26"/>
      <c r="AW325" s="26"/>
    </row>
    <row r="326" customFormat="false" ht="15.75" hidden="false" customHeight="false" outlineLevel="0" collapsed="false">
      <c r="AO326" s="26"/>
      <c r="AQ326" s="26"/>
      <c r="AT326" s="26"/>
      <c r="AU326" s="26"/>
      <c r="AV326" s="26"/>
      <c r="AW326" s="26"/>
    </row>
    <row r="327" customFormat="false" ht="15.75" hidden="false" customHeight="false" outlineLevel="0" collapsed="false">
      <c r="AO327" s="26"/>
      <c r="AQ327" s="26"/>
      <c r="AT327" s="26"/>
      <c r="AU327" s="26"/>
      <c r="AV327" s="26"/>
      <c r="AW327" s="26"/>
    </row>
    <row r="328" customFormat="false" ht="15.75" hidden="false" customHeight="false" outlineLevel="0" collapsed="false">
      <c r="AO328" s="26"/>
      <c r="AQ328" s="26"/>
      <c r="AT328" s="26"/>
      <c r="AU328" s="26"/>
      <c r="AV328" s="26"/>
      <c r="AW328" s="26"/>
    </row>
    <row r="329" customFormat="false" ht="15.75" hidden="false" customHeight="false" outlineLevel="0" collapsed="false">
      <c r="AO329" s="26"/>
      <c r="AQ329" s="26"/>
      <c r="AT329" s="26"/>
      <c r="AU329" s="26"/>
      <c r="AV329" s="26"/>
      <c r="AW329" s="26"/>
    </row>
    <row r="330" customFormat="false" ht="15.75" hidden="false" customHeight="false" outlineLevel="0" collapsed="false">
      <c r="AO330" s="26"/>
      <c r="AQ330" s="26"/>
      <c r="AT330" s="26"/>
      <c r="AU330" s="26"/>
      <c r="AV330" s="26"/>
      <c r="AW330" s="26"/>
    </row>
    <row r="331" customFormat="false" ht="15.75" hidden="false" customHeight="false" outlineLevel="0" collapsed="false">
      <c r="AO331" s="26"/>
      <c r="AQ331" s="26"/>
      <c r="AT331" s="26"/>
      <c r="AU331" s="26"/>
      <c r="AV331" s="26"/>
      <c r="AW331" s="26"/>
    </row>
    <row r="332" customFormat="false" ht="15.75" hidden="false" customHeight="false" outlineLevel="0" collapsed="false">
      <c r="AO332" s="26"/>
      <c r="AQ332" s="26"/>
      <c r="AT332" s="26"/>
      <c r="AU332" s="26"/>
      <c r="AV332" s="26"/>
      <c r="AW332" s="26"/>
    </row>
    <row r="333" customFormat="false" ht="15.75" hidden="false" customHeight="false" outlineLevel="0" collapsed="false">
      <c r="AO333" s="26"/>
      <c r="AQ333" s="26"/>
      <c r="AT333" s="26"/>
      <c r="AU333" s="26"/>
      <c r="AV333" s="26"/>
      <c r="AW333" s="26"/>
    </row>
    <row r="334" customFormat="false" ht="15.75" hidden="false" customHeight="false" outlineLevel="0" collapsed="false">
      <c r="AO334" s="26"/>
      <c r="AQ334" s="26"/>
      <c r="AT334" s="26"/>
      <c r="AU334" s="26"/>
      <c r="AV334" s="26"/>
      <c r="AW334" s="26"/>
    </row>
    <row r="335" customFormat="false" ht="15.75" hidden="false" customHeight="false" outlineLevel="0" collapsed="false">
      <c r="AO335" s="26"/>
      <c r="AQ335" s="26"/>
      <c r="AT335" s="26"/>
      <c r="AU335" s="26"/>
      <c r="AV335" s="26"/>
      <c r="AW335" s="26"/>
    </row>
    <row r="336" customFormat="false" ht="15.75" hidden="false" customHeight="false" outlineLevel="0" collapsed="false">
      <c r="AO336" s="26"/>
      <c r="AQ336" s="26"/>
      <c r="AT336" s="26"/>
      <c r="AU336" s="26"/>
      <c r="AV336" s="26"/>
      <c r="AW336" s="26"/>
    </row>
    <row r="337" customFormat="false" ht="15.75" hidden="false" customHeight="false" outlineLevel="0" collapsed="false">
      <c r="AO337" s="26"/>
      <c r="AQ337" s="26"/>
      <c r="AT337" s="26"/>
      <c r="AU337" s="26"/>
      <c r="AV337" s="26"/>
      <c r="AW337" s="26"/>
    </row>
    <row r="338" customFormat="false" ht="15.75" hidden="false" customHeight="false" outlineLevel="0" collapsed="false">
      <c r="AO338" s="26"/>
      <c r="AQ338" s="26"/>
      <c r="AT338" s="26"/>
      <c r="AU338" s="26"/>
      <c r="AV338" s="26"/>
      <c r="AW338" s="26"/>
    </row>
    <row r="339" customFormat="false" ht="15.75" hidden="false" customHeight="false" outlineLevel="0" collapsed="false">
      <c r="AO339" s="26"/>
      <c r="AQ339" s="26"/>
      <c r="AT339" s="26"/>
      <c r="AU339" s="26"/>
      <c r="AV339" s="26"/>
      <c r="AW339" s="26"/>
    </row>
    <row r="340" customFormat="false" ht="15.75" hidden="false" customHeight="false" outlineLevel="0" collapsed="false">
      <c r="AO340" s="26"/>
      <c r="AQ340" s="26"/>
      <c r="AT340" s="26"/>
      <c r="AU340" s="26"/>
      <c r="AV340" s="26"/>
      <c r="AW340" s="26"/>
    </row>
    <row r="341" customFormat="false" ht="15.75" hidden="false" customHeight="false" outlineLevel="0" collapsed="false">
      <c r="AO341" s="26"/>
      <c r="AQ341" s="26"/>
      <c r="AT341" s="26"/>
      <c r="AU341" s="26"/>
      <c r="AV341" s="26"/>
      <c r="AW341" s="26"/>
    </row>
    <row r="342" customFormat="false" ht="15.75" hidden="false" customHeight="false" outlineLevel="0" collapsed="false">
      <c r="AO342" s="26"/>
      <c r="AQ342" s="26"/>
      <c r="AT342" s="26"/>
      <c r="AU342" s="26"/>
      <c r="AV342" s="26"/>
      <c r="AW342" s="26"/>
    </row>
    <row r="343" customFormat="false" ht="15.75" hidden="false" customHeight="false" outlineLevel="0" collapsed="false">
      <c r="AO343" s="26"/>
      <c r="AQ343" s="26"/>
      <c r="AT343" s="26"/>
      <c r="AU343" s="26"/>
      <c r="AV343" s="26"/>
      <c r="AW343" s="26"/>
    </row>
    <row r="344" customFormat="false" ht="15.75" hidden="false" customHeight="false" outlineLevel="0" collapsed="false">
      <c r="AO344" s="26"/>
      <c r="AQ344" s="26"/>
      <c r="AT344" s="26"/>
      <c r="AU344" s="26"/>
      <c r="AV344" s="26"/>
      <c r="AW344" s="26"/>
    </row>
    <row r="345" customFormat="false" ht="15.75" hidden="false" customHeight="false" outlineLevel="0" collapsed="false">
      <c r="AO345" s="26"/>
      <c r="AQ345" s="26"/>
      <c r="AT345" s="26"/>
      <c r="AU345" s="26"/>
      <c r="AV345" s="26"/>
      <c r="AW345" s="26"/>
    </row>
    <row r="346" customFormat="false" ht="15.75" hidden="false" customHeight="false" outlineLevel="0" collapsed="false">
      <c r="AO346" s="26"/>
      <c r="AQ346" s="26"/>
      <c r="AT346" s="26"/>
      <c r="AU346" s="26"/>
      <c r="AV346" s="26"/>
      <c r="AW346" s="26"/>
    </row>
    <row r="347" customFormat="false" ht="15.75" hidden="false" customHeight="false" outlineLevel="0" collapsed="false">
      <c r="AO347" s="26"/>
      <c r="AQ347" s="26"/>
      <c r="AT347" s="26"/>
      <c r="AU347" s="26"/>
      <c r="AV347" s="26"/>
      <c r="AW347" s="26"/>
    </row>
    <row r="348" customFormat="false" ht="15.75" hidden="false" customHeight="false" outlineLevel="0" collapsed="false">
      <c r="AO348" s="26"/>
      <c r="AQ348" s="26"/>
      <c r="AT348" s="26"/>
      <c r="AU348" s="26"/>
      <c r="AV348" s="26"/>
      <c r="AW348" s="26"/>
    </row>
    <row r="349" customFormat="false" ht="15.75" hidden="false" customHeight="false" outlineLevel="0" collapsed="false">
      <c r="AO349" s="26"/>
      <c r="AQ349" s="26"/>
      <c r="AT349" s="26"/>
      <c r="AU349" s="26"/>
      <c r="AV349" s="26"/>
      <c r="AW349" s="26"/>
    </row>
    <row r="350" customFormat="false" ht="15.75" hidden="false" customHeight="false" outlineLevel="0" collapsed="false">
      <c r="AO350" s="26"/>
      <c r="AQ350" s="26"/>
      <c r="AT350" s="26"/>
      <c r="AU350" s="26"/>
      <c r="AV350" s="26"/>
      <c r="AW350" s="26"/>
    </row>
    <row r="351" customFormat="false" ht="15.75" hidden="false" customHeight="false" outlineLevel="0" collapsed="false">
      <c r="AO351" s="26"/>
      <c r="AQ351" s="26"/>
      <c r="AT351" s="26"/>
      <c r="AU351" s="26"/>
      <c r="AV351" s="26"/>
      <c r="AW351" s="26"/>
    </row>
    <row r="352" customFormat="false" ht="15.75" hidden="false" customHeight="false" outlineLevel="0" collapsed="false">
      <c r="AO352" s="26"/>
      <c r="AQ352" s="26"/>
      <c r="AT352" s="26"/>
      <c r="AU352" s="26"/>
      <c r="AV352" s="26"/>
      <c r="AW352" s="26"/>
    </row>
    <row r="353" customFormat="false" ht="15.75" hidden="false" customHeight="false" outlineLevel="0" collapsed="false">
      <c r="AO353" s="26"/>
      <c r="AQ353" s="26"/>
      <c r="AT353" s="26"/>
      <c r="AU353" s="26"/>
      <c r="AV353" s="26"/>
      <c r="AW353" s="26"/>
    </row>
    <row r="354" customFormat="false" ht="15.75" hidden="false" customHeight="false" outlineLevel="0" collapsed="false">
      <c r="AO354" s="26"/>
      <c r="AQ354" s="26"/>
      <c r="AT354" s="26"/>
      <c r="AU354" s="26"/>
      <c r="AV354" s="26"/>
      <c r="AW354" s="26"/>
    </row>
    <row r="355" customFormat="false" ht="15.75" hidden="false" customHeight="false" outlineLevel="0" collapsed="false">
      <c r="AO355" s="26"/>
      <c r="AQ355" s="26"/>
      <c r="AT355" s="26"/>
      <c r="AU355" s="26"/>
      <c r="AV355" s="26"/>
      <c r="AW355" s="26"/>
    </row>
    <row r="356" customFormat="false" ht="15.75" hidden="false" customHeight="false" outlineLevel="0" collapsed="false">
      <c r="AO356" s="26"/>
      <c r="AQ356" s="26"/>
      <c r="AT356" s="26"/>
      <c r="AU356" s="26"/>
      <c r="AV356" s="26"/>
      <c r="AW356" s="26"/>
    </row>
    <row r="357" customFormat="false" ht="15.75" hidden="false" customHeight="false" outlineLevel="0" collapsed="false">
      <c r="AO357" s="26"/>
      <c r="AQ357" s="26"/>
      <c r="AT357" s="26"/>
      <c r="AU357" s="26"/>
      <c r="AV357" s="26"/>
      <c r="AW357" s="26"/>
    </row>
    <row r="358" customFormat="false" ht="15.75" hidden="false" customHeight="false" outlineLevel="0" collapsed="false">
      <c r="AO358" s="26"/>
      <c r="AQ358" s="26"/>
      <c r="AT358" s="26"/>
      <c r="AU358" s="26"/>
      <c r="AV358" s="26"/>
      <c r="AW358" s="26"/>
    </row>
    <row r="359" customFormat="false" ht="15.75" hidden="false" customHeight="false" outlineLevel="0" collapsed="false">
      <c r="AO359" s="26"/>
      <c r="AQ359" s="26"/>
      <c r="AT359" s="26"/>
      <c r="AU359" s="26"/>
      <c r="AV359" s="26"/>
      <c r="AW359" s="26"/>
    </row>
    <row r="360" customFormat="false" ht="15.75" hidden="false" customHeight="false" outlineLevel="0" collapsed="false">
      <c r="AO360" s="26"/>
      <c r="AQ360" s="26"/>
      <c r="AT360" s="26"/>
      <c r="AU360" s="26"/>
      <c r="AV360" s="26"/>
      <c r="AW360" s="26"/>
    </row>
    <row r="361" customFormat="false" ht="15.75" hidden="false" customHeight="false" outlineLevel="0" collapsed="false">
      <c r="AO361" s="26"/>
      <c r="AQ361" s="26"/>
      <c r="AT361" s="26"/>
      <c r="AU361" s="26"/>
      <c r="AV361" s="26"/>
      <c r="AW361" s="26"/>
    </row>
    <row r="362" customFormat="false" ht="15.75" hidden="false" customHeight="false" outlineLevel="0" collapsed="false">
      <c r="AO362" s="26"/>
      <c r="AQ362" s="26"/>
      <c r="AT362" s="26"/>
      <c r="AU362" s="26"/>
      <c r="AV362" s="26"/>
      <c r="AW362" s="26"/>
    </row>
    <row r="363" customFormat="false" ht="15.75" hidden="false" customHeight="false" outlineLevel="0" collapsed="false">
      <c r="AO363" s="26"/>
      <c r="AQ363" s="26"/>
      <c r="AT363" s="26"/>
      <c r="AU363" s="26"/>
      <c r="AV363" s="26"/>
      <c r="AW363" s="26"/>
    </row>
    <row r="364" customFormat="false" ht="15.75" hidden="false" customHeight="false" outlineLevel="0" collapsed="false">
      <c r="AO364" s="26"/>
      <c r="AQ364" s="26"/>
      <c r="AT364" s="26"/>
      <c r="AU364" s="26"/>
      <c r="AV364" s="26"/>
      <c r="AW364" s="26"/>
    </row>
    <row r="365" customFormat="false" ht="15.75" hidden="false" customHeight="false" outlineLevel="0" collapsed="false">
      <c r="AO365" s="26"/>
      <c r="AQ365" s="26"/>
      <c r="AT365" s="26"/>
      <c r="AU365" s="26"/>
      <c r="AV365" s="26"/>
      <c r="AW365" s="26"/>
    </row>
    <row r="366" customFormat="false" ht="15.75" hidden="false" customHeight="false" outlineLevel="0" collapsed="false">
      <c r="AO366" s="26"/>
      <c r="AQ366" s="26"/>
      <c r="AT366" s="26"/>
      <c r="AU366" s="26"/>
      <c r="AV366" s="26"/>
      <c r="AW366" s="26"/>
    </row>
    <row r="367" customFormat="false" ht="15.75" hidden="false" customHeight="false" outlineLevel="0" collapsed="false">
      <c r="AO367" s="26"/>
      <c r="AQ367" s="26"/>
      <c r="AT367" s="26"/>
      <c r="AU367" s="26"/>
      <c r="AV367" s="26"/>
      <c r="AW367" s="26"/>
    </row>
    <row r="368" customFormat="false" ht="15.75" hidden="false" customHeight="false" outlineLevel="0" collapsed="false">
      <c r="AO368" s="26"/>
      <c r="AQ368" s="26"/>
      <c r="AT368" s="26"/>
      <c r="AU368" s="26"/>
      <c r="AV368" s="26"/>
      <c r="AW368" s="26"/>
    </row>
    <row r="369" customFormat="false" ht="15.75" hidden="false" customHeight="false" outlineLevel="0" collapsed="false">
      <c r="AO369" s="26"/>
      <c r="AQ369" s="26"/>
      <c r="AT369" s="26"/>
      <c r="AU369" s="26"/>
      <c r="AV369" s="26"/>
      <c r="AW369" s="26"/>
    </row>
    <row r="370" customFormat="false" ht="15.75" hidden="false" customHeight="false" outlineLevel="0" collapsed="false">
      <c r="AO370" s="26"/>
      <c r="AQ370" s="26"/>
      <c r="AT370" s="26"/>
      <c r="AU370" s="26"/>
      <c r="AV370" s="26"/>
      <c r="AW370" s="26"/>
    </row>
    <row r="371" customFormat="false" ht="15.75" hidden="false" customHeight="false" outlineLevel="0" collapsed="false">
      <c r="AO371" s="26"/>
      <c r="AQ371" s="26"/>
      <c r="AT371" s="26"/>
      <c r="AU371" s="26"/>
      <c r="AV371" s="26"/>
      <c r="AW371" s="26"/>
    </row>
    <row r="372" customFormat="false" ht="15.75" hidden="false" customHeight="false" outlineLevel="0" collapsed="false">
      <c r="AO372" s="26"/>
      <c r="AQ372" s="26"/>
      <c r="AT372" s="26"/>
      <c r="AU372" s="26"/>
      <c r="AV372" s="26"/>
      <c r="AW372" s="26"/>
    </row>
    <row r="373" customFormat="false" ht="15.75" hidden="false" customHeight="false" outlineLevel="0" collapsed="false">
      <c r="AO373" s="26"/>
      <c r="AQ373" s="26"/>
      <c r="AT373" s="26"/>
      <c r="AU373" s="26"/>
      <c r="AV373" s="26"/>
      <c r="AW373" s="26"/>
    </row>
    <row r="374" customFormat="false" ht="15.75" hidden="false" customHeight="false" outlineLevel="0" collapsed="false">
      <c r="AO374" s="26"/>
      <c r="AQ374" s="26"/>
      <c r="AT374" s="26"/>
      <c r="AU374" s="26"/>
      <c r="AV374" s="26"/>
      <c r="AW374" s="26"/>
    </row>
    <row r="375" customFormat="false" ht="15.75" hidden="false" customHeight="false" outlineLevel="0" collapsed="false">
      <c r="AO375" s="26"/>
      <c r="AQ375" s="26"/>
      <c r="AT375" s="26"/>
      <c r="AU375" s="26"/>
      <c r="AV375" s="26"/>
      <c r="AW375" s="26"/>
    </row>
    <row r="376" customFormat="false" ht="15.75" hidden="false" customHeight="false" outlineLevel="0" collapsed="false">
      <c r="AO376" s="26"/>
      <c r="AQ376" s="26"/>
      <c r="AT376" s="26"/>
      <c r="AU376" s="26"/>
      <c r="AV376" s="26"/>
      <c r="AW376" s="26"/>
    </row>
    <row r="377" customFormat="false" ht="15.75" hidden="false" customHeight="false" outlineLevel="0" collapsed="false">
      <c r="AO377" s="26"/>
      <c r="AQ377" s="26"/>
      <c r="AT377" s="26"/>
      <c r="AU377" s="26"/>
      <c r="AV377" s="26"/>
      <c r="AW377" s="26"/>
    </row>
    <row r="378" customFormat="false" ht="15.75" hidden="false" customHeight="false" outlineLevel="0" collapsed="false">
      <c r="AO378" s="26"/>
      <c r="AQ378" s="26"/>
      <c r="AT378" s="26"/>
      <c r="AU378" s="26"/>
      <c r="AV378" s="26"/>
      <c r="AW378" s="26"/>
    </row>
    <row r="379" customFormat="false" ht="15.75" hidden="false" customHeight="false" outlineLevel="0" collapsed="false">
      <c r="AO379" s="26"/>
      <c r="AQ379" s="26"/>
      <c r="AT379" s="26"/>
      <c r="AU379" s="26"/>
      <c r="AV379" s="26"/>
      <c r="AW379" s="26"/>
    </row>
    <row r="380" customFormat="false" ht="15.75" hidden="false" customHeight="false" outlineLevel="0" collapsed="false">
      <c r="AO380" s="26"/>
      <c r="AQ380" s="26"/>
      <c r="AT380" s="26"/>
      <c r="AU380" s="26"/>
      <c r="AV380" s="26"/>
      <c r="AW380" s="26"/>
    </row>
    <row r="381" customFormat="false" ht="15.75" hidden="false" customHeight="false" outlineLevel="0" collapsed="false">
      <c r="AO381" s="26"/>
      <c r="AQ381" s="26"/>
      <c r="AT381" s="26"/>
      <c r="AU381" s="26"/>
      <c r="AV381" s="26"/>
      <c r="AW381" s="26"/>
    </row>
    <row r="382" customFormat="false" ht="15.75" hidden="false" customHeight="false" outlineLevel="0" collapsed="false">
      <c r="AO382" s="26"/>
      <c r="AQ382" s="26"/>
      <c r="AT382" s="26"/>
      <c r="AU382" s="26"/>
      <c r="AV382" s="26"/>
      <c r="AW382" s="26"/>
    </row>
    <row r="383" customFormat="false" ht="15.75" hidden="false" customHeight="false" outlineLevel="0" collapsed="false">
      <c r="AO383" s="26"/>
      <c r="AQ383" s="26"/>
      <c r="AT383" s="26"/>
      <c r="AU383" s="26"/>
      <c r="AV383" s="26"/>
      <c r="AW383" s="26"/>
    </row>
    <row r="384" customFormat="false" ht="15.75" hidden="false" customHeight="false" outlineLevel="0" collapsed="false">
      <c r="AO384" s="26"/>
      <c r="AQ384" s="26"/>
      <c r="AT384" s="26"/>
      <c r="AU384" s="26"/>
      <c r="AV384" s="26"/>
      <c r="AW384" s="26"/>
    </row>
    <row r="385" customFormat="false" ht="15.75" hidden="false" customHeight="false" outlineLevel="0" collapsed="false">
      <c r="AO385" s="26"/>
      <c r="AQ385" s="26"/>
      <c r="AT385" s="26"/>
      <c r="AU385" s="26"/>
      <c r="AV385" s="26"/>
      <c r="AW385" s="26"/>
    </row>
    <row r="386" customFormat="false" ht="15.75" hidden="false" customHeight="false" outlineLevel="0" collapsed="false">
      <c r="AO386" s="26"/>
      <c r="AQ386" s="26"/>
      <c r="AT386" s="26"/>
      <c r="AU386" s="26"/>
      <c r="AV386" s="26"/>
      <c r="AW386" s="26"/>
    </row>
    <row r="387" customFormat="false" ht="15.75" hidden="false" customHeight="false" outlineLevel="0" collapsed="false">
      <c r="AO387" s="26"/>
      <c r="AQ387" s="26"/>
      <c r="AT387" s="26"/>
      <c r="AU387" s="26"/>
      <c r="AV387" s="26"/>
      <c r="AW387" s="26"/>
    </row>
    <row r="388" customFormat="false" ht="15.75" hidden="false" customHeight="false" outlineLevel="0" collapsed="false">
      <c r="AO388" s="26"/>
      <c r="AQ388" s="26"/>
      <c r="AT388" s="26"/>
      <c r="AU388" s="26"/>
      <c r="AV388" s="26"/>
      <c r="AW388" s="26"/>
    </row>
    <row r="389" customFormat="false" ht="15.75" hidden="false" customHeight="false" outlineLevel="0" collapsed="false">
      <c r="AO389" s="26"/>
      <c r="AQ389" s="26"/>
      <c r="AT389" s="26"/>
      <c r="AU389" s="26"/>
      <c r="AV389" s="26"/>
      <c r="AW389" s="26"/>
    </row>
    <row r="390" customFormat="false" ht="15.75" hidden="false" customHeight="false" outlineLevel="0" collapsed="false">
      <c r="AO390" s="26"/>
      <c r="AQ390" s="26"/>
      <c r="AT390" s="26"/>
      <c r="AU390" s="26"/>
      <c r="AV390" s="26"/>
      <c r="AW390" s="26"/>
    </row>
    <row r="391" customFormat="false" ht="15.75" hidden="false" customHeight="false" outlineLevel="0" collapsed="false">
      <c r="AO391" s="26"/>
      <c r="AQ391" s="26"/>
      <c r="AT391" s="26"/>
      <c r="AU391" s="26"/>
      <c r="AV391" s="26"/>
      <c r="AW391" s="26"/>
    </row>
    <row r="392" customFormat="false" ht="15.75" hidden="false" customHeight="false" outlineLevel="0" collapsed="false">
      <c r="AO392" s="26"/>
      <c r="AQ392" s="26"/>
      <c r="AT392" s="26"/>
      <c r="AU392" s="26"/>
      <c r="AV392" s="26"/>
      <c r="AW392" s="26"/>
    </row>
    <row r="393" customFormat="false" ht="15.75" hidden="false" customHeight="false" outlineLevel="0" collapsed="false">
      <c r="AO393" s="26"/>
      <c r="AQ393" s="26"/>
      <c r="AT393" s="26"/>
      <c r="AU393" s="26"/>
      <c r="AV393" s="26"/>
      <c r="AW393" s="26"/>
    </row>
    <row r="394" customFormat="false" ht="15.75" hidden="false" customHeight="false" outlineLevel="0" collapsed="false">
      <c r="AO394" s="26"/>
      <c r="AQ394" s="26"/>
      <c r="AT394" s="26"/>
      <c r="AU394" s="26"/>
      <c r="AV394" s="26"/>
      <c r="AW394" s="26"/>
    </row>
    <row r="395" customFormat="false" ht="15.75" hidden="false" customHeight="false" outlineLevel="0" collapsed="false">
      <c r="AO395" s="26"/>
      <c r="AQ395" s="26"/>
      <c r="AT395" s="26"/>
      <c r="AU395" s="26"/>
      <c r="AV395" s="26"/>
      <c r="AW395" s="26"/>
    </row>
    <row r="396" customFormat="false" ht="15.75" hidden="false" customHeight="false" outlineLevel="0" collapsed="false">
      <c r="AO396" s="26"/>
      <c r="AQ396" s="26"/>
      <c r="AT396" s="26"/>
      <c r="AU396" s="26"/>
      <c r="AV396" s="26"/>
      <c r="AW396" s="26"/>
    </row>
    <row r="397" customFormat="false" ht="15.75" hidden="false" customHeight="false" outlineLevel="0" collapsed="false">
      <c r="AO397" s="26"/>
      <c r="AQ397" s="26"/>
      <c r="AT397" s="26"/>
      <c r="AU397" s="26"/>
      <c r="AV397" s="26"/>
      <c r="AW397" s="26"/>
    </row>
    <row r="398" customFormat="false" ht="15.75" hidden="false" customHeight="false" outlineLevel="0" collapsed="false">
      <c r="AO398" s="26"/>
      <c r="AQ398" s="26"/>
      <c r="AT398" s="26"/>
      <c r="AU398" s="26"/>
      <c r="AV398" s="26"/>
      <c r="AW398" s="26"/>
    </row>
    <row r="399" customFormat="false" ht="15.75" hidden="false" customHeight="false" outlineLevel="0" collapsed="false">
      <c r="AO399" s="26"/>
      <c r="AQ399" s="26"/>
      <c r="AT399" s="26"/>
      <c r="AU399" s="26"/>
      <c r="AV399" s="26"/>
      <c r="AW399" s="26"/>
    </row>
    <row r="400" customFormat="false" ht="15.75" hidden="false" customHeight="false" outlineLevel="0" collapsed="false">
      <c r="AO400" s="26"/>
      <c r="AQ400" s="26"/>
      <c r="AT400" s="26"/>
      <c r="AU400" s="26"/>
      <c r="AV400" s="26"/>
      <c r="AW400" s="26"/>
    </row>
    <row r="401" customFormat="false" ht="15.75" hidden="false" customHeight="false" outlineLevel="0" collapsed="false">
      <c r="AO401" s="26"/>
      <c r="AQ401" s="26"/>
      <c r="AT401" s="26"/>
      <c r="AU401" s="26"/>
      <c r="AV401" s="26"/>
      <c r="AW401" s="26"/>
    </row>
    <row r="402" customFormat="false" ht="15.75" hidden="false" customHeight="false" outlineLevel="0" collapsed="false">
      <c r="AO402" s="26"/>
      <c r="AQ402" s="26"/>
      <c r="AT402" s="26"/>
      <c r="AU402" s="26"/>
      <c r="AV402" s="26"/>
      <c r="AW402" s="26"/>
    </row>
    <row r="403" customFormat="false" ht="15.75" hidden="false" customHeight="false" outlineLevel="0" collapsed="false">
      <c r="AO403" s="26"/>
      <c r="AQ403" s="26"/>
      <c r="AT403" s="26"/>
      <c r="AU403" s="26"/>
      <c r="AV403" s="26"/>
      <c r="AW403" s="26"/>
    </row>
    <row r="404" customFormat="false" ht="15.75" hidden="false" customHeight="false" outlineLevel="0" collapsed="false">
      <c r="AO404" s="26"/>
      <c r="AQ404" s="26"/>
      <c r="AT404" s="26"/>
      <c r="AU404" s="26"/>
      <c r="AV404" s="26"/>
      <c r="AW404" s="26"/>
    </row>
    <row r="405" customFormat="false" ht="15.75" hidden="false" customHeight="false" outlineLevel="0" collapsed="false">
      <c r="AO405" s="26"/>
      <c r="AQ405" s="26"/>
      <c r="AT405" s="26"/>
      <c r="AU405" s="26"/>
      <c r="AV405" s="26"/>
      <c r="AW405" s="26"/>
    </row>
    <row r="406" customFormat="false" ht="15.75" hidden="false" customHeight="false" outlineLevel="0" collapsed="false">
      <c r="AO406" s="26"/>
      <c r="AQ406" s="26"/>
      <c r="AT406" s="26"/>
      <c r="AU406" s="26"/>
      <c r="AV406" s="26"/>
      <c r="AW406" s="26"/>
    </row>
    <row r="407" customFormat="false" ht="15.75" hidden="false" customHeight="false" outlineLevel="0" collapsed="false">
      <c r="AO407" s="26"/>
      <c r="AQ407" s="26"/>
      <c r="AT407" s="26"/>
      <c r="AU407" s="26"/>
      <c r="AV407" s="26"/>
      <c r="AW407" s="26"/>
    </row>
    <row r="408" customFormat="false" ht="15.75" hidden="false" customHeight="false" outlineLevel="0" collapsed="false">
      <c r="AO408" s="26"/>
      <c r="AQ408" s="26"/>
      <c r="AT408" s="26"/>
      <c r="AU408" s="26"/>
      <c r="AV408" s="26"/>
      <c r="AW408" s="26"/>
    </row>
    <row r="409" customFormat="false" ht="15.75" hidden="false" customHeight="false" outlineLevel="0" collapsed="false">
      <c r="AO409" s="26"/>
      <c r="AQ409" s="26"/>
      <c r="AT409" s="26"/>
      <c r="AU409" s="26"/>
      <c r="AV409" s="26"/>
      <c r="AW409" s="26"/>
    </row>
    <row r="410" customFormat="false" ht="15.75" hidden="false" customHeight="false" outlineLevel="0" collapsed="false">
      <c r="AO410" s="26"/>
      <c r="AQ410" s="26"/>
      <c r="AT410" s="26"/>
      <c r="AU410" s="26"/>
      <c r="AV410" s="26"/>
      <c r="AW410" s="26"/>
    </row>
    <row r="411" customFormat="false" ht="15.75" hidden="false" customHeight="false" outlineLevel="0" collapsed="false">
      <c r="AO411" s="26"/>
      <c r="AQ411" s="26"/>
      <c r="AT411" s="26"/>
      <c r="AU411" s="26"/>
      <c r="AV411" s="26"/>
      <c r="AW411" s="26"/>
    </row>
    <row r="412" customFormat="false" ht="15.75" hidden="false" customHeight="false" outlineLevel="0" collapsed="false">
      <c r="AO412" s="26"/>
      <c r="AQ412" s="26"/>
      <c r="AT412" s="26"/>
      <c r="AU412" s="26"/>
      <c r="AV412" s="26"/>
      <c r="AW412" s="26"/>
    </row>
    <row r="413" customFormat="false" ht="15.75" hidden="false" customHeight="false" outlineLevel="0" collapsed="false">
      <c r="AO413" s="26"/>
      <c r="AQ413" s="26"/>
      <c r="AT413" s="26"/>
      <c r="AU413" s="26"/>
      <c r="AV413" s="26"/>
      <c r="AW413" s="26"/>
    </row>
    <row r="414" customFormat="false" ht="15.75" hidden="false" customHeight="false" outlineLevel="0" collapsed="false">
      <c r="AO414" s="26"/>
      <c r="AQ414" s="26"/>
      <c r="AT414" s="26"/>
      <c r="AU414" s="26"/>
      <c r="AV414" s="26"/>
      <c r="AW414" s="26"/>
    </row>
    <row r="415" customFormat="false" ht="15.75" hidden="false" customHeight="false" outlineLevel="0" collapsed="false">
      <c r="AO415" s="26"/>
      <c r="AQ415" s="26"/>
      <c r="AT415" s="26"/>
      <c r="AU415" s="26"/>
      <c r="AV415" s="26"/>
      <c r="AW415" s="26"/>
    </row>
    <row r="416" customFormat="false" ht="15.75" hidden="false" customHeight="false" outlineLevel="0" collapsed="false">
      <c r="AO416" s="26"/>
      <c r="AQ416" s="26"/>
      <c r="AT416" s="26"/>
      <c r="AU416" s="26"/>
      <c r="AV416" s="26"/>
      <c r="AW416" s="26"/>
    </row>
    <row r="417" customFormat="false" ht="15.75" hidden="false" customHeight="false" outlineLevel="0" collapsed="false">
      <c r="AO417" s="26"/>
      <c r="AQ417" s="26"/>
      <c r="AT417" s="26"/>
      <c r="AU417" s="26"/>
      <c r="AV417" s="26"/>
      <c r="AW417" s="26"/>
    </row>
    <row r="418" customFormat="false" ht="15.75" hidden="false" customHeight="false" outlineLevel="0" collapsed="false">
      <c r="AO418" s="26"/>
      <c r="AQ418" s="26"/>
      <c r="AT418" s="26"/>
      <c r="AU418" s="26"/>
      <c r="AV418" s="26"/>
      <c r="AW418" s="26"/>
    </row>
    <row r="419" customFormat="false" ht="15.75" hidden="false" customHeight="false" outlineLevel="0" collapsed="false">
      <c r="AO419" s="26"/>
      <c r="AQ419" s="26"/>
      <c r="AT419" s="26"/>
      <c r="AU419" s="26"/>
      <c r="AV419" s="26"/>
      <c r="AW419" s="26"/>
    </row>
    <row r="420" customFormat="false" ht="15.75" hidden="false" customHeight="false" outlineLevel="0" collapsed="false">
      <c r="AO420" s="26"/>
      <c r="AQ420" s="26"/>
      <c r="AT420" s="26"/>
      <c r="AU420" s="26"/>
      <c r="AV420" s="26"/>
      <c r="AW420" s="26"/>
    </row>
    <row r="421" customFormat="false" ht="15.75" hidden="false" customHeight="false" outlineLevel="0" collapsed="false">
      <c r="AO421" s="26"/>
      <c r="AQ421" s="26"/>
      <c r="AT421" s="26"/>
      <c r="AU421" s="26"/>
      <c r="AV421" s="26"/>
      <c r="AW421" s="26"/>
    </row>
    <row r="422" customFormat="false" ht="15.75" hidden="false" customHeight="false" outlineLevel="0" collapsed="false">
      <c r="AO422" s="26"/>
      <c r="AQ422" s="26"/>
      <c r="AT422" s="26"/>
      <c r="AU422" s="26"/>
      <c r="AV422" s="26"/>
      <c r="AW422" s="26"/>
    </row>
    <row r="423" customFormat="false" ht="15.75" hidden="false" customHeight="false" outlineLevel="0" collapsed="false">
      <c r="AO423" s="26"/>
      <c r="AQ423" s="26"/>
      <c r="AT423" s="26"/>
      <c r="AU423" s="26"/>
      <c r="AV423" s="26"/>
      <c r="AW423" s="26"/>
    </row>
    <row r="424" customFormat="false" ht="15.75" hidden="false" customHeight="false" outlineLevel="0" collapsed="false">
      <c r="AO424" s="26"/>
      <c r="AQ424" s="26"/>
      <c r="AT424" s="26"/>
      <c r="AU424" s="26"/>
      <c r="AV424" s="26"/>
      <c r="AW424" s="26"/>
    </row>
    <row r="425" customFormat="false" ht="15.75" hidden="false" customHeight="false" outlineLevel="0" collapsed="false">
      <c r="AO425" s="26"/>
      <c r="AQ425" s="26"/>
      <c r="AT425" s="26"/>
      <c r="AU425" s="26"/>
      <c r="AV425" s="26"/>
      <c r="AW425" s="26"/>
    </row>
    <row r="426" customFormat="false" ht="15.75" hidden="false" customHeight="false" outlineLevel="0" collapsed="false">
      <c r="AO426" s="26"/>
      <c r="AQ426" s="26"/>
      <c r="AT426" s="26"/>
      <c r="AU426" s="26"/>
      <c r="AV426" s="26"/>
      <c r="AW426" s="26"/>
    </row>
    <row r="427" customFormat="false" ht="15.75" hidden="false" customHeight="false" outlineLevel="0" collapsed="false">
      <c r="AO427" s="26"/>
      <c r="AQ427" s="26"/>
      <c r="AT427" s="26"/>
      <c r="AU427" s="26"/>
      <c r="AV427" s="26"/>
      <c r="AW427" s="26"/>
    </row>
    <row r="428" customFormat="false" ht="15.75" hidden="false" customHeight="false" outlineLevel="0" collapsed="false">
      <c r="AO428" s="26"/>
      <c r="AQ428" s="26"/>
      <c r="AT428" s="26"/>
      <c r="AU428" s="26"/>
      <c r="AV428" s="26"/>
      <c r="AW428" s="26"/>
    </row>
    <row r="429" customFormat="false" ht="15.75" hidden="false" customHeight="false" outlineLevel="0" collapsed="false">
      <c r="AO429" s="26"/>
      <c r="AQ429" s="26"/>
      <c r="AT429" s="26"/>
      <c r="AU429" s="26"/>
      <c r="AV429" s="26"/>
      <c r="AW429" s="26"/>
    </row>
    <row r="430" customFormat="false" ht="15.75" hidden="false" customHeight="false" outlineLevel="0" collapsed="false">
      <c r="AO430" s="26"/>
      <c r="AQ430" s="26"/>
      <c r="AT430" s="26"/>
      <c r="AU430" s="26"/>
      <c r="AV430" s="26"/>
      <c r="AW430" s="26"/>
    </row>
    <row r="431" customFormat="false" ht="15.75" hidden="false" customHeight="false" outlineLevel="0" collapsed="false">
      <c r="AO431" s="26"/>
      <c r="AQ431" s="26"/>
      <c r="AT431" s="26"/>
      <c r="AU431" s="26"/>
      <c r="AV431" s="26"/>
      <c r="AW431" s="26"/>
    </row>
    <row r="432" customFormat="false" ht="15.75" hidden="false" customHeight="false" outlineLevel="0" collapsed="false">
      <c r="AO432" s="26"/>
      <c r="AQ432" s="26"/>
      <c r="AT432" s="26"/>
      <c r="AU432" s="26"/>
      <c r="AV432" s="26"/>
      <c r="AW432" s="26"/>
    </row>
    <row r="433" customFormat="false" ht="15.75" hidden="false" customHeight="false" outlineLevel="0" collapsed="false">
      <c r="AO433" s="26"/>
      <c r="AQ433" s="26"/>
      <c r="AT433" s="26"/>
      <c r="AU433" s="26"/>
      <c r="AV433" s="26"/>
      <c r="AW433" s="26"/>
    </row>
    <row r="434" customFormat="false" ht="15.75" hidden="false" customHeight="false" outlineLevel="0" collapsed="false">
      <c r="AO434" s="26"/>
      <c r="AQ434" s="26"/>
      <c r="AT434" s="26"/>
      <c r="AU434" s="26"/>
      <c r="AV434" s="26"/>
      <c r="AW434" s="26"/>
    </row>
    <row r="435" customFormat="false" ht="15.75" hidden="false" customHeight="false" outlineLevel="0" collapsed="false">
      <c r="AO435" s="26"/>
      <c r="AQ435" s="26"/>
      <c r="AT435" s="26"/>
      <c r="AU435" s="26"/>
      <c r="AV435" s="26"/>
      <c r="AW435" s="26"/>
    </row>
    <row r="436" customFormat="false" ht="15.75" hidden="false" customHeight="false" outlineLevel="0" collapsed="false">
      <c r="AO436" s="26"/>
      <c r="AQ436" s="26"/>
      <c r="AT436" s="26"/>
      <c r="AU436" s="26"/>
      <c r="AV436" s="26"/>
      <c r="AW436" s="26"/>
    </row>
    <row r="437" customFormat="false" ht="15.75" hidden="false" customHeight="false" outlineLevel="0" collapsed="false">
      <c r="AO437" s="26"/>
      <c r="AQ437" s="26"/>
      <c r="AT437" s="26"/>
      <c r="AU437" s="26"/>
      <c r="AV437" s="26"/>
      <c r="AW437" s="26"/>
    </row>
    <row r="438" customFormat="false" ht="15.75" hidden="false" customHeight="false" outlineLevel="0" collapsed="false">
      <c r="AO438" s="26"/>
      <c r="AQ438" s="26"/>
      <c r="AT438" s="26"/>
      <c r="AU438" s="26"/>
      <c r="AV438" s="26"/>
      <c r="AW438" s="26"/>
    </row>
    <row r="439" customFormat="false" ht="15.75" hidden="false" customHeight="false" outlineLevel="0" collapsed="false">
      <c r="AO439" s="26"/>
      <c r="AQ439" s="26"/>
      <c r="AT439" s="26"/>
      <c r="AU439" s="26"/>
      <c r="AV439" s="26"/>
      <c r="AW439" s="26"/>
    </row>
    <row r="440" customFormat="false" ht="15.75" hidden="false" customHeight="false" outlineLevel="0" collapsed="false">
      <c r="AO440" s="26"/>
      <c r="AQ440" s="26"/>
      <c r="AT440" s="26"/>
      <c r="AU440" s="26"/>
      <c r="AV440" s="26"/>
      <c r="AW440" s="26"/>
    </row>
    <row r="441" customFormat="false" ht="15.75" hidden="false" customHeight="false" outlineLevel="0" collapsed="false">
      <c r="AO441" s="26"/>
      <c r="AQ441" s="26"/>
      <c r="AT441" s="26"/>
      <c r="AU441" s="26"/>
      <c r="AV441" s="26"/>
      <c r="AW441" s="26"/>
    </row>
    <row r="442" customFormat="false" ht="15.75" hidden="false" customHeight="false" outlineLevel="0" collapsed="false">
      <c r="AO442" s="26"/>
      <c r="AQ442" s="26"/>
      <c r="AT442" s="26"/>
      <c r="AU442" s="26"/>
      <c r="AV442" s="26"/>
      <c r="AW442" s="26"/>
    </row>
    <row r="443" customFormat="false" ht="15.75" hidden="false" customHeight="false" outlineLevel="0" collapsed="false">
      <c r="AO443" s="26"/>
      <c r="AQ443" s="26"/>
      <c r="AT443" s="26"/>
      <c r="AU443" s="26"/>
      <c r="AV443" s="26"/>
      <c r="AW443" s="26"/>
    </row>
    <row r="444" customFormat="false" ht="15.75" hidden="false" customHeight="false" outlineLevel="0" collapsed="false">
      <c r="AO444" s="26"/>
      <c r="AQ444" s="26"/>
      <c r="AT444" s="26"/>
      <c r="AU444" s="26"/>
      <c r="AV444" s="26"/>
      <c r="AW444" s="26"/>
    </row>
    <row r="445" customFormat="false" ht="15.75" hidden="false" customHeight="false" outlineLevel="0" collapsed="false">
      <c r="AO445" s="26"/>
      <c r="AQ445" s="26"/>
      <c r="AT445" s="26"/>
      <c r="AU445" s="26"/>
      <c r="AV445" s="26"/>
      <c r="AW445" s="26"/>
    </row>
    <row r="446" customFormat="false" ht="15.75" hidden="false" customHeight="false" outlineLevel="0" collapsed="false">
      <c r="AO446" s="26"/>
      <c r="AQ446" s="26"/>
      <c r="AT446" s="26"/>
      <c r="AU446" s="26"/>
      <c r="AV446" s="26"/>
      <c r="AW446" s="26"/>
    </row>
    <row r="447" customFormat="false" ht="15.75" hidden="false" customHeight="false" outlineLevel="0" collapsed="false">
      <c r="AO447" s="26"/>
      <c r="AQ447" s="26"/>
      <c r="AT447" s="26"/>
      <c r="AU447" s="26"/>
      <c r="AV447" s="26"/>
      <c r="AW447" s="26"/>
    </row>
    <row r="448" customFormat="false" ht="15.75" hidden="false" customHeight="false" outlineLevel="0" collapsed="false">
      <c r="AO448" s="26"/>
      <c r="AQ448" s="26"/>
      <c r="AT448" s="26"/>
      <c r="AU448" s="26"/>
      <c r="AV448" s="26"/>
      <c r="AW448" s="26"/>
    </row>
    <row r="449" customFormat="false" ht="15.75" hidden="false" customHeight="false" outlineLevel="0" collapsed="false">
      <c r="AO449" s="26"/>
      <c r="AQ449" s="26"/>
      <c r="AT449" s="26"/>
      <c r="AU449" s="26"/>
      <c r="AV449" s="26"/>
      <c r="AW449" s="26"/>
    </row>
    <row r="450" customFormat="false" ht="15.75" hidden="false" customHeight="false" outlineLevel="0" collapsed="false">
      <c r="AO450" s="26"/>
      <c r="AQ450" s="26"/>
      <c r="AT450" s="26"/>
      <c r="AU450" s="26"/>
      <c r="AV450" s="26"/>
      <c r="AW450" s="26"/>
    </row>
    <row r="451" customFormat="false" ht="15.75" hidden="false" customHeight="false" outlineLevel="0" collapsed="false">
      <c r="AO451" s="26"/>
      <c r="AQ451" s="26"/>
      <c r="AT451" s="26"/>
      <c r="AU451" s="26"/>
      <c r="AV451" s="26"/>
      <c r="AW451" s="26"/>
    </row>
    <row r="452" customFormat="false" ht="15.75" hidden="false" customHeight="false" outlineLevel="0" collapsed="false">
      <c r="AO452" s="26"/>
      <c r="AQ452" s="26"/>
      <c r="AT452" s="26"/>
      <c r="AU452" s="26"/>
      <c r="AV452" s="26"/>
      <c r="AW452" s="26"/>
    </row>
    <row r="453" customFormat="false" ht="15.75" hidden="false" customHeight="false" outlineLevel="0" collapsed="false">
      <c r="AO453" s="26"/>
      <c r="AQ453" s="26"/>
      <c r="AT453" s="26"/>
      <c r="AU453" s="26"/>
      <c r="AV453" s="26"/>
      <c r="AW453" s="26"/>
    </row>
    <row r="454" customFormat="false" ht="15.75" hidden="false" customHeight="false" outlineLevel="0" collapsed="false">
      <c r="AO454" s="26"/>
      <c r="AQ454" s="26"/>
      <c r="AT454" s="26"/>
      <c r="AU454" s="26"/>
      <c r="AV454" s="26"/>
      <c r="AW454" s="26"/>
    </row>
    <row r="455" customFormat="false" ht="15.75" hidden="false" customHeight="false" outlineLevel="0" collapsed="false">
      <c r="AO455" s="26"/>
      <c r="AQ455" s="26"/>
      <c r="AT455" s="26"/>
      <c r="AU455" s="26"/>
      <c r="AV455" s="26"/>
      <c r="AW455" s="26"/>
    </row>
    <row r="456" customFormat="false" ht="15.75" hidden="false" customHeight="false" outlineLevel="0" collapsed="false">
      <c r="AO456" s="26"/>
      <c r="AQ456" s="26"/>
      <c r="AT456" s="26"/>
      <c r="AU456" s="26"/>
      <c r="AV456" s="26"/>
      <c r="AW456" s="26"/>
    </row>
    <row r="457" customFormat="false" ht="15.75" hidden="false" customHeight="false" outlineLevel="0" collapsed="false">
      <c r="AO457" s="26"/>
      <c r="AQ457" s="26"/>
      <c r="AT457" s="26"/>
      <c r="AU457" s="26"/>
      <c r="AV457" s="26"/>
      <c r="AW457" s="26"/>
    </row>
    <row r="458" customFormat="false" ht="15.75" hidden="false" customHeight="false" outlineLevel="0" collapsed="false">
      <c r="AO458" s="26"/>
      <c r="AQ458" s="26"/>
      <c r="AT458" s="26"/>
      <c r="AU458" s="26"/>
      <c r="AV458" s="26"/>
      <c r="AW458" s="26"/>
    </row>
    <row r="459" customFormat="false" ht="15.75" hidden="false" customHeight="false" outlineLevel="0" collapsed="false">
      <c r="AO459" s="26"/>
      <c r="AQ459" s="26"/>
      <c r="AT459" s="26"/>
      <c r="AU459" s="26"/>
      <c r="AV459" s="26"/>
      <c r="AW459" s="26"/>
    </row>
    <row r="460" customFormat="false" ht="15.75" hidden="false" customHeight="false" outlineLevel="0" collapsed="false">
      <c r="AO460" s="26"/>
      <c r="AQ460" s="26"/>
      <c r="AT460" s="26"/>
      <c r="AU460" s="26"/>
      <c r="AV460" s="26"/>
      <c r="AW460" s="26"/>
    </row>
    <row r="461" customFormat="false" ht="15.75" hidden="false" customHeight="false" outlineLevel="0" collapsed="false">
      <c r="AO461" s="26"/>
      <c r="AQ461" s="26"/>
      <c r="AT461" s="26"/>
      <c r="AU461" s="26"/>
      <c r="AV461" s="26"/>
      <c r="AW461" s="26"/>
    </row>
    <row r="462" customFormat="false" ht="15.75" hidden="false" customHeight="false" outlineLevel="0" collapsed="false">
      <c r="AO462" s="26"/>
      <c r="AQ462" s="26"/>
      <c r="AT462" s="26"/>
      <c r="AU462" s="26"/>
      <c r="AV462" s="26"/>
      <c r="AW462" s="26"/>
    </row>
    <row r="463" customFormat="false" ht="15.75" hidden="false" customHeight="false" outlineLevel="0" collapsed="false">
      <c r="AO463" s="26"/>
      <c r="AQ463" s="26"/>
      <c r="AT463" s="26"/>
      <c r="AU463" s="26"/>
      <c r="AV463" s="26"/>
      <c r="AW463" s="26"/>
    </row>
    <row r="464" customFormat="false" ht="15.75" hidden="false" customHeight="false" outlineLevel="0" collapsed="false">
      <c r="AO464" s="26"/>
      <c r="AQ464" s="26"/>
      <c r="AT464" s="26"/>
      <c r="AU464" s="26"/>
      <c r="AV464" s="26"/>
      <c r="AW464" s="26"/>
    </row>
    <row r="465" customFormat="false" ht="15.75" hidden="false" customHeight="false" outlineLevel="0" collapsed="false">
      <c r="AO465" s="26"/>
      <c r="AQ465" s="26"/>
      <c r="AT465" s="26"/>
      <c r="AU465" s="26"/>
      <c r="AV465" s="26"/>
      <c r="AW465" s="26"/>
    </row>
    <row r="466" customFormat="false" ht="15.75" hidden="false" customHeight="false" outlineLevel="0" collapsed="false">
      <c r="AO466" s="26"/>
      <c r="AQ466" s="26"/>
      <c r="AT466" s="26"/>
      <c r="AU466" s="26"/>
      <c r="AV466" s="26"/>
      <c r="AW466" s="26"/>
    </row>
    <row r="467" customFormat="false" ht="15.75" hidden="false" customHeight="false" outlineLevel="0" collapsed="false">
      <c r="AO467" s="26"/>
      <c r="AQ467" s="26"/>
      <c r="AT467" s="26"/>
      <c r="AU467" s="26"/>
      <c r="AV467" s="26"/>
      <c r="AW467" s="26"/>
    </row>
    <row r="468" customFormat="false" ht="15.75" hidden="false" customHeight="false" outlineLevel="0" collapsed="false">
      <c r="AO468" s="26"/>
      <c r="AQ468" s="26"/>
      <c r="AT468" s="26"/>
      <c r="AU468" s="26"/>
      <c r="AV468" s="26"/>
      <c r="AW468" s="26"/>
    </row>
    <row r="469" customFormat="false" ht="15.75" hidden="false" customHeight="false" outlineLevel="0" collapsed="false">
      <c r="AO469" s="26"/>
      <c r="AQ469" s="26"/>
      <c r="AT469" s="26"/>
      <c r="AU469" s="26"/>
      <c r="AV469" s="26"/>
      <c r="AW469" s="26"/>
    </row>
    <row r="470" customFormat="false" ht="15.75" hidden="false" customHeight="false" outlineLevel="0" collapsed="false">
      <c r="AO470" s="26"/>
      <c r="AQ470" s="26"/>
      <c r="AT470" s="26"/>
      <c r="AU470" s="26"/>
      <c r="AV470" s="26"/>
      <c r="AW470" s="26"/>
    </row>
    <row r="471" customFormat="false" ht="15.75" hidden="false" customHeight="false" outlineLevel="0" collapsed="false">
      <c r="AO471" s="26"/>
      <c r="AQ471" s="26"/>
      <c r="AT471" s="26"/>
      <c r="AU471" s="26"/>
      <c r="AV471" s="26"/>
      <c r="AW471" s="26"/>
    </row>
    <row r="472" customFormat="false" ht="15.75" hidden="false" customHeight="false" outlineLevel="0" collapsed="false">
      <c r="AO472" s="26"/>
      <c r="AQ472" s="26"/>
      <c r="AT472" s="26"/>
      <c r="AU472" s="26"/>
      <c r="AV472" s="26"/>
      <c r="AW472" s="26"/>
    </row>
    <row r="473" customFormat="false" ht="15.75" hidden="false" customHeight="false" outlineLevel="0" collapsed="false">
      <c r="AO473" s="26"/>
      <c r="AQ473" s="26"/>
      <c r="AT473" s="26"/>
      <c r="AU473" s="26"/>
      <c r="AV473" s="26"/>
      <c r="AW473" s="26"/>
    </row>
    <row r="474" customFormat="false" ht="15.75" hidden="false" customHeight="false" outlineLevel="0" collapsed="false">
      <c r="AO474" s="26"/>
      <c r="AQ474" s="26"/>
      <c r="AT474" s="26"/>
      <c r="AU474" s="26"/>
      <c r="AV474" s="26"/>
      <c r="AW474" s="26"/>
    </row>
    <row r="475" customFormat="false" ht="15.75" hidden="false" customHeight="false" outlineLevel="0" collapsed="false">
      <c r="AO475" s="26"/>
      <c r="AQ475" s="26"/>
      <c r="AT475" s="26"/>
      <c r="AU475" s="26"/>
      <c r="AV475" s="26"/>
      <c r="AW475" s="26"/>
    </row>
    <row r="476" customFormat="false" ht="15.75" hidden="false" customHeight="false" outlineLevel="0" collapsed="false">
      <c r="AO476" s="26"/>
      <c r="AQ476" s="26"/>
      <c r="AT476" s="26"/>
      <c r="AU476" s="26"/>
      <c r="AV476" s="26"/>
      <c r="AW476" s="26"/>
    </row>
    <row r="477" customFormat="false" ht="15.75" hidden="false" customHeight="false" outlineLevel="0" collapsed="false">
      <c r="AO477" s="26"/>
      <c r="AQ477" s="26"/>
      <c r="AT477" s="26"/>
      <c r="AU477" s="26"/>
      <c r="AV477" s="26"/>
      <c r="AW477" s="26"/>
    </row>
    <row r="478" customFormat="false" ht="15.75" hidden="false" customHeight="false" outlineLevel="0" collapsed="false">
      <c r="AO478" s="26"/>
      <c r="AQ478" s="26"/>
      <c r="AT478" s="26"/>
      <c r="AU478" s="26"/>
      <c r="AV478" s="26"/>
      <c r="AW478" s="26"/>
    </row>
    <row r="479" customFormat="false" ht="15.75" hidden="false" customHeight="false" outlineLevel="0" collapsed="false">
      <c r="AO479" s="26"/>
      <c r="AQ479" s="26"/>
      <c r="AT479" s="26"/>
      <c r="AU479" s="26"/>
      <c r="AV479" s="26"/>
      <c r="AW479" s="26"/>
    </row>
    <row r="480" customFormat="false" ht="15.75" hidden="false" customHeight="false" outlineLevel="0" collapsed="false">
      <c r="AO480" s="26"/>
      <c r="AQ480" s="26"/>
      <c r="AT480" s="26"/>
      <c r="AU480" s="26"/>
      <c r="AV480" s="26"/>
      <c r="AW480" s="26"/>
    </row>
    <row r="481" customFormat="false" ht="15.75" hidden="false" customHeight="false" outlineLevel="0" collapsed="false">
      <c r="AO481" s="26"/>
      <c r="AQ481" s="26"/>
      <c r="AT481" s="26"/>
      <c r="AU481" s="26"/>
      <c r="AV481" s="26"/>
      <c r="AW481" s="26"/>
    </row>
    <row r="482" customFormat="false" ht="15.75" hidden="false" customHeight="false" outlineLevel="0" collapsed="false">
      <c r="AO482" s="26"/>
      <c r="AQ482" s="26"/>
      <c r="AT482" s="26"/>
      <c r="AU482" s="26"/>
      <c r="AV482" s="26"/>
      <c r="AW482" s="26"/>
    </row>
    <row r="483" customFormat="false" ht="15.75" hidden="false" customHeight="false" outlineLevel="0" collapsed="false">
      <c r="AO483" s="26"/>
      <c r="AQ483" s="26"/>
      <c r="AT483" s="26"/>
      <c r="AU483" s="26"/>
      <c r="AV483" s="26"/>
      <c r="AW483" s="26"/>
    </row>
    <row r="484" customFormat="false" ht="15.75" hidden="false" customHeight="false" outlineLevel="0" collapsed="false">
      <c r="AO484" s="26"/>
      <c r="AQ484" s="26"/>
      <c r="AT484" s="26"/>
      <c r="AU484" s="26"/>
      <c r="AV484" s="26"/>
      <c r="AW484" s="26"/>
    </row>
    <row r="485" customFormat="false" ht="15.75" hidden="false" customHeight="false" outlineLevel="0" collapsed="false">
      <c r="AO485" s="26"/>
      <c r="AQ485" s="26"/>
      <c r="AT485" s="26"/>
      <c r="AU485" s="26"/>
      <c r="AV485" s="26"/>
      <c r="AW485" s="26"/>
    </row>
    <row r="486" customFormat="false" ht="15.75" hidden="false" customHeight="false" outlineLevel="0" collapsed="false">
      <c r="AO486" s="26"/>
      <c r="AQ486" s="26"/>
      <c r="AT486" s="26"/>
      <c r="AU486" s="26"/>
      <c r="AV486" s="26"/>
      <c r="AW486" s="26"/>
    </row>
    <row r="487" customFormat="false" ht="15.75" hidden="false" customHeight="false" outlineLevel="0" collapsed="false">
      <c r="AO487" s="26"/>
      <c r="AQ487" s="26"/>
      <c r="AT487" s="26"/>
      <c r="AU487" s="26"/>
      <c r="AV487" s="26"/>
      <c r="AW487" s="26"/>
    </row>
    <row r="488" customFormat="false" ht="15.75" hidden="false" customHeight="false" outlineLevel="0" collapsed="false">
      <c r="AO488" s="26"/>
      <c r="AQ488" s="26"/>
      <c r="AT488" s="26"/>
      <c r="AU488" s="26"/>
      <c r="AV488" s="26"/>
      <c r="AW488" s="26"/>
    </row>
    <row r="489" customFormat="false" ht="15.75" hidden="false" customHeight="false" outlineLevel="0" collapsed="false">
      <c r="AO489" s="26"/>
      <c r="AQ489" s="26"/>
      <c r="AT489" s="26"/>
      <c r="AU489" s="26"/>
      <c r="AV489" s="26"/>
      <c r="AW489" s="26"/>
    </row>
    <row r="490" customFormat="false" ht="15.75" hidden="false" customHeight="false" outlineLevel="0" collapsed="false">
      <c r="AO490" s="26"/>
      <c r="AQ490" s="26"/>
      <c r="AT490" s="26"/>
      <c r="AU490" s="26"/>
      <c r="AV490" s="26"/>
      <c r="AW490" s="26"/>
    </row>
    <row r="491" customFormat="false" ht="15.75" hidden="false" customHeight="false" outlineLevel="0" collapsed="false">
      <c r="AO491" s="26"/>
      <c r="AQ491" s="26"/>
      <c r="AT491" s="26"/>
      <c r="AU491" s="26"/>
      <c r="AV491" s="26"/>
      <c r="AW491" s="26"/>
    </row>
    <row r="492" customFormat="false" ht="15.75" hidden="false" customHeight="false" outlineLevel="0" collapsed="false">
      <c r="AO492" s="26"/>
      <c r="AQ492" s="26"/>
      <c r="AT492" s="26"/>
      <c r="AU492" s="26"/>
      <c r="AV492" s="26"/>
      <c r="AW492" s="26"/>
    </row>
    <row r="493" customFormat="false" ht="15.75" hidden="false" customHeight="false" outlineLevel="0" collapsed="false">
      <c r="AO493" s="26"/>
      <c r="AQ493" s="26"/>
      <c r="AT493" s="26"/>
      <c r="AU493" s="26"/>
      <c r="AV493" s="26"/>
      <c r="AW493" s="26"/>
    </row>
    <row r="494" customFormat="false" ht="15.75" hidden="false" customHeight="false" outlineLevel="0" collapsed="false">
      <c r="AO494" s="26"/>
      <c r="AQ494" s="26"/>
      <c r="AT494" s="26"/>
      <c r="AU494" s="26"/>
      <c r="AV494" s="26"/>
      <c r="AW494" s="26"/>
    </row>
    <row r="495" customFormat="false" ht="15.75" hidden="false" customHeight="false" outlineLevel="0" collapsed="false">
      <c r="AO495" s="26"/>
      <c r="AQ495" s="26"/>
      <c r="AT495" s="26"/>
      <c r="AU495" s="26"/>
      <c r="AV495" s="26"/>
      <c r="AW495" s="26"/>
    </row>
    <row r="496" customFormat="false" ht="15.75" hidden="false" customHeight="false" outlineLevel="0" collapsed="false">
      <c r="AO496" s="26"/>
      <c r="AQ496" s="26"/>
      <c r="AT496" s="26"/>
      <c r="AU496" s="26"/>
      <c r="AV496" s="26"/>
      <c r="AW496" s="26"/>
    </row>
    <row r="497" customFormat="false" ht="15.75" hidden="false" customHeight="false" outlineLevel="0" collapsed="false">
      <c r="AO497" s="26"/>
      <c r="AQ497" s="26"/>
      <c r="AT497" s="26"/>
      <c r="AU497" s="26"/>
      <c r="AV497" s="26"/>
      <c r="AW497" s="26"/>
    </row>
    <row r="498" customFormat="false" ht="15.75" hidden="false" customHeight="false" outlineLevel="0" collapsed="false">
      <c r="AO498" s="26"/>
      <c r="AQ498" s="26"/>
      <c r="AT498" s="26"/>
      <c r="AU498" s="26"/>
      <c r="AV498" s="26"/>
      <c r="AW498" s="26"/>
    </row>
    <row r="499" customFormat="false" ht="15.75" hidden="false" customHeight="false" outlineLevel="0" collapsed="false">
      <c r="AO499" s="26"/>
      <c r="AQ499" s="26"/>
      <c r="AT499" s="26"/>
      <c r="AU499" s="26"/>
      <c r="AV499" s="26"/>
      <c r="AW499" s="26"/>
    </row>
    <row r="500" customFormat="false" ht="15.75" hidden="false" customHeight="false" outlineLevel="0" collapsed="false">
      <c r="AO500" s="26"/>
      <c r="AQ500" s="26"/>
      <c r="AT500" s="26"/>
      <c r="AU500" s="26"/>
      <c r="AV500" s="26"/>
      <c r="AW500" s="26"/>
    </row>
    <row r="501" customFormat="false" ht="15.75" hidden="false" customHeight="false" outlineLevel="0" collapsed="false">
      <c r="AO501" s="26"/>
      <c r="AQ501" s="26"/>
      <c r="AT501" s="26"/>
      <c r="AU501" s="26"/>
      <c r="AV501" s="26"/>
      <c r="AW501" s="26"/>
    </row>
    <row r="502" customFormat="false" ht="15.75" hidden="false" customHeight="false" outlineLevel="0" collapsed="false">
      <c r="AO502" s="26"/>
      <c r="AQ502" s="26"/>
      <c r="AT502" s="26"/>
      <c r="AU502" s="26"/>
      <c r="AV502" s="26"/>
      <c r="AW502" s="26"/>
    </row>
    <row r="503" customFormat="false" ht="15.75" hidden="false" customHeight="false" outlineLevel="0" collapsed="false">
      <c r="AO503" s="26"/>
      <c r="AQ503" s="26"/>
      <c r="AT503" s="26"/>
      <c r="AU503" s="26"/>
      <c r="AV503" s="26"/>
      <c r="AW503" s="26"/>
    </row>
    <row r="504" customFormat="false" ht="15.75" hidden="false" customHeight="false" outlineLevel="0" collapsed="false">
      <c r="AO504" s="26"/>
      <c r="AQ504" s="26"/>
      <c r="AT504" s="26"/>
      <c r="AU504" s="26"/>
      <c r="AV504" s="26"/>
      <c r="AW504" s="26"/>
    </row>
    <row r="505" customFormat="false" ht="15.75" hidden="false" customHeight="false" outlineLevel="0" collapsed="false">
      <c r="AO505" s="26"/>
      <c r="AQ505" s="26"/>
      <c r="AT505" s="26"/>
      <c r="AU505" s="26"/>
      <c r="AV505" s="26"/>
      <c r="AW505" s="26"/>
    </row>
    <row r="506" customFormat="false" ht="15.75" hidden="false" customHeight="false" outlineLevel="0" collapsed="false">
      <c r="AO506" s="26"/>
      <c r="AQ506" s="26"/>
      <c r="AT506" s="26"/>
      <c r="AU506" s="26"/>
      <c r="AV506" s="26"/>
      <c r="AW506" s="26"/>
    </row>
    <row r="507" customFormat="false" ht="15.75" hidden="false" customHeight="false" outlineLevel="0" collapsed="false">
      <c r="AO507" s="26"/>
      <c r="AQ507" s="26"/>
      <c r="AT507" s="26"/>
      <c r="AU507" s="26"/>
      <c r="AV507" s="26"/>
      <c r="AW507" s="26"/>
    </row>
    <row r="508" customFormat="false" ht="15.75" hidden="false" customHeight="false" outlineLevel="0" collapsed="false">
      <c r="AO508" s="26"/>
      <c r="AQ508" s="26"/>
      <c r="AT508" s="26"/>
      <c r="AU508" s="26"/>
      <c r="AV508" s="26"/>
      <c r="AW508" s="26"/>
    </row>
    <row r="509" customFormat="false" ht="15.75" hidden="false" customHeight="false" outlineLevel="0" collapsed="false">
      <c r="AO509" s="26"/>
      <c r="AQ509" s="26"/>
      <c r="AT509" s="26"/>
      <c r="AU509" s="26"/>
      <c r="AV509" s="26"/>
      <c r="AW509" s="26"/>
    </row>
    <row r="510" customFormat="false" ht="15.75" hidden="false" customHeight="false" outlineLevel="0" collapsed="false">
      <c r="AO510" s="26"/>
      <c r="AQ510" s="26"/>
      <c r="AT510" s="26"/>
      <c r="AU510" s="26"/>
      <c r="AV510" s="26"/>
      <c r="AW510" s="26"/>
    </row>
    <row r="511" customFormat="false" ht="15.75" hidden="false" customHeight="false" outlineLevel="0" collapsed="false">
      <c r="AO511" s="26"/>
      <c r="AQ511" s="26"/>
      <c r="AT511" s="26"/>
      <c r="AU511" s="26"/>
      <c r="AV511" s="26"/>
      <c r="AW511" s="26"/>
    </row>
    <row r="512" customFormat="false" ht="15.75" hidden="false" customHeight="false" outlineLevel="0" collapsed="false">
      <c r="AO512" s="26"/>
      <c r="AQ512" s="26"/>
      <c r="AT512" s="26"/>
      <c r="AU512" s="26"/>
      <c r="AV512" s="26"/>
      <c r="AW512" s="26"/>
    </row>
    <row r="513" customFormat="false" ht="15.75" hidden="false" customHeight="false" outlineLevel="0" collapsed="false">
      <c r="AO513" s="26"/>
      <c r="AQ513" s="26"/>
      <c r="AT513" s="26"/>
      <c r="AU513" s="26"/>
      <c r="AV513" s="26"/>
      <c r="AW513" s="26"/>
    </row>
    <row r="514" customFormat="false" ht="15.75" hidden="false" customHeight="false" outlineLevel="0" collapsed="false">
      <c r="AO514" s="26"/>
      <c r="AQ514" s="26"/>
      <c r="AT514" s="26"/>
      <c r="AU514" s="26"/>
      <c r="AV514" s="26"/>
      <c r="AW514" s="26"/>
    </row>
    <row r="515" customFormat="false" ht="15.75" hidden="false" customHeight="false" outlineLevel="0" collapsed="false">
      <c r="AO515" s="26"/>
      <c r="AQ515" s="26"/>
      <c r="AT515" s="26"/>
      <c r="AU515" s="26"/>
      <c r="AV515" s="26"/>
      <c r="AW515" s="26"/>
    </row>
    <row r="516" customFormat="false" ht="15.75" hidden="false" customHeight="false" outlineLevel="0" collapsed="false">
      <c r="AO516" s="26"/>
      <c r="AQ516" s="26"/>
      <c r="AT516" s="26"/>
      <c r="AU516" s="26"/>
      <c r="AV516" s="26"/>
      <c r="AW516" s="26"/>
    </row>
    <row r="517" customFormat="false" ht="15.75" hidden="false" customHeight="false" outlineLevel="0" collapsed="false">
      <c r="AO517" s="26"/>
      <c r="AQ517" s="26"/>
      <c r="AT517" s="26"/>
      <c r="AU517" s="26"/>
      <c r="AV517" s="26"/>
      <c r="AW517" s="26"/>
    </row>
    <row r="518" customFormat="false" ht="15.75" hidden="false" customHeight="false" outlineLevel="0" collapsed="false">
      <c r="AO518" s="26"/>
      <c r="AQ518" s="26"/>
      <c r="AT518" s="26"/>
      <c r="AU518" s="26"/>
      <c r="AV518" s="26"/>
      <c r="AW518" s="26"/>
    </row>
    <row r="519" customFormat="false" ht="15.75" hidden="false" customHeight="false" outlineLevel="0" collapsed="false">
      <c r="AO519" s="26"/>
      <c r="AQ519" s="26"/>
      <c r="AT519" s="26"/>
      <c r="AU519" s="26"/>
      <c r="AV519" s="26"/>
      <c r="AW519" s="26"/>
    </row>
    <row r="520" customFormat="false" ht="15.75" hidden="false" customHeight="false" outlineLevel="0" collapsed="false">
      <c r="AO520" s="26"/>
      <c r="AQ520" s="26"/>
      <c r="AT520" s="26"/>
      <c r="AU520" s="26"/>
      <c r="AV520" s="26"/>
      <c r="AW520" s="26"/>
    </row>
    <row r="521" customFormat="false" ht="15.75" hidden="false" customHeight="false" outlineLevel="0" collapsed="false">
      <c r="AO521" s="26"/>
      <c r="AQ521" s="26"/>
      <c r="AT521" s="26"/>
      <c r="AU521" s="26"/>
      <c r="AV521" s="26"/>
      <c r="AW521" s="26"/>
    </row>
    <row r="522" customFormat="false" ht="15.75" hidden="false" customHeight="false" outlineLevel="0" collapsed="false">
      <c r="AO522" s="26"/>
      <c r="AQ522" s="26"/>
      <c r="AT522" s="26"/>
      <c r="AU522" s="26"/>
      <c r="AV522" s="26"/>
      <c r="AW522" s="26"/>
    </row>
    <row r="523" customFormat="false" ht="15.75" hidden="false" customHeight="false" outlineLevel="0" collapsed="false">
      <c r="AO523" s="26"/>
      <c r="AQ523" s="26"/>
      <c r="AT523" s="26"/>
      <c r="AU523" s="26"/>
      <c r="AV523" s="26"/>
      <c r="AW523" s="26"/>
    </row>
    <row r="524" customFormat="false" ht="15.75" hidden="false" customHeight="false" outlineLevel="0" collapsed="false">
      <c r="AO524" s="26"/>
      <c r="AQ524" s="26"/>
      <c r="AT524" s="26"/>
      <c r="AU524" s="26"/>
      <c r="AV524" s="26"/>
      <c r="AW524" s="26"/>
    </row>
    <row r="525" customFormat="false" ht="15.75" hidden="false" customHeight="false" outlineLevel="0" collapsed="false">
      <c r="AO525" s="26"/>
      <c r="AQ525" s="26"/>
      <c r="AT525" s="26"/>
      <c r="AU525" s="26"/>
      <c r="AV525" s="26"/>
      <c r="AW525" s="26"/>
    </row>
    <row r="526" customFormat="false" ht="15.75" hidden="false" customHeight="false" outlineLevel="0" collapsed="false">
      <c r="AO526" s="26"/>
      <c r="AQ526" s="26"/>
      <c r="AT526" s="26"/>
      <c r="AU526" s="26"/>
      <c r="AV526" s="26"/>
      <c r="AW526" s="26"/>
    </row>
    <row r="527" customFormat="false" ht="15.75" hidden="false" customHeight="false" outlineLevel="0" collapsed="false">
      <c r="AO527" s="26"/>
      <c r="AQ527" s="26"/>
      <c r="AT527" s="26"/>
      <c r="AU527" s="26"/>
      <c r="AV527" s="26"/>
      <c r="AW527" s="26"/>
    </row>
    <row r="528" customFormat="false" ht="15.75" hidden="false" customHeight="false" outlineLevel="0" collapsed="false">
      <c r="AO528" s="26"/>
      <c r="AQ528" s="26"/>
      <c r="AT528" s="26"/>
      <c r="AU528" s="26"/>
      <c r="AV528" s="26"/>
      <c r="AW528" s="26"/>
    </row>
    <row r="529" customFormat="false" ht="15.75" hidden="false" customHeight="false" outlineLevel="0" collapsed="false">
      <c r="AO529" s="26"/>
      <c r="AQ529" s="26"/>
      <c r="AT529" s="26"/>
      <c r="AU529" s="26"/>
      <c r="AV529" s="26"/>
      <c r="AW529" s="26"/>
    </row>
    <row r="530" customFormat="false" ht="15.75" hidden="false" customHeight="false" outlineLevel="0" collapsed="false">
      <c r="AO530" s="26"/>
      <c r="AQ530" s="26"/>
      <c r="AT530" s="26"/>
      <c r="AU530" s="26"/>
      <c r="AV530" s="26"/>
      <c r="AW530" s="26"/>
    </row>
    <row r="531" customFormat="false" ht="15.75" hidden="false" customHeight="false" outlineLevel="0" collapsed="false">
      <c r="AO531" s="26"/>
      <c r="AQ531" s="26"/>
      <c r="AT531" s="26"/>
      <c r="AU531" s="26"/>
      <c r="AV531" s="26"/>
      <c r="AW531" s="26"/>
    </row>
    <row r="532" customFormat="false" ht="15.75" hidden="false" customHeight="false" outlineLevel="0" collapsed="false">
      <c r="AO532" s="26"/>
      <c r="AQ532" s="26"/>
      <c r="AT532" s="26"/>
      <c r="AU532" s="26"/>
      <c r="AV532" s="26"/>
      <c r="AW532" s="26"/>
    </row>
    <row r="533" customFormat="false" ht="15.75" hidden="false" customHeight="false" outlineLevel="0" collapsed="false">
      <c r="AO533" s="26"/>
      <c r="AQ533" s="26"/>
      <c r="AT533" s="26"/>
      <c r="AU533" s="26"/>
      <c r="AV533" s="26"/>
      <c r="AW533" s="26"/>
    </row>
    <row r="534" customFormat="false" ht="15.75" hidden="false" customHeight="false" outlineLevel="0" collapsed="false">
      <c r="AO534" s="26"/>
      <c r="AQ534" s="26"/>
      <c r="AT534" s="26"/>
      <c r="AU534" s="26"/>
      <c r="AV534" s="26"/>
      <c r="AW534" s="26"/>
    </row>
    <row r="535" customFormat="false" ht="15.75" hidden="false" customHeight="false" outlineLevel="0" collapsed="false">
      <c r="AO535" s="26"/>
      <c r="AQ535" s="26"/>
      <c r="AT535" s="26"/>
      <c r="AU535" s="26"/>
      <c r="AV535" s="26"/>
      <c r="AW535" s="26"/>
    </row>
    <row r="536" customFormat="false" ht="15.75" hidden="false" customHeight="false" outlineLevel="0" collapsed="false">
      <c r="AO536" s="26"/>
      <c r="AQ536" s="26"/>
      <c r="AT536" s="26"/>
      <c r="AU536" s="26"/>
      <c r="AV536" s="26"/>
      <c r="AW536" s="26"/>
    </row>
    <row r="537" customFormat="false" ht="15.75" hidden="false" customHeight="false" outlineLevel="0" collapsed="false">
      <c r="AO537" s="26"/>
      <c r="AQ537" s="26"/>
      <c r="AT537" s="26"/>
      <c r="AU537" s="26"/>
      <c r="AV537" s="26"/>
      <c r="AW537" s="26"/>
    </row>
    <row r="538" customFormat="false" ht="15.75" hidden="false" customHeight="false" outlineLevel="0" collapsed="false">
      <c r="AO538" s="26"/>
      <c r="AQ538" s="26"/>
      <c r="AT538" s="26"/>
      <c r="AU538" s="26"/>
      <c r="AV538" s="26"/>
      <c r="AW538" s="26"/>
    </row>
    <row r="539" customFormat="false" ht="15.75" hidden="false" customHeight="false" outlineLevel="0" collapsed="false">
      <c r="AO539" s="26"/>
      <c r="AQ539" s="26"/>
      <c r="AT539" s="26"/>
      <c r="AU539" s="26"/>
      <c r="AV539" s="26"/>
      <c r="AW539" s="26"/>
    </row>
    <row r="540" customFormat="false" ht="15.75" hidden="false" customHeight="false" outlineLevel="0" collapsed="false">
      <c r="AO540" s="26"/>
      <c r="AQ540" s="26"/>
      <c r="AT540" s="26"/>
      <c r="AU540" s="26"/>
      <c r="AV540" s="26"/>
      <c r="AW540" s="26"/>
    </row>
    <row r="541" customFormat="false" ht="15.75" hidden="false" customHeight="false" outlineLevel="0" collapsed="false">
      <c r="AO541" s="26"/>
      <c r="AQ541" s="26"/>
      <c r="AT541" s="26"/>
      <c r="AU541" s="26"/>
      <c r="AV541" s="26"/>
      <c r="AW541" s="26"/>
    </row>
    <row r="542" customFormat="false" ht="15.75" hidden="false" customHeight="false" outlineLevel="0" collapsed="false">
      <c r="AO542" s="26"/>
      <c r="AQ542" s="26"/>
      <c r="AT542" s="26"/>
      <c r="AU542" s="26"/>
      <c r="AV542" s="26"/>
      <c r="AW542" s="26"/>
    </row>
    <row r="543" customFormat="false" ht="15.75" hidden="false" customHeight="false" outlineLevel="0" collapsed="false">
      <c r="AO543" s="26"/>
      <c r="AQ543" s="26"/>
      <c r="AT543" s="26"/>
      <c r="AU543" s="26"/>
      <c r="AV543" s="26"/>
      <c r="AW543" s="26"/>
    </row>
    <row r="544" customFormat="false" ht="15.75" hidden="false" customHeight="false" outlineLevel="0" collapsed="false">
      <c r="AO544" s="26"/>
      <c r="AQ544" s="26"/>
      <c r="AT544" s="26"/>
      <c r="AU544" s="26"/>
      <c r="AV544" s="26"/>
      <c r="AW544" s="26"/>
    </row>
    <row r="545" customFormat="false" ht="15.75" hidden="false" customHeight="false" outlineLevel="0" collapsed="false">
      <c r="AO545" s="26"/>
      <c r="AQ545" s="26"/>
      <c r="AT545" s="26"/>
      <c r="AU545" s="26"/>
      <c r="AV545" s="26"/>
      <c r="AW545" s="26"/>
    </row>
    <row r="546" customFormat="false" ht="15.75" hidden="false" customHeight="false" outlineLevel="0" collapsed="false">
      <c r="AO546" s="26"/>
      <c r="AQ546" s="26"/>
      <c r="AT546" s="26"/>
      <c r="AU546" s="26"/>
      <c r="AV546" s="26"/>
      <c r="AW546" s="26"/>
    </row>
    <row r="547" customFormat="false" ht="15.75" hidden="false" customHeight="false" outlineLevel="0" collapsed="false">
      <c r="AO547" s="26"/>
      <c r="AQ547" s="26"/>
      <c r="AT547" s="26"/>
      <c r="AU547" s="26"/>
      <c r="AV547" s="26"/>
      <c r="AW547" s="26"/>
    </row>
    <row r="548" customFormat="false" ht="15.75" hidden="false" customHeight="false" outlineLevel="0" collapsed="false">
      <c r="AO548" s="26"/>
      <c r="AQ548" s="26"/>
      <c r="AT548" s="26"/>
      <c r="AU548" s="26"/>
      <c r="AV548" s="26"/>
      <c r="AW548" s="26"/>
    </row>
    <row r="549" customFormat="false" ht="15.75" hidden="false" customHeight="false" outlineLevel="0" collapsed="false">
      <c r="AO549" s="26"/>
      <c r="AQ549" s="26"/>
      <c r="AT549" s="26"/>
      <c r="AU549" s="26"/>
      <c r="AV549" s="26"/>
      <c r="AW549" s="26"/>
    </row>
    <row r="550" customFormat="false" ht="15.75" hidden="false" customHeight="false" outlineLevel="0" collapsed="false">
      <c r="AO550" s="26"/>
      <c r="AQ550" s="26"/>
      <c r="AT550" s="26"/>
      <c r="AU550" s="26"/>
      <c r="AV550" s="26"/>
      <c r="AW550" s="26"/>
    </row>
    <row r="551" customFormat="false" ht="15.75" hidden="false" customHeight="false" outlineLevel="0" collapsed="false">
      <c r="AO551" s="26"/>
      <c r="AQ551" s="26"/>
      <c r="AT551" s="26"/>
      <c r="AU551" s="26"/>
      <c r="AV551" s="26"/>
      <c r="AW551" s="26"/>
    </row>
    <row r="552" customFormat="false" ht="15.75" hidden="false" customHeight="false" outlineLevel="0" collapsed="false">
      <c r="AO552" s="26"/>
      <c r="AQ552" s="26"/>
      <c r="AT552" s="26"/>
      <c r="AU552" s="26"/>
      <c r="AV552" s="26"/>
      <c r="AW552" s="26"/>
    </row>
    <row r="553" customFormat="false" ht="15.75" hidden="false" customHeight="false" outlineLevel="0" collapsed="false">
      <c r="AO553" s="26"/>
      <c r="AQ553" s="26"/>
      <c r="AT553" s="26"/>
      <c r="AU553" s="26"/>
      <c r="AV553" s="26"/>
      <c r="AW553" s="26"/>
    </row>
    <row r="554" customFormat="false" ht="15.75" hidden="false" customHeight="false" outlineLevel="0" collapsed="false">
      <c r="AO554" s="26"/>
      <c r="AQ554" s="26"/>
      <c r="AT554" s="26"/>
      <c r="AU554" s="26"/>
      <c r="AV554" s="26"/>
      <c r="AW554" s="26"/>
    </row>
    <row r="555" customFormat="false" ht="15.75" hidden="false" customHeight="false" outlineLevel="0" collapsed="false">
      <c r="AO555" s="26"/>
      <c r="AQ555" s="26"/>
      <c r="AT555" s="26"/>
      <c r="AU555" s="26"/>
      <c r="AV555" s="26"/>
      <c r="AW555" s="26"/>
    </row>
    <row r="556" customFormat="false" ht="15.75" hidden="false" customHeight="false" outlineLevel="0" collapsed="false">
      <c r="AO556" s="26"/>
      <c r="AQ556" s="26"/>
      <c r="AT556" s="26"/>
      <c r="AU556" s="26"/>
      <c r="AV556" s="26"/>
      <c r="AW556" s="26"/>
    </row>
    <row r="557" customFormat="false" ht="15.75" hidden="false" customHeight="false" outlineLevel="0" collapsed="false">
      <c r="AO557" s="26"/>
      <c r="AQ557" s="26"/>
      <c r="AT557" s="26"/>
      <c r="AU557" s="26"/>
      <c r="AV557" s="26"/>
      <c r="AW557" s="26"/>
    </row>
    <row r="558" customFormat="false" ht="15.75" hidden="false" customHeight="false" outlineLevel="0" collapsed="false">
      <c r="AO558" s="26"/>
      <c r="AQ558" s="26"/>
      <c r="AT558" s="26"/>
      <c r="AU558" s="26"/>
      <c r="AV558" s="26"/>
      <c r="AW558" s="26"/>
    </row>
    <row r="559" customFormat="false" ht="15.75" hidden="false" customHeight="false" outlineLevel="0" collapsed="false">
      <c r="AO559" s="26"/>
      <c r="AQ559" s="26"/>
      <c r="AT559" s="26"/>
      <c r="AU559" s="26"/>
      <c r="AV559" s="26"/>
      <c r="AW559" s="26"/>
    </row>
    <row r="560" customFormat="false" ht="15.75" hidden="false" customHeight="false" outlineLevel="0" collapsed="false">
      <c r="AO560" s="26"/>
      <c r="AQ560" s="26"/>
      <c r="AT560" s="26"/>
      <c r="AU560" s="26"/>
      <c r="AV560" s="26"/>
      <c r="AW560" s="26"/>
    </row>
    <row r="561" customFormat="false" ht="15.75" hidden="false" customHeight="false" outlineLevel="0" collapsed="false">
      <c r="AO561" s="26"/>
      <c r="AQ561" s="26"/>
      <c r="AT561" s="26"/>
      <c r="AU561" s="26"/>
      <c r="AV561" s="26"/>
      <c r="AW561" s="26"/>
    </row>
    <row r="562" customFormat="false" ht="15.75" hidden="false" customHeight="false" outlineLevel="0" collapsed="false">
      <c r="AO562" s="26"/>
      <c r="AQ562" s="26"/>
      <c r="AT562" s="26"/>
      <c r="AU562" s="26"/>
      <c r="AV562" s="26"/>
      <c r="AW562" s="26"/>
    </row>
    <row r="563" customFormat="false" ht="15.75" hidden="false" customHeight="false" outlineLevel="0" collapsed="false">
      <c r="AO563" s="26"/>
      <c r="AQ563" s="26"/>
      <c r="AT563" s="26"/>
      <c r="AU563" s="26"/>
      <c r="AV563" s="26"/>
      <c r="AW563" s="26"/>
    </row>
    <row r="564" customFormat="false" ht="15.75" hidden="false" customHeight="false" outlineLevel="0" collapsed="false">
      <c r="AO564" s="26"/>
      <c r="AQ564" s="26"/>
      <c r="AT564" s="26"/>
      <c r="AU564" s="26"/>
      <c r="AV564" s="26"/>
      <c r="AW564" s="26"/>
    </row>
    <row r="565" customFormat="false" ht="15.75" hidden="false" customHeight="false" outlineLevel="0" collapsed="false">
      <c r="AO565" s="26"/>
      <c r="AQ565" s="26"/>
      <c r="AT565" s="26"/>
      <c r="AU565" s="26"/>
      <c r="AV565" s="26"/>
      <c r="AW565" s="26"/>
    </row>
    <row r="566" customFormat="false" ht="15.75" hidden="false" customHeight="false" outlineLevel="0" collapsed="false">
      <c r="AO566" s="26"/>
      <c r="AQ566" s="26"/>
      <c r="AT566" s="26"/>
      <c r="AU566" s="26"/>
      <c r="AV566" s="26"/>
      <c r="AW566" s="26"/>
    </row>
    <row r="567" customFormat="false" ht="15.75" hidden="false" customHeight="false" outlineLevel="0" collapsed="false">
      <c r="AO567" s="26"/>
      <c r="AQ567" s="26"/>
      <c r="AT567" s="26"/>
      <c r="AU567" s="26"/>
      <c r="AV567" s="26"/>
      <c r="AW567" s="26"/>
    </row>
    <row r="568" customFormat="false" ht="15.75" hidden="false" customHeight="false" outlineLevel="0" collapsed="false">
      <c r="AO568" s="26"/>
      <c r="AQ568" s="26"/>
      <c r="AT568" s="26"/>
      <c r="AU568" s="26"/>
      <c r="AV568" s="26"/>
      <c r="AW568" s="26"/>
    </row>
    <row r="569" customFormat="false" ht="15.75" hidden="false" customHeight="false" outlineLevel="0" collapsed="false">
      <c r="AO569" s="26"/>
      <c r="AQ569" s="26"/>
      <c r="AT569" s="26"/>
      <c r="AU569" s="26"/>
      <c r="AV569" s="26"/>
      <c r="AW569" s="26"/>
    </row>
    <row r="570" customFormat="false" ht="15.75" hidden="false" customHeight="false" outlineLevel="0" collapsed="false">
      <c r="AO570" s="26"/>
      <c r="AQ570" s="26"/>
      <c r="AT570" s="26"/>
      <c r="AU570" s="26"/>
      <c r="AV570" s="26"/>
      <c r="AW570" s="26"/>
    </row>
    <row r="571" customFormat="false" ht="15.75" hidden="false" customHeight="false" outlineLevel="0" collapsed="false">
      <c r="AO571" s="26"/>
      <c r="AQ571" s="26"/>
      <c r="AT571" s="26"/>
      <c r="AU571" s="26"/>
      <c r="AV571" s="26"/>
      <c r="AW571" s="26"/>
    </row>
    <row r="572" customFormat="false" ht="15.75" hidden="false" customHeight="false" outlineLevel="0" collapsed="false">
      <c r="AO572" s="26"/>
      <c r="AQ572" s="26"/>
      <c r="AT572" s="26"/>
      <c r="AU572" s="26"/>
      <c r="AV572" s="26"/>
      <c r="AW572" s="26"/>
    </row>
    <row r="573" customFormat="false" ht="15.75" hidden="false" customHeight="false" outlineLevel="0" collapsed="false">
      <c r="AO573" s="26"/>
      <c r="AQ573" s="26"/>
      <c r="AT573" s="26"/>
      <c r="AU573" s="26"/>
      <c r="AV573" s="26"/>
      <c r="AW573" s="26"/>
    </row>
    <row r="574" customFormat="false" ht="15.75" hidden="false" customHeight="false" outlineLevel="0" collapsed="false">
      <c r="AO574" s="26"/>
      <c r="AQ574" s="26"/>
      <c r="AT574" s="26"/>
      <c r="AU574" s="26"/>
      <c r="AV574" s="26"/>
      <c r="AW574" s="26"/>
    </row>
    <row r="575" customFormat="false" ht="15.75" hidden="false" customHeight="false" outlineLevel="0" collapsed="false">
      <c r="AO575" s="26"/>
      <c r="AQ575" s="26"/>
      <c r="AT575" s="26"/>
      <c r="AU575" s="26"/>
      <c r="AV575" s="26"/>
      <c r="AW575" s="26"/>
    </row>
    <row r="576" customFormat="false" ht="15.75" hidden="false" customHeight="false" outlineLevel="0" collapsed="false">
      <c r="AO576" s="26"/>
      <c r="AQ576" s="26"/>
      <c r="AT576" s="26"/>
      <c r="AU576" s="26"/>
      <c r="AV576" s="26"/>
      <c r="AW576" s="26"/>
    </row>
    <row r="577" customFormat="false" ht="15.75" hidden="false" customHeight="false" outlineLevel="0" collapsed="false">
      <c r="AO577" s="26"/>
      <c r="AQ577" s="26"/>
      <c r="AT577" s="26"/>
      <c r="AU577" s="26"/>
      <c r="AV577" s="26"/>
      <c r="AW577" s="26"/>
    </row>
    <row r="578" customFormat="false" ht="15.75" hidden="false" customHeight="false" outlineLevel="0" collapsed="false">
      <c r="AO578" s="26"/>
      <c r="AQ578" s="26"/>
      <c r="AT578" s="26"/>
      <c r="AU578" s="26"/>
      <c r="AV578" s="26"/>
      <c r="AW578" s="26"/>
    </row>
    <row r="579" customFormat="false" ht="15.75" hidden="false" customHeight="false" outlineLevel="0" collapsed="false">
      <c r="AO579" s="26"/>
      <c r="AQ579" s="26"/>
      <c r="AT579" s="26"/>
      <c r="AU579" s="26"/>
      <c r="AV579" s="26"/>
      <c r="AW579" s="26"/>
    </row>
    <row r="580" customFormat="false" ht="15.75" hidden="false" customHeight="false" outlineLevel="0" collapsed="false">
      <c r="AO580" s="26"/>
      <c r="AQ580" s="26"/>
      <c r="AT580" s="26"/>
      <c r="AU580" s="26"/>
      <c r="AV580" s="26"/>
      <c r="AW580" s="26"/>
    </row>
    <row r="581" customFormat="false" ht="15.75" hidden="false" customHeight="false" outlineLevel="0" collapsed="false">
      <c r="AO581" s="26"/>
      <c r="AQ581" s="26"/>
      <c r="AT581" s="26"/>
      <c r="AU581" s="26"/>
      <c r="AV581" s="26"/>
      <c r="AW581" s="26"/>
    </row>
    <row r="582" customFormat="false" ht="15.75" hidden="false" customHeight="false" outlineLevel="0" collapsed="false">
      <c r="AO582" s="26"/>
      <c r="AQ582" s="26"/>
      <c r="AT582" s="26"/>
      <c r="AU582" s="26"/>
      <c r="AV582" s="26"/>
      <c r="AW582" s="26"/>
    </row>
    <row r="583" customFormat="false" ht="15.75" hidden="false" customHeight="false" outlineLevel="0" collapsed="false">
      <c r="AO583" s="26"/>
      <c r="AQ583" s="26"/>
      <c r="AT583" s="26"/>
      <c r="AU583" s="26"/>
      <c r="AV583" s="26"/>
      <c r="AW583" s="26"/>
    </row>
    <row r="584" customFormat="false" ht="15.75" hidden="false" customHeight="false" outlineLevel="0" collapsed="false">
      <c r="AO584" s="26"/>
      <c r="AQ584" s="26"/>
      <c r="AT584" s="26"/>
      <c r="AU584" s="26"/>
      <c r="AV584" s="26"/>
      <c r="AW584" s="26"/>
    </row>
    <row r="585" customFormat="false" ht="15.75" hidden="false" customHeight="false" outlineLevel="0" collapsed="false">
      <c r="AO585" s="26"/>
      <c r="AQ585" s="26"/>
      <c r="AT585" s="26"/>
      <c r="AU585" s="26"/>
      <c r="AV585" s="26"/>
      <c r="AW585" s="26"/>
    </row>
    <row r="586" customFormat="false" ht="15.75" hidden="false" customHeight="false" outlineLevel="0" collapsed="false">
      <c r="AO586" s="26"/>
      <c r="AQ586" s="26"/>
      <c r="AT586" s="26"/>
      <c r="AU586" s="26"/>
      <c r="AV586" s="26"/>
      <c r="AW586" s="26"/>
    </row>
    <row r="587" customFormat="false" ht="15.75" hidden="false" customHeight="false" outlineLevel="0" collapsed="false">
      <c r="AO587" s="26"/>
      <c r="AQ587" s="26"/>
      <c r="AT587" s="26"/>
      <c r="AU587" s="26"/>
      <c r="AV587" s="26"/>
      <c r="AW587" s="26"/>
    </row>
    <row r="588" customFormat="false" ht="15.75" hidden="false" customHeight="false" outlineLevel="0" collapsed="false">
      <c r="AO588" s="26"/>
      <c r="AQ588" s="26"/>
      <c r="AT588" s="26"/>
      <c r="AU588" s="26"/>
      <c r="AV588" s="26"/>
      <c r="AW588" s="26"/>
    </row>
    <row r="589" customFormat="false" ht="15.75" hidden="false" customHeight="false" outlineLevel="0" collapsed="false">
      <c r="AO589" s="26"/>
      <c r="AQ589" s="26"/>
      <c r="AT589" s="26"/>
      <c r="AU589" s="26"/>
      <c r="AV589" s="26"/>
      <c r="AW589" s="26"/>
    </row>
    <row r="590" customFormat="false" ht="15.75" hidden="false" customHeight="false" outlineLevel="0" collapsed="false">
      <c r="AO590" s="26"/>
      <c r="AQ590" s="26"/>
      <c r="AT590" s="26"/>
      <c r="AU590" s="26"/>
      <c r="AV590" s="26"/>
      <c r="AW590" s="26"/>
    </row>
    <row r="591" customFormat="false" ht="15.75" hidden="false" customHeight="false" outlineLevel="0" collapsed="false">
      <c r="AO591" s="26"/>
      <c r="AQ591" s="26"/>
      <c r="AT591" s="26"/>
      <c r="AU591" s="26"/>
      <c r="AV591" s="26"/>
      <c r="AW591" s="26"/>
    </row>
    <row r="592" customFormat="false" ht="15.75" hidden="false" customHeight="false" outlineLevel="0" collapsed="false">
      <c r="AO592" s="26"/>
      <c r="AQ592" s="26"/>
      <c r="AT592" s="26"/>
      <c r="AU592" s="26"/>
      <c r="AV592" s="26"/>
      <c r="AW592" s="26"/>
    </row>
    <row r="593" customFormat="false" ht="15.75" hidden="false" customHeight="false" outlineLevel="0" collapsed="false">
      <c r="AO593" s="26"/>
      <c r="AQ593" s="26"/>
      <c r="AT593" s="26"/>
      <c r="AU593" s="26"/>
      <c r="AV593" s="26"/>
      <c r="AW593" s="26"/>
    </row>
    <row r="594" customFormat="false" ht="15.75" hidden="false" customHeight="false" outlineLevel="0" collapsed="false">
      <c r="AO594" s="26"/>
      <c r="AQ594" s="26"/>
      <c r="AT594" s="26"/>
      <c r="AU594" s="26"/>
      <c r="AV594" s="26"/>
      <c r="AW594" s="26"/>
    </row>
    <row r="595" customFormat="false" ht="15.75" hidden="false" customHeight="false" outlineLevel="0" collapsed="false">
      <c r="AO595" s="26"/>
      <c r="AQ595" s="26"/>
      <c r="AT595" s="26"/>
      <c r="AU595" s="26"/>
      <c r="AV595" s="26"/>
      <c r="AW595" s="26"/>
    </row>
    <row r="596" customFormat="false" ht="15.75" hidden="false" customHeight="false" outlineLevel="0" collapsed="false">
      <c r="AO596" s="26"/>
      <c r="AQ596" s="26"/>
      <c r="AT596" s="26"/>
      <c r="AU596" s="26"/>
      <c r="AV596" s="26"/>
      <c r="AW596" s="26"/>
    </row>
    <row r="597" customFormat="false" ht="15.75" hidden="false" customHeight="false" outlineLevel="0" collapsed="false">
      <c r="AO597" s="26"/>
      <c r="AQ597" s="26"/>
      <c r="AT597" s="26"/>
      <c r="AU597" s="26"/>
      <c r="AV597" s="26"/>
      <c r="AW597" s="26"/>
    </row>
    <row r="598" customFormat="false" ht="15.75" hidden="false" customHeight="false" outlineLevel="0" collapsed="false">
      <c r="AO598" s="26"/>
      <c r="AQ598" s="26"/>
      <c r="AT598" s="26"/>
      <c r="AU598" s="26"/>
      <c r="AV598" s="26"/>
      <c r="AW598" s="26"/>
    </row>
    <row r="599" customFormat="false" ht="15.75" hidden="false" customHeight="false" outlineLevel="0" collapsed="false">
      <c r="AO599" s="26"/>
      <c r="AQ599" s="26"/>
      <c r="AT599" s="26"/>
      <c r="AU599" s="26"/>
      <c r="AV599" s="26"/>
      <c r="AW599" s="26"/>
    </row>
    <row r="600" customFormat="false" ht="15.75" hidden="false" customHeight="false" outlineLevel="0" collapsed="false">
      <c r="AO600" s="26"/>
      <c r="AQ600" s="26"/>
      <c r="AT600" s="26"/>
      <c r="AU600" s="26"/>
      <c r="AV600" s="26"/>
      <c r="AW600" s="26"/>
    </row>
    <row r="601" customFormat="false" ht="15.75" hidden="false" customHeight="false" outlineLevel="0" collapsed="false">
      <c r="AO601" s="26"/>
      <c r="AQ601" s="26"/>
      <c r="AT601" s="26"/>
      <c r="AU601" s="26"/>
      <c r="AV601" s="26"/>
      <c r="AW601" s="26"/>
    </row>
    <row r="602" customFormat="false" ht="15.75" hidden="false" customHeight="false" outlineLevel="0" collapsed="false">
      <c r="AO602" s="26"/>
      <c r="AQ602" s="26"/>
      <c r="AT602" s="26"/>
      <c r="AU602" s="26"/>
      <c r="AV602" s="26"/>
      <c r="AW602" s="26"/>
    </row>
    <row r="603" customFormat="false" ht="15.75" hidden="false" customHeight="false" outlineLevel="0" collapsed="false">
      <c r="AO603" s="26"/>
      <c r="AQ603" s="26"/>
      <c r="AT603" s="26"/>
      <c r="AU603" s="26"/>
      <c r="AV603" s="26"/>
      <c r="AW603" s="26"/>
    </row>
    <row r="604" customFormat="false" ht="15.75" hidden="false" customHeight="false" outlineLevel="0" collapsed="false">
      <c r="AO604" s="26"/>
      <c r="AQ604" s="26"/>
      <c r="AT604" s="26"/>
      <c r="AU604" s="26"/>
      <c r="AV604" s="26"/>
      <c r="AW604" s="26"/>
    </row>
    <row r="605" customFormat="false" ht="15.75" hidden="false" customHeight="false" outlineLevel="0" collapsed="false">
      <c r="AO605" s="26"/>
      <c r="AQ605" s="26"/>
      <c r="AT605" s="26"/>
      <c r="AU605" s="26"/>
      <c r="AV605" s="26"/>
      <c r="AW605" s="26"/>
    </row>
    <row r="606" customFormat="false" ht="15.75" hidden="false" customHeight="false" outlineLevel="0" collapsed="false">
      <c r="AO606" s="26"/>
      <c r="AQ606" s="26"/>
      <c r="AT606" s="26"/>
      <c r="AU606" s="26"/>
      <c r="AV606" s="26"/>
      <c r="AW606" s="26"/>
    </row>
    <row r="607" customFormat="false" ht="15.75" hidden="false" customHeight="false" outlineLevel="0" collapsed="false">
      <c r="AO607" s="26"/>
      <c r="AQ607" s="26"/>
      <c r="AT607" s="26"/>
      <c r="AU607" s="26"/>
      <c r="AV607" s="26"/>
      <c r="AW607" s="26"/>
    </row>
    <row r="608" customFormat="false" ht="15.75" hidden="false" customHeight="false" outlineLevel="0" collapsed="false">
      <c r="AO608" s="26"/>
      <c r="AQ608" s="26"/>
      <c r="AT608" s="26"/>
      <c r="AU608" s="26"/>
      <c r="AV608" s="26"/>
      <c r="AW608" s="26"/>
    </row>
    <row r="609" customFormat="false" ht="15.75" hidden="false" customHeight="false" outlineLevel="0" collapsed="false">
      <c r="AO609" s="26"/>
      <c r="AQ609" s="26"/>
      <c r="AT609" s="26"/>
      <c r="AU609" s="26"/>
      <c r="AV609" s="26"/>
      <c r="AW609" s="26"/>
    </row>
    <row r="610" customFormat="false" ht="15.75" hidden="false" customHeight="false" outlineLevel="0" collapsed="false">
      <c r="AO610" s="26"/>
      <c r="AQ610" s="26"/>
      <c r="AT610" s="26"/>
      <c r="AU610" s="26"/>
      <c r="AV610" s="26"/>
      <c r="AW610" s="26"/>
    </row>
    <row r="611" customFormat="false" ht="15.75" hidden="false" customHeight="false" outlineLevel="0" collapsed="false">
      <c r="AO611" s="26"/>
      <c r="AQ611" s="26"/>
      <c r="AT611" s="26"/>
      <c r="AU611" s="26"/>
      <c r="AV611" s="26"/>
      <c r="AW611" s="26"/>
    </row>
    <row r="612" customFormat="false" ht="15.75" hidden="false" customHeight="false" outlineLevel="0" collapsed="false">
      <c r="AO612" s="26"/>
      <c r="AQ612" s="26"/>
      <c r="AT612" s="26"/>
      <c r="AU612" s="26"/>
      <c r="AV612" s="26"/>
      <c r="AW612" s="26"/>
    </row>
    <row r="613" customFormat="false" ht="15.75" hidden="false" customHeight="false" outlineLevel="0" collapsed="false">
      <c r="AO613" s="26"/>
      <c r="AQ613" s="26"/>
      <c r="AT613" s="26"/>
      <c r="AU613" s="26"/>
      <c r="AV613" s="26"/>
      <c r="AW613" s="26"/>
    </row>
    <row r="614" customFormat="false" ht="15.75" hidden="false" customHeight="false" outlineLevel="0" collapsed="false">
      <c r="AO614" s="26"/>
      <c r="AQ614" s="26"/>
      <c r="AT614" s="26"/>
      <c r="AU614" s="26"/>
      <c r="AV614" s="26"/>
      <c r="AW614" s="26"/>
    </row>
    <row r="615" customFormat="false" ht="15.75" hidden="false" customHeight="false" outlineLevel="0" collapsed="false">
      <c r="AO615" s="26"/>
      <c r="AQ615" s="26"/>
      <c r="AT615" s="26"/>
      <c r="AU615" s="26"/>
      <c r="AV615" s="26"/>
      <c r="AW615" s="26"/>
    </row>
    <row r="616" customFormat="false" ht="15.75" hidden="false" customHeight="false" outlineLevel="0" collapsed="false">
      <c r="AO616" s="26"/>
      <c r="AQ616" s="26"/>
      <c r="AT616" s="26"/>
      <c r="AU616" s="26"/>
      <c r="AV616" s="26"/>
      <c r="AW616" s="26"/>
    </row>
    <row r="617" customFormat="false" ht="15.75" hidden="false" customHeight="false" outlineLevel="0" collapsed="false">
      <c r="AO617" s="26"/>
      <c r="AQ617" s="26"/>
      <c r="AT617" s="26"/>
      <c r="AU617" s="26"/>
      <c r="AV617" s="26"/>
      <c r="AW617" s="26"/>
    </row>
    <row r="618" customFormat="false" ht="15.75" hidden="false" customHeight="false" outlineLevel="0" collapsed="false">
      <c r="AO618" s="26"/>
      <c r="AQ618" s="26"/>
      <c r="AT618" s="26"/>
      <c r="AU618" s="26"/>
      <c r="AV618" s="26"/>
      <c r="AW618" s="26"/>
    </row>
    <row r="619" customFormat="false" ht="15.75" hidden="false" customHeight="false" outlineLevel="0" collapsed="false">
      <c r="AO619" s="26"/>
      <c r="AQ619" s="26"/>
      <c r="AT619" s="26"/>
      <c r="AU619" s="26"/>
      <c r="AV619" s="26"/>
      <c r="AW619" s="26"/>
    </row>
    <row r="620" customFormat="false" ht="15.75" hidden="false" customHeight="false" outlineLevel="0" collapsed="false">
      <c r="AO620" s="26"/>
      <c r="AQ620" s="26"/>
      <c r="AT620" s="26"/>
      <c r="AU620" s="26"/>
      <c r="AV620" s="26"/>
      <c r="AW620" s="26"/>
    </row>
    <row r="621" customFormat="false" ht="15.75" hidden="false" customHeight="false" outlineLevel="0" collapsed="false">
      <c r="AO621" s="26"/>
      <c r="AQ621" s="26"/>
      <c r="AT621" s="26"/>
      <c r="AU621" s="26"/>
      <c r="AV621" s="26"/>
      <c r="AW621" s="26"/>
    </row>
    <row r="622" customFormat="false" ht="15.75" hidden="false" customHeight="false" outlineLevel="0" collapsed="false">
      <c r="AO622" s="26"/>
      <c r="AQ622" s="26"/>
      <c r="AT622" s="26"/>
      <c r="AU622" s="26"/>
      <c r="AV622" s="26"/>
      <c r="AW622" s="26"/>
    </row>
    <row r="623" customFormat="false" ht="15.75" hidden="false" customHeight="false" outlineLevel="0" collapsed="false">
      <c r="AO623" s="26"/>
      <c r="AQ623" s="26"/>
      <c r="AT623" s="26"/>
      <c r="AU623" s="26"/>
      <c r="AV623" s="26"/>
      <c r="AW623" s="26"/>
    </row>
    <row r="624" customFormat="false" ht="15.75" hidden="false" customHeight="false" outlineLevel="0" collapsed="false">
      <c r="AO624" s="26"/>
      <c r="AQ624" s="26"/>
      <c r="AT624" s="26"/>
      <c r="AU624" s="26"/>
      <c r="AV624" s="26"/>
      <c r="AW624" s="26"/>
    </row>
    <row r="625" customFormat="false" ht="15.75" hidden="false" customHeight="false" outlineLevel="0" collapsed="false">
      <c r="AO625" s="26"/>
      <c r="AQ625" s="26"/>
      <c r="AT625" s="26"/>
      <c r="AU625" s="26"/>
      <c r="AV625" s="26"/>
      <c r="AW625" s="26"/>
    </row>
    <row r="626" customFormat="false" ht="15.75" hidden="false" customHeight="false" outlineLevel="0" collapsed="false">
      <c r="AO626" s="26"/>
      <c r="AQ626" s="26"/>
      <c r="AT626" s="26"/>
      <c r="AU626" s="26"/>
      <c r="AV626" s="26"/>
      <c r="AW626" s="26"/>
    </row>
    <row r="627" customFormat="false" ht="15.75" hidden="false" customHeight="false" outlineLevel="0" collapsed="false">
      <c r="AO627" s="26"/>
      <c r="AQ627" s="26"/>
      <c r="AT627" s="26"/>
      <c r="AU627" s="26"/>
      <c r="AV627" s="26"/>
      <c r="AW627" s="26"/>
    </row>
    <row r="628" customFormat="false" ht="15.75" hidden="false" customHeight="false" outlineLevel="0" collapsed="false">
      <c r="AO628" s="26"/>
      <c r="AQ628" s="26"/>
      <c r="AT628" s="26"/>
      <c r="AU628" s="26"/>
      <c r="AV628" s="26"/>
      <c r="AW628" s="26"/>
    </row>
    <row r="629" customFormat="false" ht="15.75" hidden="false" customHeight="false" outlineLevel="0" collapsed="false">
      <c r="AO629" s="26"/>
      <c r="AQ629" s="26"/>
      <c r="AT629" s="26"/>
      <c r="AU629" s="26"/>
      <c r="AV629" s="26"/>
      <c r="AW629" s="26"/>
    </row>
    <row r="630" customFormat="false" ht="15.75" hidden="false" customHeight="false" outlineLevel="0" collapsed="false">
      <c r="AO630" s="26"/>
      <c r="AQ630" s="26"/>
      <c r="AT630" s="26"/>
      <c r="AU630" s="26"/>
      <c r="AV630" s="26"/>
      <c r="AW630" s="26"/>
    </row>
    <row r="631" customFormat="false" ht="15.75" hidden="false" customHeight="false" outlineLevel="0" collapsed="false">
      <c r="AO631" s="26"/>
      <c r="AQ631" s="26"/>
      <c r="AT631" s="26"/>
      <c r="AU631" s="26"/>
      <c r="AV631" s="26"/>
      <c r="AW631" s="26"/>
    </row>
    <row r="632" customFormat="false" ht="15.75" hidden="false" customHeight="false" outlineLevel="0" collapsed="false">
      <c r="AO632" s="26"/>
      <c r="AQ632" s="26"/>
      <c r="AT632" s="26"/>
      <c r="AU632" s="26"/>
      <c r="AV632" s="26"/>
      <c r="AW632" s="26"/>
    </row>
    <row r="633" customFormat="false" ht="15.75" hidden="false" customHeight="false" outlineLevel="0" collapsed="false">
      <c r="AO633" s="26"/>
      <c r="AQ633" s="26"/>
      <c r="AT633" s="26"/>
      <c r="AU633" s="26"/>
      <c r="AV633" s="26"/>
      <c r="AW633" s="26"/>
    </row>
    <row r="634" customFormat="false" ht="15.75" hidden="false" customHeight="false" outlineLevel="0" collapsed="false">
      <c r="AO634" s="26"/>
      <c r="AQ634" s="26"/>
      <c r="AT634" s="26"/>
      <c r="AU634" s="26"/>
      <c r="AV634" s="26"/>
      <c r="AW634" s="26"/>
    </row>
    <row r="635" customFormat="false" ht="15.75" hidden="false" customHeight="false" outlineLevel="0" collapsed="false">
      <c r="AO635" s="26"/>
      <c r="AQ635" s="26"/>
      <c r="AT635" s="26"/>
      <c r="AU635" s="26"/>
      <c r="AV635" s="26"/>
      <c r="AW635" s="26"/>
    </row>
    <row r="636" customFormat="false" ht="15.75" hidden="false" customHeight="false" outlineLevel="0" collapsed="false">
      <c r="AO636" s="26"/>
      <c r="AQ636" s="26"/>
      <c r="AT636" s="26"/>
      <c r="AU636" s="26"/>
      <c r="AV636" s="26"/>
      <c r="AW636" s="26"/>
    </row>
    <row r="637" customFormat="false" ht="15.75" hidden="false" customHeight="false" outlineLevel="0" collapsed="false">
      <c r="AO637" s="26"/>
      <c r="AQ637" s="26"/>
      <c r="AT637" s="26"/>
      <c r="AU637" s="26"/>
      <c r="AV637" s="26"/>
      <c r="AW637" s="26"/>
    </row>
    <row r="638" customFormat="false" ht="15.75" hidden="false" customHeight="false" outlineLevel="0" collapsed="false">
      <c r="AO638" s="26"/>
      <c r="AQ638" s="26"/>
      <c r="AT638" s="26"/>
      <c r="AU638" s="26"/>
      <c r="AV638" s="26"/>
      <c r="AW638" s="26"/>
    </row>
    <row r="639" customFormat="false" ht="15.75" hidden="false" customHeight="false" outlineLevel="0" collapsed="false">
      <c r="AO639" s="26"/>
      <c r="AQ639" s="26"/>
      <c r="AT639" s="26"/>
      <c r="AU639" s="26"/>
      <c r="AV639" s="26"/>
      <c r="AW639" s="26"/>
    </row>
    <row r="640" customFormat="false" ht="15.75" hidden="false" customHeight="false" outlineLevel="0" collapsed="false">
      <c r="AO640" s="26"/>
      <c r="AQ640" s="26"/>
      <c r="AT640" s="26"/>
      <c r="AU640" s="26"/>
      <c r="AV640" s="26"/>
      <c r="AW640" s="26"/>
    </row>
    <row r="641" customFormat="false" ht="15.75" hidden="false" customHeight="false" outlineLevel="0" collapsed="false">
      <c r="AO641" s="26"/>
      <c r="AQ641" s="26"/>
      <c r="AT641" s="26"/>
      <c r="AU641" s="26"/>
      <c r="AV641" s="26"/>
      <c r="AW641" s="26"/>
    </row>
    <row r="642" customFormat="false" ht="15.75" hidden="false" customHeight="false" outlineLevel="0" collapsed="false">
      <c r="AO642" s="26"/>
      <c r="AQ642" s="26"/>
      <c r="AT642" s="26"/>
      <c r="AU642" s="26"/>
      <c r="AV642" s="26"/>
      <c r="AW642" s="26"/>
    </row>
    <row r="643" customFormat="false" ht="15.75" hidden="false" customHeight="false" outlineLevel="0" collapsed="false">
      <c r="AO643" s="26"/>
      <c r="AQ643" s="26"/>
      <c r="AT643" s="26"/>
      <c r="AU643" s="26"/>
      <c r="AV643" s="26"/>
      <c r="AW643" s="26"/>
    </row>
    <row r="644" customFormat="false" ht="15.75" hidden="false" customHeight="false" outlineLevel="0" collapsed="false">
      <c r="AO644" s="26"/>
      <c r="AQ644" s="26"/>
      <c r="AT644" s="26"/>
      <c r="AU644" s="26"/>
      <c r="AV644" s="26"/>
      <c r="AW644" s="26"/>
    </row>
    <row r="645" customFormat="false" ht="15.75" hidden="false" customHeight="false" outlineLevel="0" collapsed="false">
      <c r="AO645" s="26"/>
      <c r="AQ645" s="26"/>
      <c r="AT645" s="26"/>
      <c r="AU645" s="26"/>
      <c r="AV645" s="26"/>
      <c r="AW645" s="26"/>
    </row>
    <row r="646" customFormat="false" ht="15.75" hidden="false" customHeight="false" outlineLevel="0" collapsed="false">
      <c r="AO646" s="26"/>
      <c r="AQ646" s="26"/>
      <c r="AT646" s="26"/>
      <c r="AU646" s="26"/>
      <c r="AV646" s="26"/>
      <c r="AW646" s="26"/>
    </row>
    <row r="647" customFormat="false" ht="15.75" hidden="false" customHeight="false" outlineLevel="0" collapsed="false">
      <c r="AO647" s="26"/>
      <c r="AQ647" s="26"/>
      <c r="AT647" s="26"/>
      <c r="AU647" s="26"/>
      <c r="AV647" s="26"/>
      <c r="AW647" s="26"/>
    </row>
    <row r="648" customFormat="false" ht="15.75" hidden="false" customHeight="false" outlineLevel="0" collapsed="false">
      <c r="AO648" s="26"/>
      <c r="AQ648" s="26"/>
      <c r="AT648" s="26"/>
      <c r="AU648" s="26"/>
      <c r="AV648" s="26"/>
      <c r="AW648" s="26"/>
    </row>
    <row r="649" customFormat="false" ht="15.75" hidden="false" customHeight="false" outlineLevel="0" collapsed="false">
      <c r="AO649" s="26"/>
      <c r="AQ649" s="26"/>
      <c r="AT649" s="26"/>
      <c r="AU649" s="26"/>
      <c r="AV649" s="26"/>
      <c r="AW649" s="26"/>
    </row>
    <row r="650" customFormat="false" ht="15.75" hidden="false" customHeight="false" outlineLevel="0" collapsed="false">
      <c r="AO650" s="26"/>
      <c r="AQ650" s="26"/>
      <c r="AT650" s="26"/>
      <c r="AU650" s="26"/>
      <c r="AV650" s="26"/>
      <c r="AW650" s="26"/>
    </row>
    <row r="651" customFormat="false" ht="15.75" hidden="false" customHeight="false" outlineLevel="0" collapsed="false">
      <c r="AO651" s="26"/>
      <c r="AQ651" s="26"/>
      <c r="AT651" s="26"/>
      <c r="AU651" s="26"/>
      <c r="AV651" s="26"/>
      <c r="AW651" s="26"/>
    </row>
    <row r="652" customFormat="false" ht="15.75" hidden="false" customHeight="false" outlineLevel="0" collapsed="false">
      <c r="AO652" s="26"/>
      <c r="AQ652" s="26"/>
      <c r="AT652" s="26"/>
      <c r="AU652" s="26"/>
      <c r="AV652" s="26"/>
      <c r="AW652" s="26"/>
    </row>
    <row r="653" customFormat="false" ht="15.75" hidden="false" customHeight="false" outlineLevel="0" collapsed="false">
      <c r="AO653" s="26"/>
      <c r="AQ653" s="26"/>
      <c r="AT653" s="26"/>
      <c r="AU653" s="26"/>
      <c r="AV653" s="26"/>
      <c r="AW653" s="26"/>
    </row>
    <row r="654" customFormat="false" ht="15.75" hidden="false" customHeight="false" outlineLevel="0" collapsed="false">
      <c r="AO654" s="26"/>
      <c r="AQ654" s="26"/>
      <c r="AT654" s="26"/>
      <c r="AU654" s="26"/>
      <c r="AV654" s="26"/>
      <c r="AW654" s="26"/>
    </row>
    <row r="655" customFormat="false" ht="15.75" hidden="false" customHeight="false" outlineLevel="0" collapsed="false">
      <c r="AO655" s="26"/>
      <c r="AQ655" s="26"/>
      <c r="AT655" s="26"/>
      <c r="AU655" s="26"/>
      <c r="AV655" s="26"/>
      <c r="AW655" s="26"/>
    </row>
    <row r="656" customFormat="false" ht="15.75" hidden="false" customHeight="false" outlineLevel="0" collapsed="false">
      <c r="AO656" s="26"/>
      <c r="AQ656" s="26"/>
      <c r="AT656" s="26"/>
      <c r="AU656" s="26"/>
      <c r="AV656" s="26"/>
      <c r="AW656" s="26"/>
    </row>
    <row r="657" customFormat="false" ht="15.75" hidden="false" customHeight="false" outlineLevel="0" collapsed="false">
      <c r="AO657" s="26"/>
      <c r="AQ657" s="26"/>
      <c r="AT657" s="26"/>
      <c r="AU657" s="26"/>
      <c r="AV657" s="26"/>
      <c r="AW657" s="26"/>
    </row>
    <row r="658" customFormat="false" ht="15.75" hidden="false" customHeight="false" outlineLevel="0" collapsed="false">
      <c r="AO658" s="26"/>
      <c r="AQ658" s="26"/>
      <c r="AT658" s="26"/>
      <c r="AU658" s="26"/>
      <c r="AV658" s="26"/>
      <c r="AW658" s="26"/>
    </row>
    <row r="659" customFormat="false" ht="15.75" hidden="false" customHeight="false" outlineLevel="0" collapsed="false">
      <c r="AO659" s="26"/>
      <c r="AQ659" s="26"/>
      <c r="AT659" s="26"/>
      <c r="AU659" s="26"/>
      <c r="AV659" s="26"/>
      <c r="AW659" s="26"/>
    </row>
    <row r="660" customFormat="false" ht="15.75" hidden="false" customHeight="false" outlineLevel="0" collapsed="false">
      <c r="AO660" s="26"/>
      <c r="AQ660" s="26"/>
      <c r="AT660" s="26"/>
      <c r="AU660" s="26"/>
      <c r="AV660" s="26"/>
      <c r="AW660" s="26"/>
    </row>
    <row r="661" customFormat="false" ht="15.75" hidden="false" customHeight="false" outlineLevel="0" collapsed="false">
      <c r="AO661" s="26"/>
      <c r="AQ661" s="26"/>
      <c r="AT661" s="26"/>
      <c r="AU661" s="26"/>
      <c r="AV661" s="26"/>
      <c r="AW661" s="26"/>
    </row>
    <row r="662" customFormat="false" ht="15.75" hidden="false" customHeight="false" outlineLevel="0" collapsed="false">
      <c r="AO662" s="26"/>
      <c r="AQ662" s="26"/>
      <c r="AT662" s="26"/>
      <c r="AU662" s="26"/>
      <c r="AV662" s="26"/>
      <c r="AW662" s="26"/>
    </row>
    <row r="663" customFormat="false" ht="15.75" hidden="false" customHeight="false" outlineLevel="0" collapsed="false">
      <c r="AO663" s="26"/>
      <c r="AQ663" s="26"/>
      <c r="AT663" s="26"/>
      <c r="AU663" s="26"/>
      <c r="AV663" s="26"/>
      <c r="AW663" s="26"/>
    </row>
    <row r="664" customFormat="false" ht="15.75" hidden="false" customHeight="false" outlineLevel="0" collapsed="false">
      <c r="AO664" s="26"/>
      <c r="AQ664" s="26"/>
      <c r="AT664" s="26"/>
      <c r="AU664" s="26"/>
      <c r="AV664" s="26"/>
      <c r="AW664" s="26"/>
    </row>
    <row r="665" customFormat="false" ht="15.75" hidden="false" customHeight="false" outlineLevel="0" collapsed="false">
      <c r="AO665" s="26"/>
      <c r="AQ665" s="26"/>
      <c r="AT665" s="26"/>
      <c r="AU665" s="26"/>
      <c r="AV665" s="26"/>
      <c r="AW665" s="26"/>
    </row>
    <row r="666" customFormat="false" ht="15.75" hidden="false" customHeight="false" outlineLevel="0" collapsed="false">
      <c r="AO666" s="26"/>
      <c r="AQ666" s="26"/>
      <c r="AT666" s="26"/>
      <c r="AU666" s="26"/>
      <c r="AV666" s="26"/>
      <c r="AW666" s="26"/>
    </row>
    <row r="667" customFormat="false" ht="15.75" hidden="false" customHeight="false" outlineLevel="0" collapsed="false">
      <c r="AO667" s="26"/>
      <c r="AQ667" s="26"/>
      <c r="AT667" s="26"/>
      <c r="AU667" s="26"/>
      <c r="AV667" s="26"/>
      <c r="AW667" s="26"/>
    </row>
    <row r="668" customFormat="false" ht="15.75" hidden="false" customHeight="false" outlineLevel="0" collapsed="false">
      <c r="AO668" s="26"/>
      <c r="AQ668" s="26"/>
      <c r="AT668" s="26"/>
      <c r="AU668" s="26"/>
      <c r="AV668" s="26"/>
      <c r="AW668" s="26"/>
    </row>
    <row r="669" customFormat="false" ht="15.75" hidden="false" customHeight="false" outlineLevel="0" collapsed="false">
      <c r="AO669" s="26"/>
      <c r="AQ669" s="26"/>
      <c r="AT669" s="26"/>
      <c r="AU669" s="26"/>
      <c r="AV669" s="26"/>
      <c r="AW669" s="26"/>
    </row>
    <row r="670" customFormat="false" ht="15.75" hidden="false" customHeight="false" outlineLevel="0" collapsed="false">
      <c r="AO670" s="26"/>
      <c r="AQ670" s="26"/>
      <c r="AT670" s="26"/>
      <c r="AU670" s="26"/>
      <c r="AV670" s="26"/>
      <c r="AW670" s="26"/>
    </row>
    <row r="671" customFormat="false" ht="15.75" hidden="false" customHeight="false" outlineLevel="0" collapsed="false">
      <c r="AO671" s="26"/>
      <c r="AQ671" s="26"/>
      <c r="AT671" s="26"/>
      <c r="AU671" s="26"/>
      <c r="AV671" s="26"/>
      <c r="AW671" s="26"/>
    </row>
    <row r="672" customFormat="false" ht="15.75" hidden="false" customHeight="false" outlineLevel="0" collapsed="false">
      <c r="AO672" s="26"/>
      <c r="AQ672" s="26"/>
      <c r="AT672" s="26"/>
      <c r="AU672" s="26"/>
      <c r="AV672" s="26"/>
      <c r="AW672" s="26"/>
    </row>
    <row r="673" customFormat="false" ht="15.75" hidden="false" customHeight="false" outlineLevel="0" collapsed="false">
      <c r="AO673" s="26"/>
      <c r="AQ673" s="26"/>
      <c r="AT673" s="26"/>
      <c r="AU673" s="26"/>
      <c r="AV673" s="26"/>
      <c r="AW673" s="26"/>
    </row>
    <row r="674" customFormat="false" ht="15.75" hidden="false" customHeight="false" outlineLevel="0" collapsed="false">
      <c r="AO674" s="26"/>
      <c r="AQ674" s="26"/>
      <c r="AT674" s="26"/>
      <c r="AU674" s="26"/>
      <c r="AV674" s="26"/>
      <c r="AW674" s="26"/>
    </row>
    <row r="675" customFormat="false" ht="15.75" hidden="false" customHeight="false" outlineLevel="0" collapsed="false">
      <c r="AO675" s="26"/>
      <c r="AQ675" s="26"/>
      <c r="AT675" s="26"/>
      <c r="AU675" s="26"/>
      <c r="AV675" s="26"/>
      <c r="AW675" s="26"/>
    </row>
    <row r="676" customFormat="false" ht="15.75" hidden="false" customHeight="false" outlineLevel="0" collapsed="false">
      <c r="AO676" s="26"/>
      <c r="AQ676" s="26"/>
      <c r="AT676" s="26"/>
      <c r="AU676" s="26"/>
      <c r="AV676" s="26"/>
      <c r="AW676" s="26"/>
    </row>
    <row r="677" customFormat="false" ht="15.75" hidden="false" customHeight="false" outlineLevel="0" collapsed="false">
      <c r="AO677" s="26"/>
      <c r="AQ677" s="26"/>
      <c r="AT677" s="26"/>
      <c r="AU677" s="26"/>
      <c r="AV677" s="26"/>
      <c r="AW677" s="26"/>
    </row>
    <row r="678" customFormat="false" ht="15.75" hidden="false" customHeight="false" outlineLevel="0" collapsed="false">
      <c r="AO678" s="26"/>
      <c r="AQ678" s="26"/>
      <c r="AT678" s="26"/>
      <c r="AU678" s="26"/>
      <c r="AV678" s="26"/>
      <c r="AW678" s="26"/>
    </row>
    <row r="679" customFormat="false" ht="15.75" hidden="false" customHeight="false" outlineLevel="0" collapsed="false">
      <c r="AO679" s="26"/>
      <c r="AQ679" s="26"/>
      <c r="AT679" s="26"/>
      <c r="AU679" s="26"/>
      <c r="AV679" s="26"/>
      <c r="AW679" s="26"/>
    </row>
    <row r="680" customFormat="false" ht="15.75" hidden="false" customHeight="false" outlineLevel="0" collapsed="false">
      <c r="AO680" s="26"/>
      <c r="AQ680" s="26"/>
      <c r="AT680" s="26"/>
      <c r="AU680" s="26"/>
      <c r="AV680" s="26"/>
      <c r="AW680" s="26"/>
    </row>
    <row r="681" customFormat="false" ht="15.75" hidden="false" customHeight="false" outlineLevel="0" collapsed="false">
      <c r="AO681" s="26"/>
      <c r="AQ681" s="26"/>
      <c r="AT681" s="26"/>
      <c r="AU681" s="26"/>
      <c r="AV681" s="26"/>
      <c r="AW681" s="26"/>
    </row>
    <row r="682" customFormat="false" ht="15.75" hidden="false" customHeight="false" outlineLevel="0" collapsed="false">
      <c r="AO682" s="26"/>
      <c r="AQ682" s="26"/>
      <c r="AT682" s="26"/>
      <c r="AU682" s="26"/>
      <c r="AV682" s="26"/>
      <c r="AW682" s="26"/>
    </row>
    <row r="683" customFormat="false" ht="15.75" hidden="false" customHeight="false" outlineLevel="0" collapsed="false">
      <c r="AO683" s="26"/>
      <c r="AQ683" s="26"/>
      <c r="AT683" s="26"/>
      <c r="AU683" s="26"/>
      <c r="AV683" s="26"/>
      <c r="AW683" s="26"/>
    </row>
    <row r="684" customFormat="false" ht="15.75" hidden="false" customHeight="false" outlineLevel="0" collapsed="false">
      <c r="AO684" s="26"/>
      <c r="AQ684" s="26"/>
      <c r="AT684" s="26"/>
      <c r="AU684" s="26"/>
      <c r="AV684" s="26"/>
      <c r="AW684" s="26"/>
    </row>
    <row r="685" customFormat="false" ht="15.75" hidden="false" customHeight="false" outlineLevel="0" collapsed="false">
      <c r="AO685" s="26"/>
      <c r="AQ685" s="26"/>
      <c r="AT685" s="26"/>
      <c r="AU685" s="26"/>
      <c r="AV685" s="26"/>
      <c r="AW685" s="26"/>
    </row>
    <row r="686" customFormat="false" ht="15.75" hidden="false" customHeight="false" outlineLevel="0" collapsed="false">
      <c r="AO686" s="26"/>
      <c r="AQ686" s="26"/>
      <c r="AT686" s="26"/>
      <c r="AU686" s="26"/>
      <c r="AV686" s="26"/>
      <c r="AW686" s="26"/>
    </row>
    <row r="687" customFormat="false" ht="15.75" hidden="false" customHeight="false" outlineLevel="0" collapsed="false">
      <c r="AO687" s="26"/>
      <c r="AQ687" s="26"/>
      <c r="AT687" s="26"/>
      <c r="AU687" s="26"/>
      <c r="AV687" s="26"/>
      <c r="AW687" s="26"/>
    </row>
    <row r="688" customFormat="false" ht="15.75" hidden="false" customHeight="false" outlineLevel="0" collapsed="false">
      <c r="AO688" s="26"/>
      <c r="AQ688" s="26"/>
      <c r="AT688" s="26"/>
      <c r="AU688" s="26"/>
      <c r="AV688" s="26"/>
      <c r="AW688" s="26"/>
    </row>
    <row r="689" customFormat="false" ht="15.75" hidden="false" customHeight="false" outlineLevel="0" collapsed="false">
      <c r="AO689" s="26"/>
      <c r="AQ689" s="26"/>
      <c r="AT689" s="26"/>
      <c r="AU689" s="26"/>
      <c r="AV689" s="26"/>
      <c r="AW689" s="26"/>
    </row>
    <row r="690" customFormat="false" ht="15.75" hidden="false" customHeight="false" outlineLevel="0" collapsed="false">
      <c r="AO690" s="26"/>
      <c r="AQ690" s="26"/>
      <c r="AT690" s="26"/>
      <c r="AU690" s="26"/>
      <c r="AV690" s="26"/>
      <c r="AW690" s="26"/>
    </row>
    <row r="691" customFormat="false" ht="15.75" hidden="false" customHeight="false" outlineLevel="0" collapsed="false">
      <c r="AO691" s="26"/>
      <c r="AQ691" s="26"/>
      <c r="AT691" s="26"/>
      <c r="AU691" s="26"/>
      <c r="AV691" s="26"/>
      <c r="AW691" s="26"/>
    </row>
    <row r="692" customFormat="false" ht="15.75" hidden="false" customHeight="false" outlineLevel="0" collapsed="false">
      <c r="AO692" s="26"/>
      <c r="AQ692" s="26"/>
      <c r="AT692" s="26"/>
      <c r="AU692" s="26"/>
      <c r="AV692" s="26"/>
      <c r="AW692" s="26"/>
    </row>
    <row r="693" customFormat="false" ht="15.75" hidden="false" customHeight="false" outlineLevel="0" collapsed="false">
      <c r="AO693" s="26"/>
      <c r="AQ693" s="26"/>
      <c r="AT693" s="26"/>
      <c r="AU693" s="26"/>
      <c r="AV693" s="26"/>
      <c r="AW693" s="26"/>
    </row>
    <row r="694" customFormat="false" ht="15.75" hidden="false" customHeight="false" outlineLevel="0" collapsed="false">
      <c r="AO694" s="26"/>
      <c r="AQ694" s="26"/>
      <c r="AT694" s="26"/>
      <c r="AU694" s="26"/>
      <c r="AV694" s="26"/>
      <c r="AW694" s="26"/>
    </row>
    <row r="695" customFormat="false" ht="15.75" hidden="false" customHeight="false" outlineLevel="0" collapsed="false">
      <c r="AO695" s="26"/>
      <c r="AQ695" s="26"/>
      <c r="AT695" s="26"/>
      <c r="AU695" s="26"/>
      <c r="AV695" s="26"/>
      <c r="AW695" s="26"/>
    </row>
    <row r="696" customFormat="false" ht="15.75" hidden="false" customHeight="false" outlineLevel="0" collapsed="false">
      <c r="AO696" s="26"/>
      <c r="AQ696" s="26"/>
      <c r="AT696" s="26"/>
      <c r="AU696" s="26"/>
      <c r="AV696" s="26"/>
      <c r="AW696" s="26"/>
    </row>
    <row r="697" customFormat="false" ht="15.75" hidden="false" customHeight="false" outlineLevel="0" collapsed="false">
      <c r="AO697" s="26"/>
      <c r="AQ697" s="26"/>
      <c r="AT697" s="26"/>
      <c r="AU697" s="26"/>
      <c r="AV697" s="26"/>
      <c r="AW697" s="26"/>
    </row>
    <row r="698" customFormat="false" ht="15.75" hidden="false" customHeight="false" outlineLevel="0" collapsed="false">
      <c r="AO698" s="26"/>
      <c r="AQ698" s="26"/>
      <c r="AT698" s="26"/>
      <c r="AU698" s="26"/>
      <c r="AV698" s="26"/>
      <c r="AW698" s="26"/>
    </row>
    <row r="699" customFormat="false" ht="15.75" hidden="false" customHeight="false" outlineLevel="0" collapsed="false">
      <c r="AO699" s="26"/>
      <c r="AQ699" s="26"/>
      <c r="AT699" s="26"/>
      <c r="AU699" s="26"/>
      <c r="AV699" s="26"/>
      <c r="AW699" s="26"/>
    </row>
    <row r="700" customFormat="false" ht="15.75" hidden="false" customHeight="false" outlineLevel="0" collapsed="false">
      <c r="AO700" s="26"/>
      <c r="AQ700" s="26"/>
      <c r="AT700" s="26"/>
      <c r="AU700" s="26"/>
      <c r="AV700" s="26"/>
      <c r="AW700" s="26"/>
    </row>
    <row r="701" customFormat="false" ht="15.75" hidden="false" customHeight="false" outlineLevel="0" collapsed="false">
      <c r="AO701" s="26"/>
      <c r="AQ701" s="26"/>
      <c r="AT701" s="26"/>
      <c r="AU701" s="26"/>
      <c r="AV701" s="26"/>
      <c r="AW701" s="26"/>
    </row>
    <row r="702" customFormat="false" ht="15.75" hidden="false" customHeight="false" outlineLevel="0" collapsed="false">
      <c r="AO702" s="26"/>
      <c r="AQ702" s="26"/>
      <c r="AT702" s="26"/>
      <c r="AU702" s="26"/>
      <c r="AV702" s="26"/>
      <c r="AW702" s="26"/>
    </row>
    <row r="703" customFormat="false" ht="15.75" hidden="false" customHeight="false" outlineLevel="0" collapsed="false">
      <c r="AO703" s="26"/>
      <c r="AQ703" s="26"/>
      <c r="AT703" s="26"/>
      <c r="AU703" s="26"/>
      <c r="AV703" s="26"/>
      <c r="AW703" s="26"/>
    </row>
    <row r="704" customFormat="false" ht="15.75" hidden="false" customHeight="false" outlineLevel="0" collapsed="false">
      <c r="AO704" s="26"/>
      <c r="AQ704" s="26"/>
      <c r="AT704" s="26"/>
      <c r="AU704" s="26"/>
      <c r="AV704" s="26"/>
      <c r="AW704" s="26"/>
    </row>
    <row r="705" customFormat="false" ht="15.75" hidden="false" customHeight="false" outlineLevel="0" collapsed="false">
      <c r="AO705" s="26"/>
      <c r="AQ705" s="26"/>
      <c r="AT705" s="26"/>
      <c r="AU705" s="26"/>
      <c r="AV705" s="26"/>
      <c r="AW705" s="26"/>
    </row>
    <row r="706" customFormat="false" ht="15.75" hidden="false" customHeight="false" outlineLevel="0" collapsed="false">
      <c r="AO706" s="26"/>
      <c r="AQ706" s="26"/>
      <c r="AT706" s="26"/>
      <c r="AU706" s="26"/>
      <c r="AV706" s="26"/>
      <c r="AW706" s="26"/>
    </row>
    <row r="707" customFormat="false" ht="15.75" hidden="false" customHeight="false" outlineLevel="0" collapsed="false">
      <c r="AO707" s="26"/>
      <c r="AQ707" s="26"/>
      <c r="AT707" s="26"/>
      <c r="AU707" s="26"/>
      <c r="AV707" s="26"/>
      <c r="AW707" s="26"/>
    </row>
    <row r="708" customFormat="false" ht="15.75" hidden="false" customHeight="false" outlineLevel="0" collapsed="false">
      <c r="AO708" s="26"/>
      <c r="AQ708" s="26"/>
      <c r="AT708" s="26"/>
      <c r="AU708" s="26"/>
      <c r="AV708" s="26"/>
      <c r="AW708" s="26"/>
    </row>
    <row r="709" customFormat="false" ht="15.75" hidden="false" customHeight="false" outlineLevel="0" collapsed="false">
      <c r="AO709" s="26"/>
      <c r="AQ709" s="26"/>
      <c r="AT709" s="26"/>
      <c r="AU709" s="26"/>
      <c r="AV709" s="26"/>
      <c r="AW709" s="26"/>
    </row>
    <row r="710" customFormat="false" ht="15.75" hidden="false" customHeight="false" outlineLevel="0" collapsed="false">
      <c r="AO710" s="26"/>
      <c r="AQ710" s="26"/>
      <c r="AT710" s="26"/>
      <c r="AU710" s="26"/>
      <c r="AV710" s="26"/>
      <c r="AW710" s="26"/>
    </row>
    <row r="711" customFormat="false" ht="15.75" hidden="false" customHeight="false" outlineLevel="0" collapsed="false">
      <c r="AO711" s="26"/>
      <c r="AQ711" s="26"/>
      <c r="AT711" s="26"/>
      <c r="AU711" s="26"/>
      <c r="AV711" s="26"/>
      <c r="AW711" s="26"/>
    </row>
    <row r="712" customFormat="false" ht="15.75" hidden="false" customHeight="false" outlineLevel="0" collapsed="false">
      <c r="AO712" s="26"/>
      <c r="AQ712" s="26"/>
      <c r="AT712" s="26"/>
      <c r="AU712" s="26"/>
      <c r="AV712" s="26"/>
      <c r="AW712" s="26"/>
    </row>
    <row r="713" customFormat="false" ht="15.75" hidden="false" customHeight="false" outlineLevel="0" collapsed="false">
      <c r="AO713" s="26"/>
      <c r="AQ713" s="26"/>
      <c r="AT713" s="26"/>
      <c r="AU713" s="26"/>
      <c r="AV713" s="26"/>
      <c r="AW713" s="26"/>
    </row>
    <row r="714" customFormat="false" ht="15.75" hidden="false" customHeight="false" outlineLevel="0" collapsed="false">
      <c r="AO714" s="26"/>
      <c r="AQ714" s="26"/>
      <c r="AT714" s="26"/>
      <c r="AU714" s="26"/>
      <c r="AV714" s="26"/>
      <c r="AW714" s="26"/>
    </row>
    <row r="715" customFormat="false" ht="15.75" hidden="false" customHeight="false" outlineLevel="0" collapsed="false">
      <c r="AO715" s="26"/>
      <c r="AQ715" s="26"/>
      <c r="AT715" s="26"/>
      <c r="AU715" s="26"/>
      <c r="AV715" s="26"/>
      <c r="AW715" s="26"/>
    </row>
    <row r="716" customFormat="false" ht="15.75" hidden="false" customHeight="false" outlineLevel="0" collapsed="false">
      <c r="AO716" s="26"/>
      <c r="AQ716" s="26"/>
      <c r="AT716" s="26"/>
      <c r="AU716" s="26"/>
      <c r="AV716" s="26"/>
      <c r="AW716" s="26"/>
    </row>
    <row r="717" customFormat="false" ht="15.75" hidden="false" customHeight="false" outlineLevel="0" collapsed="false">
      <c r="AO717" s="26"/>
      <c r="AQ717" s="26"/>
      <c r="AT717" s="26"/>
      <c r="AU717" s="26"/>
      <c r="AV717" s="26"/>
      <c r="AW717" s="26"/>
    </row>
    <row r="718" customFormat="false" ht="15.75" hidden="false" customHeight="false" outlineLevel="0" collapsed="false">
      <c r="AO718" s="26"/>
      <c r="AQ718" s="26"/>
      <c r="AT718" s="26"/>
      <c r="AU718" s="26"/>
      <c r="AV718" s="26"/>
      <c r="AW718" s="26"/>
    </row>
    <row r="719" customFormat="false" ht="15.75" hidden="false" customHeight="false" outlineLevel="0" collapsed="false">
      <c r="AO719" s="26"/>
      <c r="AQ719" s="26"/>
      <c r="AT719" s="26"/>
      <c r="AU719" s="26"/>
      <c r="AV719" s="26"/>
      <c r="AW719" s="26"/>
    </row>
    <row r="720" customFormat="false" ht="15.75" hidden="false" customHeight="false" outlineLevel="0" collapsed="false">
      <c r="AO720" s="26"/>
      <c r="AQ720" s="26"/>
      <c r="AT720" s="26"/>
      <c r="AU720" s="26"/>
      <c r="AV720" s="26"/>
      <c r="AW720" s="26"/>
    </row>
    <row r="721" customFormat="false" ht="15.75" hidden="false" customHeight="false" outlineLevel="0" collapsed="false">
      <c r="AO721" s="26"/>
      <c r="AQ721" s="26"/>
      <c r="AT721" s="26"/>
      <c r="AU721" s="26"/>
      <c r="AV721" s="26"/>
      <c r="AW721" s="26"/>
    </row>
    <row r="722" customFormat="false" ht="15.75" hidden="false" customHeight="false" outlineLevel="0" collapsed="false">
      <c r="AO722" s="26"/>
      <c r="AQ722" s="26"/>
      <c r="AT722" s="26"/>
      <c r="AU722" s="26"/>
      <c r="AV722" s="26"/>
      <c r="AW722" s="26"/>
    </row>
    <row r="723" customFormat="false" ht="15.75" hidden="false" customHeight="false" outlineLevel="0" collapsed="false">
      <c r="AO723" s="26"/>
      <c r="AQ723" s="26"/>
      <c r="AT723" s="26"/>
      <c r="AU723" s="26"/>
      <c r="AV723" s="26"/>
      <c r="AW723" s="26"/>
    </row>
    <row r="724" customFormat="false" ht="15.75" hidden="false" customHeight="false" outlineLevel="0" collapsed="false">
      <c r="AO724" s="26"/>
      <c r="AQ724" s="26"/>
      <c r="AT724" s="26"/>
      <c r="AU724" s="26"/>
      <c r="AV724" s="26"/>
      <c r="AW724" s="26"/>
    </row>
    <row r="725" customFormat="false" ht="15.75" hidden="false" customHeight="false" outlineLevel="0" collapsed="false">
      <c r="AO725" s="26"/>
      <c r="AQ725" s="26"/>
      <c r="AT725" s="26"/>
      <c r="AU725" s="26"/>
      <c r="AV725" s="26"/>
      <c r="AW725" s="26"/>
    </row>
    <row r="726" customFormat="false" ht="15.75" hidden="false" customHeight="false" outlineLevel="0" collapsed="false">
      <c r="AO726" s="26"/>
      <c r="AQ726" s="26"/>
      <c r="AT726" s="26"/>
      <c r="AU726" s="26"/>
      <c r="AV726" s="26"/>
      <c r="AW726" s="26"/>
    </row>
    <row r="727" customFormat="false" ht="15.75" hidden="false" customHeight="false" outlineLevel="0" collapsed="false">
      <c r="AO727" s="26"/>
      <c r="AQ727" s="26"/>
      <c r="AT727" s="26"/>
      <c r="AU727" s="26"/>
      <c r="AV727" s="26"/>
      <c r="AW727" s="26"/>
    </row>
    <row r="728" customFormat="false" ht="15.75" hidden="false" customHeight="false" outlineLevel="0" collapsed="false">
      <c r="AO728" s="26"/>
      <c r="AQ728" s="26"/>
      <c r="AT728" s="26"/>
      <c r="AU728" s="26"/>
      <c r="AV728" s="26"/>
      <c r="AW728" s="26"/>
    </row>
    <row r="729" customFormat="false" ht="15.75" hidden="false" customHeight="false" outlineLevel="0" collapsed="false">
      <c r="AO729" s="26"/>
      <c r="AQ729" s="26"/>
      <c r="AT729" s="26"/>
      <c r="AU729" s="26"/>
      <c r="AV729" s="26"/>
      <c r="AW729" s="26"/>
    </row>
    <row r="730" customFormat="false" ht="15.75" hidden="false" customHeight="false" outlineLevel="0" collapsed="false">
      <c r="AO730" s="26"/>
      <c r="AQ730" s="26"/>
      <c r="AT730" s="26"/>
      <c r="AU730" s="26"/>
      <c r="AV730" s="26"/>
      <c r="AW730" s="26"/>
    </row>
    <row r="731" customFormat="false" ht="15.75" hidden="false" customHeight="false" outlineLevel="0" collapsed="false">
      <c r="AO731" s="26"/>
      <c r="AQ731" s="26"/>
      <c r="AT731" s="26"/>
      <c r="AU731" s="26"/>
      <c r="AV731" s="26"/>
      <c r="AW731" s="26"/>
    </row>
    <row r="732" customFormat="false" ht="15.75" hidden="false" customHeight="false" outlineLevel="0" collapsed="false">
      <c r="AO732" s="26"/>
      <c r="AQ732" s="26"/>
      <c r="AT732" s="26"/>
      <c r="AU732" s="26"/>
      <c r="AV732" s="26"/>
      <c r="AW732" s="26"/>
    </row>
    <row r="733" customFormat="false" ht="15.75" hidden="false" customHeight="false" outlineLevel="0" collapsed="false">
      <c r="AO733" s="26"/>
      <c r="AQ733" s="26"/>
      <c r="AT733" s="26"/>
      <c r="AU733" s="26"/>
      <c r="AV733" s="26"/>
      <c r="AW733" s="26"/>
    </row>
    <row r="734" customFormat="false" ht="15.75" hidden="false" customHeight="false" outlineLevel="0" collapsed="false">
      <c r="AO734" s="26"/>
      <c r="AQ734" s="26"/>
      <c r="AT734" s="26"/>
      <c r="AU734" s="26"/>
      <c r="AV734" s="26"/>
      <c r="AW734" s="26"/>
    </row>
    <row r="735" customFormat="false" ht="15.75" hidden="false" customHeight="false" outlineLevel="0" collapsed="false">
      <c r="AO735" s="26"/>
      <c r="AQ735" s="26"/>
      <c r="AT735" s="26"/>
      <c r="AU735" s="26"/>
      <c r="AV735" s="26"/>
      <c r="AW735" s="26"/>
    </row>
    <row r="736" customFormat="false" ht="15.75" hidden="false" customHeight="false" outlineLevel="0" collapsed="false">
      <c r="AO736" s="26"/>
      <c r="AQ736" s="26"/>
      <c r="AT736" s="26"/>
      <c r="AU736" s="26"/>
      <c r="AV736" s="26"/>
      <c r="AW736" s="26"/>
    </row>
    <row r="737" customFormat="false" ht="15.75" hidden="false" customHeight="false" outlineLevel="0" collapsed="false">
      <c r="AO737" s="26"/>
      <c r="AQ737" s="26"/>
      <c r="AT737" s="26"/>
      <c r="AU737" s="26"/>
      <c r="AV737" s="26"/>
      <c r="AW737" s="26"/>
    </row>
    <row r="738" customFormat="false" ht="15.75" hidden="false" customHeight="false" outlineLevel="0" collapsed="false">
      <c r="AO738" s="26"/>
      <c r="AQ738" s="26"/>
      <c r="AT738" s="26"/>
      <c r="AU738" s="26"/>
      <c r="AV738" s="26"/>
      <c r="AW738" s="26"/>
    </row>
    <row r="739" customFormat="false" ht="15.75" hidden="false" customHeight="false" outlineLevel="0" collapsed="false">
      <c r="AO739" s="26"/>
      <c r="AQ739" s="26"/>
      <c r="AT739" s="26"/>
      <c r="AU739" s="26"/>
      <c r="AV739" s="26"/>
      <c r="AW739" s="26"/>
    </row>
    <row r="740" customFormat="false" ht="15.75" hidden="false" customHeight="false" outlineLevel="0" collapsed="false">
      <c r="AO740" s="26"/>
      <c r="AQ740" s="26"/>
      <c r="AT740" s="26"/>
      <c r="AU740" s="26"/>
      <c r="AV740" s="26"/>
      <c r="AW740" s="26"/>
    </row>
    <row r="741" customFormat="false" ht="15.75" hidden="false" customHeight="false" outlineLevel="0" collapsed="false">
      <c r="AO741" s="26"/>
      <c r="AQ741" s="26"/>
      <c r="AT741" s="26"/>
      <c r="AU741" s="26"/>
      <c r="AV741" s="26"/>
      <c r="AW741" s="26"/>
    </row>
    <row r="742" customFormat="false" ht="15.75" hidden="false" customHeight="false" outlineLevel="0" collapsed="false">
      <c r="AO742" s="26"/>
      <c r="AQ742" s="26"/>
      <c r="AT742" s="26"/>
      <c r="AU742" s="26"/>
      <c r="AV742" s="26"/>
      <c r="AW742" s="26"/>
    </row>
    <row r="743" customFormat="false" ht="15.75" hidden="false" customHeight="false" outlineLevel="0" collapsed="false">
      <c r="AO743" s="26"/>
      <c r="AQ743" s="26"/>
      <c r="AT743" s="26"/>
      <c r="AU743" s="26"/>
      <c r="AV743" s="26"/>
      <c r="AW743" s="26"/>
    </row>
    <row r="744" customFormat="false" ht="15.75" hidden="false" customHeight="false" outlineLevel="0" collapsed="false">
      <c r="AO744" s="26"/>
      <c r="AQ744" s="26"/>
      <c r="AT744" s="26"/>
      <c r="AU744" s="26"/>
      <c r="AV744" s="26"/>
      <c r="AW744" s="26"/>
    </row>
    <row r="745" customFormat="false" ht="15.75" hidden="false" customHeight="false" outlineLevel="0" collapsed="false">
      <c r="AO745" s="26"/>
      <c r="AQ745" s="26"/>
      <c r="AT745" s="26"/>
      <c r="AU745" s="26"/>
      <c r="AV745" s="26"/>
      <c r="AW745" s="26"/>
    </row>
    <row r="746" customFormat="false" ht="15.75" hidden="false" customHeight="false" outlineLevel="0" collapsed="false">
      <c r="AO746" s="26"/>
      <c r="AQ746" s="26"/>
      <c r="AT746" s="26"/>
      <c r="AU746" s="26"/>
      <c r="AV746" s="26"/>
      <c r="AW746" s="26"/>
    </row>
    <row r="747" customFormat="false" ht="15.75" hidden="false" customHeight="false" outlineLevel="0" collapsed="false">
      <c r="AO747" s="26"/>
      <c r="AQ747" s="26"/>
      <c r="AT747" s="26"/>
      <c r="AU747" s="26"/>
      <c r="AV747" s="26"/>
      <c r="AW747" s="26"/>
    </row>
    <row r="748" customFormat="false" ht="15.75" hidden="false" customHeight="false" outlineLevel="0" collapsed="false">
      <c r="AO748" s="26"/>
      <c r="AQ748" s="26"/>
      <c r="AT748" s="26"/>
      <c r="AU748" s="26"/>
      <c r="AV748" s="26"/>
      <c r="AW748" s="26"/>
    </row>
    <row r="749" customFormat="false" ht="15.75" hidden="false" customHeight="false" outlineLevel="0" collapsed="false">
      <c r="AO749" s="26"/>
      <c r="AQ749" s="26"/>
      <c r="AT749" s="26"/>
      <c r="AU749" s="26"/>
      <c r="AV749" s="26"/>
      <c r="AW749" s="26"/>
    </row>
    <row r="750" customFormat="false" ht="15.75" hidden="false" customHeight="false" outlineLevel="0" collapsed="false">
      <c r="AO750" s="26"/>
      <c r="AQ750" s="26"/>
      <c r="AT750" s="26"/>
      <c r="AU750" s="26"/>
      <c r="AV750" s="26"/>
      <c r="AW750" s="26"/>
    </row>
    <row r="751" customFormat="false" ht="15.75" hidden="false" customHeight="false" outlineLevel="0" collapsed="false">
      <c r="AO751" s="26"/>
      <c r="AQ751" s="26"/>
      <c r="AT751" s="26"/>
      <c r="AU751" s="26"/>
      <c r="AV751" s="26"/>
      <c r="AW751" s="26"/>
    </row>
    <row r="752" customFormat="false" ht="15.75" hidden="false" customHeight="false" outlineLevel="0" collapsed="false">
      <c r="AO752" s="26"/>
      <c r="AQ752" s="26"/>
      <c r="AT752" s="26"/>
      <c r="AU752" s="26"/>
      <c r="AV752" s="26"/>
      <c r="AW752" s="26"/>
    </row>
    <row r="753" customFormat="false" ht="15.75" hidden="false" customHeight="false" outlineLevel="0" collapsed="false">
      <c r="AO753" s="26"/>
      <c r="AQ753" s="26"/>
      <c r="AT753" s="26"/>
      <c r="AU753" s="26"/>
      <c r="AV753" s="26"/>
      <c r="AW753" s="26"/>
    </row>
    <row r="754" customFormat="false" ht="15.75" hidden="false" customHeight="false" outlineLevel="0" collapsed="false">
      <c r="AO754" s="26"/>
      <c r="AQ754" s="26"/>
      <c r="AT754" s="26"/>
      <c r="AU754" s="26"/>
      <c r="AV754" s="26"/>
      <c r="AW754" s="26"/>
    </row>
    <row r="755" customFormat="false" ht="15.75" hidden="false" customHeight="false" outlineLevel="0" collapsed="false">
      <c r="AO755" s="26"/>
      <c r="AQ755" s="26"/>
      <c r="AT755" s="26"/>
      <c r="AU755" s="26"/>
      <c r="AV755" s="26"/>
      <c r="AW755" s="26"/>
    </row>
    <row r="756" customFormat="false" ht="15.75" hidden="false" customHeight="false" outlineLevel="0" collapsed="false">
      <c r="AO756" s="26"/>
      <c r="AQ756" s="26"/>
      <c r="AT756" s="26"/>
      <c r="AU756" s="26"/>
      <c r="AV756" s="26"/>
      <c r="AW756" s="26"/>
    </row>
    <row r="757" customFormat="false" ht="15.75" hidden="false" customHeight="false" outlineLevel="0" collapsed="false">
      <c r="AO757" s="26"/>
      <c r="AQ757" s="26"/>
      <c r="AT757" s="26"/>
      <c r="AU757" s="26"/>
      <c r="AV757" s="26"/>
      <c r="AW757" s="26"/>
    </row>
    <row r="758" customFormat="false" ht="15.75" hidden="false" customHeight="false" outlineLevel="0" collapsed="false">
      <c r="AO758" s="26"/>
      <c r="AQ758" s="26"/>
      <c r="AT758" s="26"/>
      <c r="AU758" s="26"/>
      <c r="AV758" s="26"/>
      <c r="AW758" s="26"/>
    </row>
    <row r="759" customFormat="false" ht="15.75" hidden="false" customHeight="false" outlineLevel="0" collapsed="false">
      <c r="AO759" s="26"/>
      <c r="AQ759" s="26"/>
      <c r="AT759" s="26"/>
      <c r="AU759" s="26"/>
      <c r="AV759" s="26"/>
      <c r="AW759" s="26"/>
    </row>
    <row r="760" customFormat="false" ht="15.75" hidden="false" customHeight="false" outlineLevel="0" collapsed="false">
      <c r="AO760" s="26"/>
      <c r="AQ760" s="26"/>
      <c r="AT760" s="26"/>
      <c r="AU760" s="26"/>
      <c r="AV760" s="26"/>
      <c r="AW760" s="26"/>
    </row>
    <row r="761" customFormat="false" ht="15.75" hidden="false" customHeight="false" outlineLevel="0" collapsed="false">
      <c r="AO761" s="26"/>
      <c r="AQ761" s="26"/>
      <c r="AT761" s="26"/>
      <c r="AU761" s="26"/>
      <c r="AV761" s="26"/>
      <c r="AW761" s="26"/>
    </row>
    <row r="762" customFormat="false" ht="15.75" hidden="false" customHeight="false" outlineLevel="0" collapsed="false">
      <c r="AO762" s="26"/>
      <c r="AQ762" s="26"/>
      <c r="AT762" s="26"/>
      <c r="AU762" s="26"/>
      <c r="AV762" s="26"/>
      <c r="AW762" s="26"/>
    </row>
    <row r="763" customFormat="false" ht="15.75" hidden="false" customHeight="false" outlineLevel="0" collapsed="false">
      <c r="AO763" s="26"/>
      <c r="AQ763" s="26"/>
      <c r="AT763" s="26"/>
      <c r="AU763" s="26"/>
      <c r="AV763" s="26"/>
      <c r="AW763" s="26"/>
    </row>
    <row r="764" customFormat="false" ht="15.75" hidden="false" customHeight="false" outlineLevel="0" collapsed="false">
      <c r="AO764" s="26"/>
      <c r="AQ764" s="26"/>
      <c r="AT764" s="26"/>
      <c r="AU764" s="26"/>
      <c r="AV764" s="26"/>
      <c r="AW764" s="26"/>
    </row>
    <row r="765" customFormat="false" ht="15.75" hidden="false" customHeight="false" outlineLevel="0" collapsed="false">
      <c r="AO765" s="26"/>
      <c r="AQ765" s="26"/>
      <c r="AT765" s="26"/>
      <c r="AU765" s="26"/>
      <c r="AV765" s="26"/>
      <c r="AW765" s="26"/>
    </row>
    <row r="766" customFormat="false" ht="15.75" hidden="false" customHeight="false" outlineLevel="0" collapsed="false">
      <c r="AO766" s="26"/>
      <c r="AQ766" s="26"/>
      <c r="AT766" s="26"/>
      <c r="AU766" s="26"/>
      <c r="AV766" s="26"/>
      <c r="AW766" s="26"/>
    </row>
    <row r="767" customFormat="false" ht="15.75" hidden="false" customHeight="false" outlineLevel="0" collapsed="false">
      <c r="AO767" s="26"/>
      <c r="AQ767" s="26"/>
      <c r="AT767" s="26"/>
      <c r="AU767" s="26"/>
      <c r="AV767" s="26"/>
      <c r="AW767" s="26"/>
    </row>
    <row r="768" customFormat="false" ht="15.75" hidden="false" customHeight="false" outlineLevel="0" collapsed="false">
      <c r="AO768" s="26"/>
      <c r="AQ768" s="26"/>
      <c r="AT768" s="26"/>
      <c r="AU768" s="26"/>
      <c r="AV768" s="26"/>
      <c r="AW768" s="26"/>
    </row>
    <row r="769" customFormat="false" ht="15.75" hidden="false" customHeight="false" outlineLevel="0" collapsed="false">
      <c r="AO769" s="26"/>
      <c r="AQ769" s="26"/>
      <c r="AT769" s="26"/>
      <c r="AU769" s="26"/>
      <c r="AV769" s="26"/>
      <c r="AW769" s="26"/>
    </row>
    <row r="770" customFormat="false" ht="15.75" hidden="false" customHeight="false" outlineLevel="0" collapsed="false">
      <c r="AO770" s="26"/>
      <c r="AQ770" s="26"/>
      <c r="AT770" s="26"/>
      <c r="AU770" s="26"/>
      <c r="AV770" s="26"/>
      <c r="AW770" s="26"/>
    </row>
    <row r="771" customFormat="false" ht="15.75" hidden="false" customHeight="false" outlineLevel="0" collapsed="false">
      <c r="AO771" s="26"/>
      <c r="AQ771" s="26"/>
      <c r="AT771" s="26"/>
      <c r="AU771" s="26"/>
      <c r="AV771" s="26"/>
      <c r="AW771" s="26"/>
    </row>
    <row r="772" customFormat="false" ht="15.75" hidden="false" customHeight="false" outlineLevel="0" collapsed="false">
      <c r="AO772" s="26"/>
      <c r="AQ772" s="26"/>
      <c r="AT772" s="26"/>
      <c r="AU772" s="26"/>
      <c r="AV772" s="26"/>
      <c r="AW772" s="26"/>
    </row>
    <row r="773" customFormat="false" ht="15.75" hidden="false" customHeight="false" outlineLevel="0" collapsed="false">
      <c r="AO773" s="26"/>
      <c r="AQ773" s="26"/>
      <c r="AT773" s="26"/>
      <c r="AU773" s="26"/>
      <c r="AV773" s="26"/>
      <c r="AW773" s="26"/>
    </row>
    <row r="774" customFormat="false" ht="15.75" hidden="false" customHeight="false" outlineLevel="0" collapsed="false">
      <c r="AO774" s="26"/>
      <c r="AQ774" s="26"/>
      <c r="AT774" s="26"/>
      <c r="AU774" s="26"/>
      <c r="AV774" s="26"/>
      <c r="AW774" s="26"/>
    </row>
    <row r="775" customFormat="false" ht="15.75" hidden="false" customHeight="false" outlineLevel="0" collapsed="false">
      <c r="AO775" s="26"/>
      <c r="AQ775" s="26"/>
      <c r="AT775" s="26"/>
      <c r="AU775" s="26"/>
      <c r="AV775" s="26"/>
      <c r="AW775" s="26"/>
    </row>
    <row r="776" customFormat="false" ht="15.75" hidden="false" customHeight="false" outlineLevel="0" collapsed="false">
      <c r="AO776" s="26"/>
      <c r="AQ776" s="26"/>
      <c r="AT776" s="26"/>
      <c r="AU776" s="26"/>
      <c r="AV776" s="26"/>
      <c r="AW776" s="26"/>
    </row>
    <row r="777" customFormat="false" ht="15.75" hidden="false" customHeight="false" outlineLevel="0" collapsed="false">
      <c r="AO777" s="26"/>
      <c r="AQ777" s="26"/>
      <c r="AT777" s="26"/>
      <c r="AU777" s="26"/>
      <c r="AV777" s="26"/>
      <c r="AW777" s="26"/>
    </row>
    <row r="778" customFormat="false" ht="15.75" hidden="false" customHeight="false" outlineLevel="0" collapsed="false">
      <c r="AO778" s="26"/>
      <c r="AQ778" s="26"/>
      <c r="AT778" s="26"/>
      <c r="AU778" s="26"/>
      <c r="AV778" s="26"/>
      <c r="AW778" s="26"/>
    </row>
    <row r="779" customFormat="false" ht="15.75" hidden="false" customHeight="false" outlineLevel="0" collapsed="false">
      <c r="AO779" s="26"/>
      <c r="AQ779" s="26"/>
      <c r="AT779" s="26"/>
      <c r="AU779" s="26"/>
      <c r="AV779" s="26"/>
      <c r="AW779" s="26"/>
    </row>
    <row r="780" customFormat="false" ht="15.75" hidden="false" customHeight="false" outlineLevel="0" collapsed="false">
      <c r="AO780" s="26"/>
      <c r="AQ780" s="26"/>
      <c r="AT780" s="26"/>
      <c r="AU780" s="26"/>
      <c r="AV780" s="26"/>
      <c r="AW780" s="26"/>
    </row>
    <row r="781" customFormat="false" ht="15.75" hidden="false" customHeight="false" outlineLevel="0" collapsed="false">
      <c r="AO781" s="26"/>
      <c r="AQ781" s="26"/>
      <c r="AT781" s="26"/>
      <c r="AU781" s="26"/>
      <c r="AV781" s="26"/>
      <c r="AW781" s="26"/>
    </row>
    <row r="782" customFormat="false" ht="15.75" hidden="false" customHeight="false" outlineLevel="0" collapsed="false">
      <c r="AO782" s="26"/>
      <c r="AQ782" s="26"/>
      <c r="AT782" s="26"/>
      <c r="AU782" s="26"/>
      <c r="AV782" s="26"/>
      <c r="AW782" s="26"/>
    </row>
    <row r="783" customFormat="false" ht="15.75" hidden="false" customHeight="false" outlineLevel="0" collapsed="false">
      <c r="AO783" s="26"/>
      <c r="AQ783" s="26"/>
      <c r="AT783" s="26"/>
      <c r="AU783" s="26"/>
      <c r="AV783" s="26"/>
      <c r="AW783" s="26"/>
    </row>
    <row r="784" customFormat="false" ht="15.75" hidden="false" customHeight="false" outlineLevel="0" collapsed="false">
      <c r="AO784" s="26"/>
      <c r="AQ784" s="26"/>
      <c r="AT784" s="26"/>
      <c r="AU784" s="26"/>
      <c r="AV784" s="26"/>
      <c r="AW784" s="26"/>
    </row>
    <row r="785" customFormat="false" ht="15.75" hidden="false" customHeight="false" outlineLevel="0" collapsed="false">
      <c r="AO785" s="26"/>
      <c r="AQ785" s="26"/>
      <c r="AT785" s="26"/>
      <c r="AU785" s="26"/>
      <c r="AV785" s="26"/>
      <c r="AW785" s="26"/>
    </row>
    <row r="786" customFormat="false" ht="15.75" hidden="false" customHeight="false" outlineLevel="0" collapsed="false">
      <c r="AO786" s="26"/>
      <c r="AQ786" s="26"/>
      <c r="AT786" s="26"/>
      <c r="AU786" s="26"/>
      <c r="AV786" s="26"/>
      <c r="AW786" s="26"/>
    </row>
    <row r="787" customFormat="false" ht="15.75" hidden="false" customHeight="false" outlineLevel="0" collapsed="false">
      <c r="AO787" s="26"/>
      <c r="AQ787" s="26"/>
      <c r="AT787" s="26"/>
      <c r="AU787" s="26"/>
      <c r="AV787" s="26"/>
      <c r="AW787" s="26"/>
    </row>
    <row r="788" customFormat="false" ht="15.75" hidden="false" customHeight="false" outlineLevel="0" collapsed="false">
      <c r="AO788" s="26"/>
      <c r="AQ788" s="26"/>
      <c r="AT788" s="26"/>
      <c r="AU788" s="26"/>
      <c r="AV788" s="26"/>
      <c r="AW788" s="26"/>
    </row>
    <row r="789" customFormat="false" ht="15.75" hidden="false" customHeight="false" outlineLevel="0" collapsed="false">
      <c r="AO789" s="26"/>
      <c r="AQ789" s="26"/>
      <c r="AT789" s="26"/>
      <c r="AU789" s="26"/>
      <c r="AV789" s="26"/>
      <c r="AW789" s="26"/>
    </row>
    <row r="790" customFormat="false" ht="15.75" hidden="false" customHeight="false" outlineLevel="0" collapsed="false">
      <c r="AO790" s="26"/>
      <c r="AQ790" s="26"/>
      <c r="AT790" s="26"/>
      <c r="AU790" s="26"/>
      <c r="AV790" s="26"/>
      <c r="AW790" s="26"/>
    </row>
    <row r="791" customFormat="false" ht="15.75" hidden="false" customHeight="false" outlineLevel="0" collapsed="false">
      <c r="AO791" s="26"/>
      <c r="AQ791" s="26"/>
      <c r="AT791" s="26"/>
      <c r="AU791" s="26"/>
      <c r="AV791" s="26"/>
      <c r="AW791" s="26"/>
    </row>
    <row r="792" customFormat="false" ht="15.75" hidden="false" customHeight="false" outlineLevel="0" collapsed="false">
      <c r="AO792" s="26"/>
      <c r="AQ792" s="26"/>
      <c r="AT792" s="26"/>
      <c r="AU792" s="26"/>
      <c r="AV792" s="26"/>
      <c r="AW792" s="26"/>
    </row>
    <row r="793" customFormat="false" ht="15.75" hidden="false" customHeight="false" outlineLevel="0" collapsed="false">
      <c r="AO793" s="26"/>
      <c r="AQ793" s="26"/>
      <c r="AT793" s="26"/>
      <c r="AU793" s="26"/>
      <c r="AV793" s="26"/>
      <c r="AW793" s="26"/>
    </row>
    <row r="794" customFormat="false" ht="15.75" hidden="false" customHeight="false" outlineLevel="0" collapsed="false">
      <c r="AO794" s="26"/>
      <c r="AQ794" s="26"/>
      <c r="AT794" s="26"/>
      <c r="AU794" s="26"/>
      <c r="AV794" s="26"/>
      <c r="AW794" s="26"/>
    </row>
    <row r="795" customFormat="false" ht="15.75" hidden="false" customHeight="false" outlineLevel="0" collapsed="false">
      <c r="AO795" s="26"/>
      <c r="AQ795" s="26"/>
      <c r="AT795" s="26"/>
      <c r="AU795" s="26"/>
      <c r="AV795" s="26"/>
      <c r="AW795" s="26"/>
    </row>
    <row r="796" customFormat="false" ht="15.75" hidden="false" customHeight="false" outlineLevel="0" collapsed="false">
      <c r="AO796" s="26"/>
      <c r="AQ796" s="26"/>
      <c r="AT796" s="26"/>
      <c r="AU796" s="26"/>
      <c r="AV796" s="26"/>
      <c r="AW796" s="26"/>
    </row>
    <row r="797" customFormat="false" ht="15.75" hidden="false" customHeight="false" outlineLevel="0" collapsed="false">
      <c r="AO797" s="26"/>
      <c r="AQ797" s="26"/>
      <c r="AT797" s="26"/>
      <c r="AU797" s="26"/>
      <c r="AV797" s="26"/>
      <c r="AW797" s="26"/>
    </row>
    <row r="798" customFormat="false" ht="15.75" hidden="false" customHeight="false" outlineLevel="0" collapsed="false">
      <c r="AO798" s="26"/>
      <c r="AQ798" s="26"/>
      <c r="AT798" s="26"/>
      <c r="AU798" s="26"/>
      <c r="AV798" s="26"/>
      <c r="AW798" s="26"/>
    </row>
    <row r="799" customFormat="false" ht="15.75" hidden="false" customHeight="false" outlineLevel="0" collapsed="false">
      <c r="AO799" s="26"/>
      <c r="AQ799" s="26"/>
      <c r="AT799" s="26"/>
      <c r="AU799" s="26"/>
      <c r="AV799" s="26"/>
      <c r="AW799" s="26"/>
    </row>
    <row r="800" customFormat="false" ht="15.75" hidden="false" customHeight="false" outlineLevel="0" collapsed="false">
      <c r="AO800" s="26"/>
      <c r="AQ800" s="26"/>
      <c r="AT800" s="26"/>
      <c r="AU800" s="26"/>
      <c r="AV800" s="26"/>
      <c r="AW800" s="26"/>
    </row>
    <row r="801" customFormat="false" ht="15.75" hidden="false" customHeight="false" outlineLevel="0" collapsed="false">
      <c r="AO801" s="26"/>
      <c r="AQ801" s="26"/>
      <c r="AT801" s="26"/>
      <c r="AU801" s="26"/>
      <c r="AV801" s="26"/>
      <c r="AW801" s="26"/>
    </row>
    <row r="802" customFormat="false" ht="15.75" hidden="false" customHeight="false" outlineLevel="0" collapsed="false">
      <c r="AO802" s="26"/>
      <c r="AQ802" s="26"/>
      <c r="AT802" s="26"/>
      <c r="AU802" s="26"/>
      <c r="AV802" s="26"/>
      <c r="AW802" s="26"/>
    </row>
    <row r="803" customFormat="false" ht="15.75" hidden="false" customHeight="false" outlineLevel="0" collapsed="false">
      <c r="AO803" s="26"/>
      <c r="AQ803" s="26"/>
      <c r="AT803" s="26"/>
      <c r="AU803" s="26"/>
      <c r="AV803" s="26"/>
      <c r="AW803" s="26"/>
    </row>
    <row r="804" customFormat="false" ht="15.75" hidden="false" customHeight="false" outlineLevel="0" collapsed="false">
      <c r="AO804" s="26"/>
      <c r="AQ804" s="26"/>
      <c r="AT804" s="26"/>
      <c r="AU804" s="26"/>
      <c r="AV804" s="26"/>
      <c r="AW804" s="26"/>
    </row>
    <row r="805" customFormat="false" ht="15.75" hidden="false" customHeight="false" outlineLevel="0" collapsed="false">
      <c r="AO805" s="26"/>
      <c r="AQ805" s="26"/>
      <c r="AT805" s="26"/>
      <c r="AU805" s="26"/>
      <c r="AV805" s="26"/>
      <c r="AW805" s="26"/>
    </row>
    <row r="806" customFormat="false" ht="15.75" hidden="false" customHeight="false" outlineLevel="0" collapsed="false">
      <c r="AO806" s="26"/>
      <c r="AQ806" s="26"/>
      <c r="AT806" s="26"/>
      <c r="AU806" s="26"/>
      <c r="AV806" s="26"/>
      <c r="AW806" s="26"/>
    </row>
    <row r="807" customFormat="false" ht="15.75" hidden="false" customHeight="false" outlineLevel="0" collapsed="false">
      <c r="AO807" s="26"/>
      <c r="AQ807" s="26"/>
      <c r="AT807" s="26"/>
      <c r="AU807" s="26"/>
      <c r="AV807" s="26"/>
      <c r="AW807" s="26"/>
    </row>
    <row r="808" customFormat="false" ht="15.75" hidden="false" customHeight="false" outlineLevel="0" collapsed="false">
      <c r="AO808" s="26"/>
      <c r="AQ808" s="26"/>
      <c r="AT808" s="26"/>
      <c r="AU808" s="26"/>
      <c r="AV808" s="26"/>
      <c r="AW808" s="26"/>
    </row>
    <row r="809" customFormat="false" ht="15.75" hidden="false" customHeight="false" outlineLevel="0" collapsed="false">
      <c r="AO809" s="26"/>
      <c r="AQ809" s="26"/>
      <c r="AT809" s="26"/>
      <c r="AU809" s="26"/>
      <c r="AV809" s="26"/>
      <c r="AW809" s="26"/>
    </row>
    <row r="810" customFormat="false" ht="15.75" hidden="false" customHeight="false" outlineLevel="0" collapsed="false">
      <c r="AO810" s="26"/>
      <c r="AQ810" s="26"/>
      <c r="AT810" s="26"/>
      <c r="AU810" s="26"/>
      <c r="AV810" s="26"/>
      <c r="AW810" s="26"/>
    </row>
    <row r="811" customFormat="false" ht="15.75" hidden="false" customHeight="false" outlineLevel="0" collapsed="false">
      <c r="AO811" s="26"/>
      <c r="AQ811" s="26"/>
      <c r="AT811" s="26"/>
      <c r="AU811" s="26"/>
      <c r="AV811" s="26"/>
      <c r="AW811" s="26"/>
    </row>
    <row r="812" customFormat="false" ht="15.75" hidden="false" customHeight="false" outlineLevel="0" collapsed="false">
      <c r="AO812" s="26"/>
      <c r="AQ812" s="26"/>
      <c r="AT812" s="26"/>
      <c r="AU812" s="26"/>
      <c r="AV812" s="26"/>
      <c r="AW812" s="26"/>
    </row>
    <row r="813" customFormat="false" ht="15.75" hidden="false" customHeight="false" outlineLevel="0" collapsed="false">
      <c r="AO813" s="26"/>
      <c r="AQ813" s="26"/>
      <c r="AT813" s="26"/>
      <c r="AU813" s="26"/>
      <c r="AV813" s="26"/>
      <c r="AW813" s="26"/>
    </row>
    <row r="814" customFormat="false" ht="15.75" hidden="false" customHeight="false" outlineLevel="0" collapsed="false">
      <c r="AO814" s="26"/>
      <c r="AQ814" s="26"/>
      <c r="AT814" s="26"/>
      <c r="AU814" s="26"/>
      <c r="AV814" s="26"/>
      <c r="AW814" s="26"/>
    </row>
    <row r="815" customFormat="false" ht="15.75" hidden="false" customHeight="false" outlineLevel="0" collapsed="false">
      <c r="AO815" s="26"/>
      <c r="AQ815" s="26"/>
      <c r="AT815" s="26"/>
      <c r="AU815" s="26"/>
      <c r="AV815" s="26"/>
      <c r="AW815" s="26"/>
    </row>
    <row r="816" customFormat="false" ht="15.75" hidden="false" customHeight="false" outlineLevel="0" collapsed="false">
      <c r="AO816" s="26"/>
      <c r="AQ816" s="26"/>
      <c r="AT816" s="26"/>
      <c r="AU816" s="26"/>
      <c r="AV816" s="26"/>
      <c r="AW816" s="26"/>
    </row>
    <row r="817" customFormat="false" ht="15.75" hidden="false" customHeight="false" outlineLevel="0" collapsed="false">
      <c r="AO817" s="26"/>
      <c r="AQ817" s="26"/>
      <c r="AT817" s="26"/>
      <c r="AU817" s="26"/>
      <c r="AV817" s="26"/>
      <c r="AW817" s="26"/>
    </row>
    <row r="818" customFormat="false" ht="15.75" hidden="false" customHeight="false" outlineLevel="0" collapsed="false">
      <c r="AO818" s="26"/>
      <c r="AQ818" s="26"/>
      <c r="AT818" s="26"/>
      <c r="AU818" s="26"/>
      <c r="AV818" s="26"/>
      <c r="AW818" s="26"/>
    </row>
    <row r="819" customFormat="false" ht="15.75" hidden="false" customHeight="false" outlineLevel="0" collapsed="false">
      <c r="AO819" s="26"/>
      <c r="AQ819" s="26"/>
      <c r="AT819" s="26"/>
      <c r="AU819" s="26"/>
      <c r="AV819" s="26"/>
      <c r="AW819" s="26"/>
    </row>
    <row r="820" customFormat="false" ht="15.75" hidden="false" customHeight="false" outlineLevel="0" collapsed="false">
      <c r="AO820" s="26"/>
      <c r="AQ820" s="26"/>
      <c r="AT820" s="26"/>
      <c r="AU820" s="26"/>
      <c r="AV820" s="26"/>
      <c r="AW820" s="26"/>
    </row>
    <row r="821" customFormat="false" ht="15.75" hidden="false" customHeight="false" outlineLevel="0" collapsed="false">
      <c r="AO821" s="26"/>
      <c r="AQ821" s="26"/>
      <c r="AT821" s="26"/>
      <c r="AU821" s="26"/>
      <c r="AV821" s="26"/>
      <c r="AW821" s="26"/>
    </row>
    <row r="822" customFormat="false" ht="15.75" hidden="false" customHeight="false" outlineLevel="0" collapsed="false">
      <c r="AO822" s="26"/>
      <c r="AQ822" s="26"/>
      <c r="AT822" s="26"/>
      <c r="AU822" s="26"/>
      <c r="AV822" s="26"/>
      <c r="AW822" s="26"/>
    </row>
    <row r="823" customFormat="false" ht="15.75" hidden="false" customHeight="false" outlineLevel="0" collapsed="false">
      <c r="AO823" s="26"/>
      <c r="AQ823" s="26"/>
      <c r="AT823" s="26"/>
      <c r="AU823" s="26"/>
      <c r="AV823" s="26"/>
      <c r="AW823" s="26"/>
    </row>
    <row r="824" customFormat="false" ht="15.75" hidden="false" customHeight="false" outlineLevel="0" collapsed="false">
      <c r="AO824" s="26"/>
      <c r="AQ824" s="26"/>
      <c r="AT824" s="26"/>
      <c r="AU824" s="26"/>
      <c r="AV824" s="26"/>
      <c r="AW824" s="26"/>
    </row>
    <row r="825" customFormat="false" ht="15.75" hidden="false" customHeight="false" outlineLevel="0" collapsed="false">
      <c r="AO825" s="26"/>
      <c r="AQ825" s="26"/>
      <c r="AT825" s="26"/>
      <c r="AU825" s="26"/>
      <c r="AV825" s="26"/>
      <c r="AW825" s="26"/>
    </row>
    <row r="826" customFormat="false" ht="15.75" hidden="false" customHeight="false" outlineLevel="0" collapsed="false">
      <c r="AO826" s="26"/>
      <c r="AQ826" s="26"/>
      <c r="AT826" s="26"/>
      <c r="AU826" s="26"/>
      <c r="AV826" s="26"/>
      <c r="AW826" s="26"/>
    </row>
    <row r="827" customFormat="false" ht="15.75" hidden="false" customHeight="false" outlineLevel="0" collapsed="false">
      <c r="AO827" s="26"/>
      <c r="AQ827" s="26"/>
      <c r="AT827" s="26"/>
      <c r="AU827" s="26"/>
      <c r="AV827" s="26"/>
      <c r="AW827" s="26"/>
    </row>
    <row r="828" customFormat="false" ht="15.75" hidden="false" customHeight="false" outlineLevel="0" collapsed="false">
      <c r="AO828" s="26"/>
      <c r="AQ828" s="26"/>
      <c r="AT828" s="26"/>
      <c r="AU828" s="26"/>
      <c r="AV828" s="26"/>
      <c r="AW828" s="26"/>
    </row>
    <row r="829" customFormat="false" ht="15.75" hidden="false" customHeight="false" outlineLevel="0" collapsed="false">
      <c r="AO829" s="26"/>
      <c r="AQ829" s="26"/>
      <c r="AT829" s="26"/>
      <c r="AU829" s="26"/>
      <c r="AV829" s="26"/>
      <c r="AW829" s="26"/>
    </row>
    <row r="830" customFormat="false" ht="15.75" hidden="false" customHeight="false" outlineLevel="0" collapsed="false">
      <c r="AO830" s="26"/>
      <c r="AQ830" s="26"/>
      <c r="AT830" s="26"/>
      <c r="AU830" s="26"/>
      <c r="AV830" s="26"/>
      <c r="AW830" s="26"/>
    </row>
    <row r="831" customFormat="false" ht="15.75" hidden="false" customHeight="false" outlineLevel="0" collapsed="false">
      <c r="AO831" s="26"/>
      <c r="AQ831" s="26"/>
      <c r="AT831" s="26"/>
      <c r="AU831" s="26"/>
      <c r="AV831" s="26"/>
      <c r="AW831" s="26"/>
    </row>
    <row r="832" customFormat="false" ht="15.75" hidden="false" customHeight="false" outlineLevel="0" collapsed="false">
      <c r="AO832" s="26"/>
      <c r="AQ832" s="26"/>
      <c r="AT832" s="26"/>
      <c r="AU832" s="26"/>
      <c r="AV832" s="26"/>
      <c r="AW832" s="26"/>
    </row>
    <row r="833" customFormat="false" ht="15.75" hidden="false" customHeight="false" outlineLevel="0" collapsed="false">
      <c r="AO833" s="26"/>
      <c r="AQ833" s="26"/>
      <c r="AT833" s="26"/>
      <c r="AU833" s="26"/>
      <c r="AV833" s="26"/>
      <c r="AW833" s="26"/>
    </row>
    <row r="834" customFormat="false" ht="15.75" hidden="false" customHeight="false" outlineLevel="0" collapsed="false">
      <c r="AO834" s="26"/>
      <c r="AQ834" s="26"/>
      <c r="AT834" s="26"/>
      <c r="AU834" s="26"/>
      <c r="AV834" s="26"/>
      <c r="AW834" s="26"/>
    </row>
    <row r="835" customFormat="false" ht="15.75" hidden="false" customHeight="false" outlineLevel="0" collapsed="false">
      <c r="AO835" s="26"/>
      <c r="AQ835" s="26"/>
      <c r="AT835" s="26"/>
      <c r="AU835" s="26"/>
      <c r="AV835" s="26"/>
      <c r="AW835" s="26"/>
    </row>
    <row r="836" customFormat="false" ht="15.75" hidden="false" customHeight="false" outlineLevel="0" collapsed="false">
      <c r="AO836" s="26"/>
      <c r="AQ836" s="26"/>
      <c r="AT836" s="26"/>
      <c r="AU836" s="26"/>
      <c r="AV836" s="26"/>
      <c r="AW836" s="26"/>
    </row>
    <row r="837" customFormat="false" ht="15.75" hidden="false" customHeight="false" outlineLevel="0" collapsed="false">
      <c r="AO837" s="26"/>
      <c r="AQ837" s="26"/>
      <c r="AT837" s="26"/>
      <c r="AU837" s="26"/>
      <c r="AV837" s="26"/>
      <c r="AW837" s="26"/>
    </row>
    <row r="838" customFormat="false" ht="15.75" hidden="false" customHeight="false" outlineLevel="0" collapsed="false">
      <c r="AO838" s="26"/>
      <c r="AQ838" s="26"/>
      <c r="AT838" s="26"/>
      <c r="AU838" s="26"/>
      <c r="AV838" s="26"/>
      <c r="AW838" s="26"/>
    </row>
    <row r="839" customFormat="false" ht="15.75" hidden="false" customHeight="false" outlineLevel="0" collapsed="false">
      <c r="AO839" s="26"/>
      <c r="AQ839" s="26"/>
      <c r="AT839" s="26"/>
      <c r="AU839" s="26"/>
      <c r="AV839" s="26"/>
      <c r="AW839" s="26"/>
    </row>
    <row r="840" customFormat="false" ht="15.75" hidden="false" customHeight="false" outlineLevel="0" collapsed="false">
      <c r="AO840" s="26"/>
      <c r="AQ840" s="26"/>
      <c r="AT840" s="26"/>
      <c r="AU840" s="26"/>
      <c r="AV840" s="26"/>
      <c r="AW840" s="26"/>
    </row>
    <row r="841" customFormat="false" ht="15.75" hidden="false" customHeight="false" outlineLevel="0" collapsed="false">
      <c r="AO841" s="26"/>
      <c r="AQ841" s="26"/>
      <c r="AT841" s="26"/>
      <c r="AU841" s="26"/>
      <c r="AV841" s="26"/>
      <c r="AW841" s="26"/>
    </row>
    <row r="842" customFormat="false" ht="15.75" hidden="false" customHeight="false" outlineLevel="0" collapsed="false">
      <c r="AO842" s="26"/>
      <c r="AQ842" s="26"/>
      <c r="AT842" s="26"/>
      <c r="AU842" s="26"/>
      <c r="AV842" s="26"/>
      <c r="AW842" s="26"/>
    </row>
    <row r="843" customFormat="false" ht="15.75" hidden="false" customHeight="false" outlineLevel="0" collapsed="false">
      <c r="AO843" s="26"/>
      <c r="AQ843" s="26"/>
      <c r="AT843" s="26"/>
      <c r="AU843" s="26"/>
      <c r="AV843" s="26"/>
      <c r="AW843" s="26"/>
    </row>
    <row r="844" customFormat="false" ht="15.75" hidden="false" customHeight="false" outlineLevel="0" collapsed="false">
      <c r="AO844" s="26"/>
      <c r="AQ844" s="26"/>
      <c r="AT844" s="26"/>
      <c r="AU844" s="26"/>
      <c r="AV844" s="26"/>
      <c r="AW844" s="26"/>
    </row>
    <row r="845" customFormat="false" ht="15.75" hidden="false" customHeight="false" outlineLevel="0" collapsed="false">
      <c r="AO845" s="26"/>
      <c r="AQ845" s="26"/>
      <c r="AT845" s="26"/>
      <c r="AU845" s="26"/>
      <c r="AV845" s="26"/>
      <c r="AW845" s="26"/>
    </row>
    <row r="846" customFormat="false" ht="15.75" hidden="false" customHeight="false" outlineLevel="0" collapsed="false">
      <c r="AO846" s="26"/>
      <c r="AQ846" s="26"/>
      <c r="AT846" s="26"/>
      <c r="AU846" s="26"/>
      <c r="AV846" s="26"/>
      <c r="AW846" s="26"/>
    </row>
    <row r="847" customFormat="false" ht="15.75" hidden="false" customHeight="false" outlineLevel="0" collapsed="false">
      <c r="AO847" s="26"/>
      <c r="AQ847" s="26"/>
      <c r="AT847" s="26"/>
      <c r="AU847" s="26"/>
      <c r="AV847" s="26"/>
      <c r="AW847" s="26"/>
    </row>
    <row r="848" customFormat="false" ht="15.75" hidden="false" customHeight="false" outlineLevel="0" collapsed="false">
      <c r="AO848" s="26"/>
      <c r="AQ848" s="26"/>
      <c r="AT848" s="26"/>
      <c r="AU848" s="26"/>
      <c r="AV848" s="26"/>
      <c r="AW848" s="26"/>
    </row>
    <row r="849" customFormat="false" ht="15.75" hidden="false" customHeight="false" outlineLevel="0" collapsed="false">
      <c r="AO849" s="26"/>
      <c r="AQ849" s="26"/>
      <c r="AT849" s="26"/>
      <c r="AU849" s="26"/>
      <c r="AV849" s="26"/>
      <c r="AW849" s="26"/>
    </row>
    <row r="850" customFormat="false" ht="15.75" hidden="false" customHeight="false" outlineLevel="0" collapsed="false">
      <c r="AO850" s="26"/>
      <c r="AQ850" s="26"/>
      <c r="AT850" s="26"/>
      <c r="AU850" s="26"/>
      <c r="AV850" s="26"/>
      <c r="AW850" s="26"/>
    </row>
    <row r="851" customFormat="false" ht="15.75" hidden="false" customHeight="false" outlineLevel="0" collapsed="false">
      <c r="AO851" s="26"/>
      <c r="AQ851" s="26"/>
      <c r="AT851" s="26"/>
      <c r="AU851" s="26"/>
      <c r="AV851" s="26"/>
      <c r="AW851" s="26"/>
    </row>
    <row r="852" customFormat="false" ht="15.75" hidden="false" customHeight="false" outlineLevel="0" collapsed="false">
      <c r="AO852" s="26"/>
      <c r="AQ852" s="26"/>
      <c r="AT852" s="26"/>
      <c r="AU852" s="26"/>
      <c r="AV852" s="26"/>
      <c r="AW852" s="26"/>
    </row>
    <row r="853" customFormat="false" ht="15.75" hidden="false" customHeight="false" outlineLevel="0" collapsed="false">
      <c r="AO853" s="26"/>
      <c r="AQ853" s="26"/>
      <c r="AT853" s="26"/>
      <c r="AU853" s="26"/>
      <c r="AV853" s="26"/>
      <c r="AW853" s="26"/>
    </row>
    <row r="854" customFormat="false" ht="15.75" hidden="false" customHeight="false" outlineLevel="0" collapsed="false">
      <c r="AO854" s="26"/>
      <c r="AQ854" s="26"/>
      <c r="AT854" s="26"/>
      <c r="AU854" s="26"/>
      <c r="AV854" s="26"/>
      <c r="AW854" s="26"/>
    </row>
    <row r="855" customFormat="false" ht="15.75" hidden="false" customHeight="false" outlineLevel="0" collapsed="false">
      <c r="AO855" s="26"/>
      <c r="AQ855" s="26"/>
      <c r="AT855" s="26"/>
      <c r="AU855" s="26"/>
      <c r="AV855" s="26"/>
      <c r="AW855" s="26"/>
    </row>
    <row r="856" customFormat="false" ht="15.75" hidden="false" customHeight="false" outlineLevel="0" collapsed="false">
      <c r="AO856" s="26"/>
      <c r="AQ856" s="26"/>
      <c r="AT856" s="26"/>
      <c r="AU856" s="26"/>
      <c r="AV856" s="26"/>
      <c r="AW856" s="26"/>
    </row>
    <row r="857" customFormat="false" ht="15.75" hidden="false" customHeight="false" outlineLevel="0" collapsed="false">
      <c r="AO857" s="26"/>
      <c r="AQ857" s="26"/>
      <c r="AT857" s="26"/>
      <c r="AU857" s="26"/>
      <c r="AV857" s="26"/>
      <c r="AW857" s="26"/>
    </row>
    <row r="858" customFormat="false" ht="15.75" hidden="false" customHeight="false" outlineLevel="0" collapsed="false">
      <c r="AO858" s="26"/>
      <c r="AQ858" s="26"/>
      <c r="AT858" s="26"/>
      <c r="AU858" s="26"/>
      <c r="AV858" s="26"/>
      <c r="AW858" s="26"/>
    </row>
    <row r="859" customFormat="false" ht="15.75" hidden="false" customHeight="false" outlineLevel="0" collapsed="false">
      <c r="AO859" s="26"/>
      <c r="AQ859" s="26"/>
      <c r="AT859" s="26"/>
      <c r="AU859" s="26"/>
      <c r="AV859" s="26"/>
      <c r="AW859" s="26"/>
    </row>
    <row r="860" customFormat="false" ht="15.75" hidden="false" customHeight="false" outlineLevel="0" collapsed="false">
      <c r="AO860" s="26"/>
      <c r="AQ860" s="26"/>
      <c r="AT860" s="26"/>
      <c r="AU860" s="26"/>
      <c r="AV860" s="26"/>
      <c r="AW860" s="26"/>
    </row>
    <row r="861" customFormat="false" ht="15.75" hidden="false" customHeight="false" outlineLevel="0" collapsed="false">
      <c r="AO861" s="26"/>
      <c r="AQ861" s="26"/>
      <c r="AT861" s="26"/>
      <c r="AU861" s="26"/>
      <c r="AV861" s="26"/>
      <c r="AW861" s="26"/>
    </row>
    <row r="862" customFormat="false" ht="15.75" hidden="false" customHeight="false" outlineLevel="0" collapsed="false">
      <c r="AO862" s="26"/>
      <c r="AQ862" s="26"/>
      <c r="AT862" s="26"/>
      <c r="AU862" s="26"/>
      <c r="AV862" s="26"/>
      <c r="AW862" s="26"/>
    </row>
    <row r="863" customFormat="false" ht="15.75" hidden="false" customHeight="false" outlineLevel="0" collapsed="false">
      <c r="AO863" s="26"/>
      <c r="AQ863" s="26"/>
      <c r="AT863" s="26"/>
      <c r="AU863" s="26"/>
      <c r="AV863" s="26"/>
      <c r="AW863" s="26"/>
    </row>
    <row r="864" customFormat="false" ht="15.75" hidden="false" customHeight="false" outlineLevel="0" collapsed="false">
      <c r="AO864" s="26"/>
      <c r="AQ864" s="26"/>
      <c r="AT864" s="26"/>
      <c r="AU864" s="26"/>
      <c r="AV864" s="26"/>
      <c r="AW864" s="26"/>
    </row>
    <row r="865" customFormat="false" ht="15.75" hidden="false" customHeight="false" outlineLevel="0" collapsed="false">
      <c r="AO865" s="26"/>
      <c r="AQ865" s="26"/>
      <c r="AT865" s="26"/>
      <c r="AU865" s="26"/>
      <c r="AV865" s="26"/>
      <c r="AW865" s="26"/>
    </row>
    <row r="866" customFormat="false" ht="15.75" hidden="false" customHeight="false" outlineLevel="0" collapsed="false">
      <c r="AO866" s="26"/>
      <c r="AQ866" s="26"/>
      <c r="AT866" s="26"/>
      <c r="AU866" s="26"/>
      <c r="AV866" s="26"/>
      <c r="AW866" s="26"/>
    </row>
    <row r="867" customFormat="false" ht="15.75" hidden="false" customHeight="false" outlineLevel="0" collapsed="false">
      <c r="AO867" s="26"/>
      <c r="AQ867" s="26"/>
      <c r="AT867" s="26"/>
      <c r="AU867" s="26"/>
      <c r="AV867" s="26"/>
      <c r="AW867" s="26"/>
    </row>
    <row r="868" customFormat="false" ht="15.75" hidden="false" customHeight="false" outlineLevel="0" collapsed="false">
      <c r="AO868" s="26"/>
      <c r="AQ868" s="26"/>
      <c r="AT868" s="26"/>
      <c r="AU868" s="26"/>
      <c r="AV868" s="26"/>
      <c r="AW868" s="26"/>
    </row>
    <row r="869" customFormat="false" ht="15.75" hidden="false" customHeight="false" outlineLevel="0" collapsed="false">
      <c r="AO869" s="26"/>
      <c r="AQ869" s="26"/>
      <c r="AT869" s="26"/>
      <c r="AU869" s="26"/>
      <c r="AV869" s="26"/>
      <c r="AW869" s="26"/>
    </row>
    <row r="870" customFormat="false" ht="15.75" hidden="false" customHeight="false" outlineLevel="0" collapsed="false">
      <c r="AO870" s="26"/>
      <c r="AQ870" s="26"/>
      <c r="AT870" s="26"/>
      <c r="AU870" s="26"/>
      <c r="AV870" s="26"/>
      <c r="AW870" s="26"/>
    </row>
    <row r="871" customFormat="false" ht="15.75" hidden="false" customHeight="false" outlineLevel="0" collapsed="false">
      <c r="AO871" s="26"/>
      <c r="AQ871" s="26"/>
      <c r="AT871" s="26"/>
      <c r="AU871" s="26"/>
      <c r="AV871" s="26"/>
      <c r="AW871" s="26"/>
    </row>
    <row r="872" customFormat="false" ht="15.75" hidden="false" customHeight="false" outlineLevel="0" collapsed="false">
      <c r="AO872" s="26"/>
      <c r="AQ872" s="26"/>
      <c r="AT872" s="26"/>
      <c r="AU872" s="26"/>
      <c r="AV872" s="26"/>
      <c r="AW872" s="26"/>
    </row>
    <row r="873" customFormat="false" ht="15.75" hidden="false" customHeight="false" outlineLevel="0" collapsed="false">
      <c r="AO873" s="26"/>
      <c r="AQ873" s="26"/>
      <c r="AT873" s="26"/>
      <c r="AU873" s="26"/>
      <c r="AV873" s="26"/>
      <c r="AW873" s="26"/>
    </row>
    <row r="874" customFormat="false" ht="15.75" hidden="false" customHeight="false" outlineLevel="0" collapsed="false">
      <c r="AO874" s="26"/>
      <c r="AQ874" s="26"/>
      <c r="AT874" s="26"/>
      <c r="AU874" s="26"/>
      <c r="AV874" s="26"/>
      <c r="AW874" s="26"/>
    </row>
    <row r="875" customFormat="false" ht="15.75" hidden="false" customHeight="false" outlineLevel="0" collapsed="false">
      <c r="AO875" s="26"/>
      <c r="AQ875" s="26"/>
      <c r="AT875" s="26"/>
      <c r="AU875" s="26"/>
      <c r="AV875" s="26"/>
      <c r="AW875" s="26"/>
    </row>
    <row r="876" customFormat="false" ht="15.75" hidden="false" customHeight="false" outlineLevel="0" collapsed="false">
      <c r="AO876" s="26"/>
      <c r="AQ876" s="26"/>
      <c r="AT876" s="26"/>
      <c r="AU876" s="26"/>
      <c r="AV876" s="26"/>
      <c r="AW876" s="26"/>
    </row>
    <row r="877" customFormat="false" ht="15.75" hidden="false" customHeight="false" outlineLevel="0" collapsed="false">
      <c r="AO877" s="26"/>
      <c r="AQ877" s="26"/>
      <c r="AT877" s="26"/>
      <c r="AU877" s="26"/>
      <c r="AV877" s="26"/>
      <c r="AW877" s="26"/>
    </row>
    <row r="878" customFormat="false" ht="15.75" hidden="false" customHeight="false" outlineLevel="0" collapsed="false">
      <c r="AO878" s="26"/>
      <c r="AQ878" s="26"/>
      <c r="AT878" s="26"/>
      <c r="AU878" s="26"/>
      <c r="AV878" s="26"/>
      <c r="AW878" s="26"/>
    </row>
    <row r="879" customFormat="false" ht="15.75" hidden="false" customHeight="false" outlineLevel="0" collapsed="false">
      <c r="AO879" s="26"/>
      <c r="AQ879" s="26"/>
      <c r="AT879" s="26"/>
      <c r="AU879" s="26"/>
      <c r="AV879" s="26"/>
      <c r="AW879" s="26"/>
    </row>
    <row r="880" customFormat="false" ht="15.75" hidden="false" customHeight="false" outlineLevel="0" collapsed="false">
      <c r="AO880" s="26"/>
      <c r="AQ880" s="26"/>
      <c r="AT880" s="26"/>
      <c r="AU880" s="26"/>
      <c r="AV880" s="26"/>
      <c r="AW880" s="26"/>
    </row>
    <row r="881" customFormat="false" ht="15.75" hidden="false" customHeight="false" outlineLevel="0" collapsed="false">
      <c r="AO881" s="26"/>
      <c r="AQ881" s="26"/>
      <c r="AT881" s="26"/>
      <c r="AU881" s="26"/>
      <c r="AV881" s="26"/>
      <c r="AW881" s="26"/>
    </row>
    <row r="882" customFormat="false" ht="15.75" hidden="false" customHeight="false" outlineLevel="0" collapsed="false">
      <c r="AO882" s="26"/>
      <c r="AQ882" s="26"/>
      <c r="AT882" s="26"/>
      <c r="AU882" s="26"/>
      <c r="AV882" s="26"/>
      <c r="AW882" s="26"/>
    </row>
    <row r="883" customFormat="false" ht="15.75" hidden="false" customHeight="false" outlineLevel="0" collapsed="false">
      <c r="AO883" s="26"/>
      <c r="AQ883" s="26"/>
      <c r="AT883" s="26"/>
      <c r="AU883" s="26"/>
      <c r="AV883" s="26"/>
      <c r="AW883" s="26"/>
    </row>
    <row r="884" customFormat="false" ht="15.75" hidden="false" customHeight="false" outlineLevel="0" collapsed="false">
      <c r="AO884" s="26"/>
      <c r="AQ884" s="26"/>
      <c r="AT884" s="26"/>
      <c r="AU884" s="26"/>
      <c r="AV884" s="26"/>
      <c r="AW884" s="26"/>
    </row>
    <row r="885" customFormat="false" ht="15.75" hidden="false" customHeight="false" outlineLevel="0" collapsed="false">
      <c r="AO885" s="26"/>
      <c r="AQ885" s="26"/>
      <c r="AT885" s="26"/>
      <c r="AU885" s="26"/>
      <c r="AV885" s="26"/>
      <c r="AW885" s="26"/>
    </row>
    <row r="886" customFormat="false" ht="15.75" hidden="false" customHeight="false" outlineLevel="0" collapsed="false">
      <c r="AO886" s="26"/>
      <c r="AQ886" s="26"/>
      <c r="AT886" s="26"/>
      <c r="AU886" s="26"/>
      <c r="AV886" s="26"/>
      <c r="AW886" s="26"/>
    </row>
    <row r="887" customFormat="false" ht="15.75" hidden="false" customHeight="false" outlineLevel="0" collapsed="false">
      <c r="AO887" s="26"/>
      <c r="AQ887" s="26"/>
      <c r="AT887" s="26"/>
      <c r="AU887" s="26"/>
      <c r="AV887" s="26"/>
      <c r="AW887" s="26"/>
    </row>
    <row r="888" customFormat="false" ht="15.75" hidden="false" customHeight="false" outlineLevel="0" collapsed="false">
      <c r="AO888" s="26"/>
      <c r="AQ888" s="26"/>
      <c r="AT888" s="26"/>
      <c r="AU888" s="26"/>
      <c r="AV888" s="26"/>
      <c r="AW888" s="26"/>
    </row>
    <row r="889" customFormat="false" ht="15.75" hidden="false" customHeight="false" outlineLevel="0" collapsed="false">
      <c r="AO889" s="26"/>
      <c r="AQ889" s="26"/>
      <c r="AT889" s="26"/>
      <c r="AU889" s="26"/>
      <c r="AV889" s="26"/>
      <c r="AW889" s="26"/>
    </row>
    <row r="890" customFormat="false" ht="15.75" hidden="false" customHeight="false" outlineLevel="0" collapsed="false">
      <c r="AO890" s="26"/>
      <c r="AQ890" s="26"/>
      <c r="AT890" s="26"/>
      <c r="AU890" s="26"/>
      <c r="AV890" s="26"/>
      <c r="AW890" s="26"/>
    </row>
    <row r="891" customFormat="false" ht="15.75" hidden="false" customHeight="false" outlineLevel="0" collapsed="false">
      <c r="AO891" s="26"/>
      <c r="AQ891" s="26"/>
      <c r="AT891" s="26"/>
      <c r="AU891" s="26"/>
      <c r="AV891" s="26"/>
      <c r="AW891" s="26"/>
    </row>
    <row r="892" customFormat="false" ht="15.75" hidden="false" customHeight="false" outlineLevel="0" collapsed="false">
      <c r="AO892" s="26"/>
      <c r="AQ892" s="26"/>
      <c r="AT892" s="26"/>
      <c r="AU892" s="26"/>
      <c r="AV892" s="26"/>
      <c r="AW892" s="26"/>
    </row>
    <row r="893" customFormat="false" ht="15.75" hidden="false" customHeight="false" outlineLevel="0" collapsed="false">
      <c r="AO893" s="26"/>
      <c r="AQ893" s="26"/>
      <c r="AT893" s="26"/>
      <c r="AU893" s="26"/>
      <c r="AV893" s="26"/>
      <c r="AW893" s="26"/>
    </row>
    <row r="894" customFormat="false" ht="15.75" hidden="false" customHeight="false" outlineLevel="0" collapsed="false">
      <c r="AO894" s="26"/>
      <c r="AQ894" s="26"/>
      <c r="AT894" s="26"/>
      <c r="AU894" s="26"/>
      <c r="AV894" s="26"/>
      <c r="AW894" s="26"/>
    </row>
    <row r="895" customFormat="false" ht="15.75" hidden="false" customHeight="false" outlineLevel="0" collapsed="false">
      <c r="AO895" s="26"/>
      <c r="AQ895" s="26"/>
      <c r="AT895" s="26"/>
      <c r="AU895" s="26"/>
      <c r="AV895" s="26"/>
      <c r="AW895" s="26"/>
    </row>
    <row r="896" customFormat="false" ht="15.75" hidden="false" customHeight="false" outlineLevel="0" collapsed="false">
      <c r="AO896" s="26"/>
      <c r="AQ896" s="26"/>
      <c r="AT896" s="26"/>
      <c r="AU896" s="26"/>
      <c r="AV896" s="26"/>
      <c r="AW896" s="26"/>
    </row>
    <row r="897" customFormat="false" ht="15.75" hidden="false" customHeight="false" outlineLevel="0" collapsed="false">
      <c r="AO897" s="26"/>
      <c r="AQ897" s="26"/>
      <c r="AT897" s="26"/>
      <c r="AU897" s="26"/>
      <c r="AV897" s="26"/>
      <c r="AW897" s="26"/>
    </row>
    <row r="898" customFormat="false" ht="15.75" hidden="false" customHeight="false" outlineLevel="0" collapsed="false">
      <c r="AO898" s="26"/>
      <c r="AQ898" s="26"/>
      <c r="AT898" s="26"/>
      <c r="AU898" s="26"/>
      <c r="AV898" s="26"/>
      <c r="AW898" s="26"/>
    </row>
    <row r="899" customFormat="false" ht="15.75" hidden="false" customHeight="false" outlineLevel="0" collapsed="false">
      <c r="AO899" s="26"/>
      <c r="AQ899" s="26"/>
      <c r="AT899" s="26"/>
      <c r="AU899" s="26"/>
      <c r="AV899" s="26"/>
      <c r="AW899" s="26"/>
    </row>
    <row r="900" customFormat="false" ht="15.75" hidden="false" customHeight="false" outlineLevel="0" collapsed="false">
      <c r="AO900" s="26"/>
      <c r="AQ900" s="26"/>
      <c r="AT900" s="26"/>
      <c r="AU900" s="26"/>
      <c r="AV900" s="26"/>
      <c r="AW900" s="26"/>
    </row>
    <row r="901" customFormat="false" ht="15.75" hidden="false" customHeight="false" outlineLevel="0" collapsed="false">
      <c r="AO901" s="26"/>
      <c r="AQ901" s="26"/>
      <c r="AT901" s="26"/>
      <c r="AU901" s="26"/>
      <c r="AV901" s="26"/>
      <c r="AW901" s="26"/>
    </row>
    <row r="902" customFormat="false" ht="15.75" hidden="false" customHeight="false" outlineLevel="0" collapsed="false">
      <c r="AO902" s="26"/>
      <c r="AQ902" s="26"/>
      <c r="AT902" s="26"/>
      <c r="AU902" s="26"/>
      <c r="AV902" s="26"/>
      <c r="AW902" s="26"/>
    </row>
    <row r="903" customFormat="false" ht="15.75" hidden="false" customHeight="false" outlineLevel="0" collapsed="false">
      <c r="AO903" s="26"/>
      <c r="AQ903" s="26"/>
      <c r="AT903" s="26"/>
      <c r="AU903" s="26"/>
      <c r="AV903" s="26"/>
      <c r="AW903" s="26"/>
    </row>
    <row r="904" customFormat="false" ht="15.75" hidden="false" customHeight="false" outlineLevel="0" collapsed="false">
      <c r="AO904" s="26"/>
      <c r="AQ904" s="26"/>
      <c r="AT904" s="26"/>
      <c r="AU904" s="26"/>
      <c r="AV904" s="26"/>
      <c r="AW904" s="26"/>
    </row>
    <row r="905" customFormat="false" ht="15.75" hidden="false" customHeight="false" outlineLevel="0" collapsed="false">
      <c r="AO905" s="26"/>
      <c r="AQ905" s="26"/>
      <c r="AT905" s="26"/>
      <c r="AU905" s="26"/>
      <c r="AV905" s="26"/>
      <c r="AW905" s="26"/>
    </row>
    <row r="906" customFormat="false" ht="15.75" hidden="false" customHeight="false" outlineLevel="0" collapsed="false">
      <c r="AO906" s="26"/>
      <c r="AQ906" s="26"/>
      <c r="AT906" s="26"/>
      <c r="AU906" s="26"/>
      <c r="AV906" s="26"/>
      <c r="AW906" s="26"/>
    </row>
    <row r="907" customFormat="false" ht="15.75" hidden="false" customHeight="false" outlineLevel="0" collapsed="false">
      <c r="AO907" s="26"/>
      <c r="AQ907" s="26"/>
      <c r="AT907" s="26"/>
      <c r="AU907" s="26"/>
      <c r="AV907" s="26"/>
      <c r="AW907" s="26"/>
    </row>
    <row r="908" customFormat="false" ht="15.75" hidden="false" customHeight="false" outlineLevel="0" collapsed="false">
      <c r="AO908" s="26"/>
      <c r="AQ908" s="26"/>
      <c r="AT908" s="26"/>
      <c r="AU908" s="26"/>
      <c r="AV908" s="26"/>
      <c r="AW908" s="26"/>
    </row>
    <row r="909" customFormat="false" ht="15.75" hidden="false" customHeight="false" outlineLevel="0" collapsed="false">
      <c r="AO909" s="26"/>
      <c r="AQ909" s="26"/>
      <c r="AT909" s="26"/>
      <c r="AU909" s="26"/>
      <c r="AV909" s="26"/>
      <c r="AW909" s="26"/>
    </row>
    <row r="910" customFormat="false" ht="15.75" hidden="false" customHeight="false" outlineLevel="0" collapsed="false">
      <c r="AO910" s="26"/>
      <c r="AQ910" s="26"/>
      <c r="AT910" s="26"/>
      <c r="AU910" s="26"/>
      <c r="AV910" s="26"/>
      <c r="AW910" s="26"/>
    </row>
    <row r="911" customFormat="false" ht="15.75" hidden="false" customHeight="false" outlineLevel="0" collapsed="false">
      <c r="AO911" s="26"/>
      <c r="AQ911" s="26"/>
      <c r="AT911" s="26"/>
      <c r="AU911" s="26"/>
      <c r="AV911" s="26"/>
      <c r="AW911" s="26"/>
    </row>
    <row r="912" customFormat="false" ht="15.75" hidden="false" customHeight="false" outlineLevel="0" collapsed="false">
      <c r="AO912" s="26"/>
      <c r="AQ912" s="26"/>
      <c r="AT912" s="26"/>
      <c r="AU912" s="26"/>
      <c r="AV912" s="26"/>
      <c r="AW912" s="26"/>
    </row>
    <row r="913" customFormat="false" ht="15.75" hidden="false" customHeight="false" outlineLevel="0" collapsed="false">
      <c r="AO913" s="26"/>
      <c r="AQ913" s="26"/>
      <c r="AT913" s="26"/>
      <c r="AU913" s="26"/>
      <c r="AV913" s="26"/>
      <c r="AW913" s="26"/>
    </row>
    <row r="914" customFormat="false" ht="15.75" hidden="false" customHeight="false" outlineLevel="0" collapsed="false">
      <c r="AO914" s="26"/>
      <c r="AQ914" s="26"/>
      <c r="AT914" s="26"/>
      <c r="AU914" s="26"/>
      <c r="AV914" s="26"/>
      <c r="AW914" s="26"/>
    </row>
    <row r="915" customFormat="false" ht="15.75" hidden="false" customHeight="false" outlineLevel="0" collapsed="false">
      <c r="AO915" s="26"/>
      <c r="AQ915" s="26"/>
      <c r="AT915" s="26"/>
      <c r="AU915" s="26"/>
      <c r="AV915" s="26"/>
      <c r="AW915" s="26"/>
    </row>
    <row r="916" customFormat="false" ht="15.75" hidden="false" customHeight="false" outlineLevel="0" collapsed="false">
      <c r="AO916" s="26"/>
      <c r="AQ916" s="26"/>
      <c r="AT916" s="26"/>
      <c r="AU916" s="26"/>
      <c r="AV916" s="26"/>
      <c r="AW916" s="26"/>
    </row>
    <row r="917" customFormat="false" ht="15.75" hidden="false" customHeight="false" outlineLevel="0" collapsed="false">
      <c r="AO917" s="26"/>
      <c r="AQ917" s="26"/>
      <c r="AT917" s="26"/>
      <c r="AU917" s="26"/>
      <c r="AV917" s="26"/>
      <c r="AW917" s="26"/>
    </row>
    <row r="918" customFormat="false" ht="15.75" hidden="false" customHeight="false" outlineLevel="0" collapsed="false">
      <c r="AO918" s="26"/>
      <c r="AQ918" s="26"/>
      <c r="AT918" s="26"/>
      <c r="AU918" s="26"/>
      <c r="AV918" s="26"/>
      <c r="AW918" s="26"/>
    </row>
    <row r="919" customFormat="false" ht="15.75" hidden="false" customHeight="false" outlineLevel="0" collapsed="false">
      <c r="AO919" s="26"/>
      <c r="AQ919" s="26"/>
      <c r="AT919" s="26"/>
      <c r="AU919" s="26"/>
      <c r="AV919" s="26"/>
      <c r="AW919" s="26"/>
    </row>
    <row r="920" customFormat="false" ht="15.75" hidden="false" customHeight="false" outlineLevel="0" collapsed="false">
      <c r="AO920" s="26"/>
      <c r="AQ920" s="26"/>
      <c r="AT920" s="26"/>
      <c r="AU920" s="26"/>
      <c r="AV920" s="26"/>
      <c r="AW920" s="26"/>
    </row>
    <row r="921" customFormat="false" ht="15.75" hidden="false" customHeight="false" outlineLevel="0" collapsed="false">
      <c r="AO921" s="26"/>
      <c r="AQ921" s="26"/>
      <c r="AT921" s="26"/>
      <c r="AU921" s="26"/>
      <c r="AV921" s="26"/>
      <c r="AW921" s="26"/>
    </row>
    <row r="922" customFormat="false" ht="15.75" hidden="false" customHeight="false" outlineLevel="0" collapsed="false">
      <c r="AO922" s="26"/>
      <c r="AQ922" s="26"/>
      <c r="AT922" s="26"/>
      <c r="AU922" s="26"/>
      <c r="AV922" s="26"/>
      <c r="AW922" s="26"/>
    </row>
    <row r="923" customFormat="false" ht="15.75" hidden="false" customHeight="false" outlineLevel="0" collapsed="false">
      <c r="AO923" s="26"/>
      <c r="AQ923" s="26"/>
      <c r="AT923" s="26"/>
      <c r="AU923" s="26"/>
      <c r="AV923" s="26"/>
      <c r="AW923" s="26"/>
    </row>
    <row r="924" customFormat="false" ht="15.75" hidden="false" customHeight="false" outlineLevel="0" collapsed="false">
      <c r="AO924" s="26"/>
      <c r="AQ924" s="26"/>
      <c r="AT924" s="26"/>
      <c r="AU924" s="26"/>
      <c r="AV924" s="26"/>
      <c r="AW924" s="26"/>
    </row>
    <row r="925" customFormat="false" ht="15.75" hidden="false" customHeight="false" outlineLevel="0" collapsed="false">
      <c r="AO925" s="26"/>
      <c r="AQ925" s="26"/>
      <c r="AT925" s="26"/>
      <c r="AU925" s="26"/>
      <c r="AV925" s="26"/>
      <c r="AW925" s="26"/>
    </row>
    <row r="926" customFormat="false" ht="15.75" hidden="false" customHeight="false" outlineLevel="0" collapsed="false">
      <c r="AO926" s="26"/>
      <c r="AQ926" s="26"/>
      <c r="AT926" s="26"/>
      <c r="AU926" s="26"/>
      <c r="AV926" s="26"/>
      <c r="AW926" s="26"/>
    </row>
    <row r="927" customFormat="false" ht="15.75" hidden="false" customHeight="false" outlineLevel="0" collapsed="false">
      <c r="AO927" s="26"/>
      <c r="AQ927" s="26"/>
      <c r="AT927" s="26"/>
      <c r="AU927" s="26"/>
      <c r="AV927" s="26"/>
      <c r="AW927" s="26"/>
    </row>
    <row r="928" customFormat="false" ht="15.75" hidden="false" customHeight="false" outlineLevel="0" collapsed="false">
      <c r="AO928" s="26"/>
      <c r="AQ928" s="26"/>
      <c r="AT928" s="26"/>
      <c r="AU928" s="26"/>
      <c r="AV928" s="26"/>
      <c r="AW928" s="26"/>
    </row>
    <row r="929" customFormat="false" ht="15.75" hidden="false" customHeight="false" outlineLevel="0" collapsed="false">
      <c r="AO929" s="26"/>
      <c r="AQ929" s="26"/>
      <c r="AT929" s="26"/>
      <c r="AU929" s="26"/>
      <c r="AV929" s="26"/>
      <c r="AW929" s="26"/>
    </row>
    <row r="930" customFormat="false" ht="15.75" hidden="false" customHeight="false" outlineLevel="0" collapsed="false">
      <c r="AO930" s="26"/>
      <c r="AQ930" s="26"/>
      <c r="AT930" s="26"/>
      <c r="AU930" s="26"/>
      <c r="AV930" s="26"/>
      <c r="AW930" s="26"/>
    </row>
    <row r="931" customFormat="false" ht="15.75" hidden="false" customHeight="false" outlineLevel="0" collapsed="false">
      <c r="AO931" s="26"/>
      <c r="AQ931" s="26"/>
      <c r="AT931" s="26"/>
      <c r="AU931" s="26"/>
      <c r="AV931" s="26"/>
      <c r="AW931" s="26"/>
    </row>
    <row r="932" customFormat="false" ht="15.75" hidden="false" customHeight="false" outlineLevel="0" collapsed="false">
      <c r="AO932" s="26"/>
      <c r="AQ932" s="26"/>
      <c r="AT932" s="26"/>
      <c r="AU932" s="26"/>
      <c r="AV932" s="26"/>
      <c r="AW932" s="26"/>
    </row>
    <row r="933" customFormat="false" ht="15.75" hidden="false" customHeight="false" outlineLevel="0" collapsed="false">
      <c r="AO933" s="26"/>
      <c r="AQ933" s="26"/>
      <c r="AT933" s="26"/>
      <c r="AU933" s="26"/>
      <c r="AV933" s="26"/>
      <c r="AW933" s="26"/>
    </row>
    <row r="934" customFormat="false" ht="15.75" hidden="false" customHeight="false" outlineLevel="0" collapsed="false">
      <c r="AO934" s="26"/>
      <c r="AQ934" s="26"/>
      <c r="AT934" s="26"/>
      <c r="AU934" s="26"/>
      <c r="AV934" s="26"/>
      <c r="AW934" s="26"/>
    </row>
    <row r="935" customFormat="false" ht="15.75" hidden="false" customHeight="false" outlineLevel="0" collapsed="false">
      <c r="AO935" s="26"/>
      <c r="AQ935" s="26"/>
      <c r="AT935" s="26"/>
      <c r="AU935" s="26"/>
      <c r="AV935" s="26"/>
      <c r="AW935" s="26"/>
    </row>
    <row r="936" customFormat="false" ht="15.75" hidden="false" customHeight="false" outlineLevel="0" collapsed="false">
      <c r="AO936" s="26"/>
      <c r="AQ936" s="26"/>
      <c r="AT936" s="26"/>
      <c r="AU936" s="26"/>
      <c r="AV936" s="26"/>
      <c r="AW936" s="26"/>
    </row>
    <row r="937" customFormat="false" ht="15.75" hidden="false" customHeight="false" outlineLevel="0" collapsed="false">
      <c r="AO937" s="26"/>
      <c r="AQ937" s="26"/>
      <c r="AT937" s="26"/>
      <c r="AU937" s="26"/>
      <c r="AV937" s="26"/>
      <c r="AW937" s="26"/>
    </row>
    <row r="938" customFormat="false" ht="15.75" hidden="false" customHeight="false" outlineLevel="0" collapsed="false">
      <c r="AO938" s="26"/>
      <c r="AQ938" s="26"/>
      <c r="AT938" s="26"/>
      <c r="AU938" s="26"/>
      <c r="AV938" s="26"/>
      <c r="AW938" s="26"/>
    </row>
    <row r="939" customFormat="false" ht="15.75" hidden="false" customHeight="false" outlineLevel="0" collapsed="false">
      <c r="AO939" s="26"/>
      <c r="AQ939" s="26"/>
      <c r="AT939" s="26"/>
      <c r="AU939" s="26"/>
      <c r="AV939" s="26"/>
      <c r="AW939" s="26"/>
    </row>
    <row r="940" customFormat="false" ht="15.75" hidden="false" customHeight="false" outlineLevel="0" collapsed="false">
      <c r="AO940" s="26"/>
      <c r="AQ940" s="26"/>
      <c r="AT940" s="26"/>
      <c r="AU940" s="26"/>
      <c r="AV940" s="26"/>
      <c r="AW940" s="26"/>
    </row>
    <row r="941" customFormat="false" ht="15.75" hidden="false" customHeight="false" outlineLevel="0" collapsed="false">
      <c r="AO941" s="26"/>
      <c r="AQ941" s="26"/>
      <c r="AT941" s="26"/>
      <c r="AU941" s="26"/>
      <c r="AV941" s="26"/>
      <c r="AW941" s="26"/>
    </row>
    <row r="942" customFormat="false" ht="15.75" hidden="false" customHeight="false" outlineLevel="0" collapsed="false">
      <c r="AO942" s="26"/>
      <c r="AQ942" s="26"/>
      <c r="AT942" s="26"/>
      <c r="AU942" s="26"/>
      <c r="AV942" s="26"/>
      <c r="AW942" s="26"/>
    </row>
    <row r="943" customFormat="false" ht="15.75" hidden="false" customHeight="false" outlineLevel="0" collapsed="false">
      <c r="AO943" s="26"/>
      <c r="AQ943" s="26"/>
      <c r="AT943" s="26"/>
      <c r="AU943" s="26"/>
      <c r="AV943" s="26"/>
      <c r="AW943" s="26"/>
    </row>
    <row r="944" customFormat="false" ht="15.75" hidden="false" customHeight="false" outlineLevel="0" collapsed="false">
      <c r="AO944" s="26"/>
      <c r="AQ944" s="26"/>
      <c r="AT944" s="26"/>
      <c r="AU944" s="26"/>
      <c r="AV944" s="26"/>
      <c r="AW944" s="26"/>
    </row>
    <row r="945" customFormat="false" ht="15.75" hidden="false" customHeight="false" outlineLevel="0" collapsed="false">
      <c r="AO945" s="26"/>
      <c r="AQ945" s="26"/>
      <c r="AT945" s="26"/>
      <c r="AU945" s="26"/>
      <c r="AV945" s="26"/>
      <c r="AW945" s="26"/>
    </row>
    <row r="946" customFormat="false" ht="15.75" hidden="false" customHeight="false" outlineLevel="0" collapsed="false">
      <c r="AO946" s="26"/>
      <c r="AQ946" s="26"/>
      <c r="AT946" s="26"/>
      <c r="AU946" s="26"/>
      <c r="AV946" s="26"/>
      <c r="AW946" s="26"/>
    </row>
    <row r="947" customFormat="false" ht="15.75" hidden="false" customHeight="false" outlineLevel="0" collapsed="false">
      <c r="AO947" s="26"/>
      <c r="AQ947" s="26"/>
      <c r="AT947" s="26"/>
      <c r="AU947" s="26"/>
      <c r="AV947" s="26"/>
      <c r="AW947" s="26"/>
    </row>
    <row r="948" customFormat="false" ht="15.75" hidden="false" customHeight="false" outlineLevel="0" collapsed="false">
      <c r="AO948" s="26"/>
      <c r="AQ948" s="26"/>
      <c r="AT948" s="26"/>
      <c r="AU948" s="26"/>
      <c r="AV948" s="26"/>
      <c r="AW948" s="26"/>
    </row>
    <row r="949" customFormat="false" ht="15.75" hidden="false" customHeight="false" outlineLevel="0" collapsed="false">
      <c r="AO949" s="26"/>
      <c r="AQ949" s="26"/>
      <c r="AT949" s="26"/>
      <c r="AU949" s="26"/>
      <c r="AV949" s="26"/>
      <c r="AW949" s="26"/>
    </row>
    <row r="950" customFormat="false" ht="15.75" hidden="false" customHeight="false" outlineLevel="0" collapsed="false">
      <c r="AO950" s="26"/>
      <c r="AQ950" s="26"/>
      <c r="AT950" s="26"/>
      <c r="AU950" s="26"/>
      <c r="AV950" s="26"/>
      <c r="AW950" s="26"/>
    </row>
    <row r="951" customFormat="false" ht="15.75" hidden="false" customHeight="false" outlineLevel="0" collapsed="false">
      <c r="AO951" s="26"/>
      <c r="AQ951" s="26"/>
      <c r="AT951" s="26"/>
      <c r="AU951" s="26"/>
      <c r="AV951" s="26"/>
      <c r="AW951" s="26"/>
    </row>
    <row r="952" customFormat="false" ht="15.75" hidden="false" customHeight="false" outlineLevel="0" collapsed="false">
      <c r="AO952" s="26"/>
      <c r="AQ952" s="26"/>
      <c r="AT952" s="26"/>
      <c r="AU952" s="26"/>
      <c r="AV952" s="26"/>
      <c r="AW952" s="26"/>
    </row>
    <row r="953" customFormat="false" ht="15.75" hidden="false" customHeight="false" outlineLevel="0" collapsed="false">
      <c r="AO953" s="26"/>
      <c r="AQ953" s="26"/>
      <c r="AT953" s="26"/>
      <c r="AU953" s="26"/>
      <c r="AV953" s="26"/>
      <c r="AW953" s="26"/>
    </row>
    <row r="954" customFormat="false" ht="15.75" hidden="false" customHeight="false" outlineLevel="0" collapsed="false">
      <c r="AO954" s="26"/>
      <c r="AQ954" s="26"/>
      <c r="AT954" s="26"/>
      <c r="AU954" s="26"/>
      <c r="AV954" s="26"/>
      <c r="AW954" s="26"/>
    </row>
    <row r="955" customFormat="false" ht="15.75" hidden="false" customHeight="false" outlineLevel="0" collapsed="false">
      <c r="AO955" s="26"/>
      <c r="AQ955" s="26"/>
      <c r="AT955" s="26"/>
      <c r="AU955" s="26"/>
      <c r="AV955" s="26"/>
      <c r="AW955" s="26"/>
    </row>
    <row r="956" customFormat="false" ht="15.75" hidden="false" customHeight="false" outlineLevel="0" collapsed="false">
      <c r="AO956" s="26"/>
      <c r="AQ956" s="26"/>
      <c r="AT956" s="26"/>
      <c r="AU956" s="26"/>
      <c r="AV956" s="26"/>
      <c r="AW956" s="26"/>
    </row>
    <row r="957" customFormat="false" ht="15.75" hidden="false" customHeight="false" outlineLevel="0" collapsed="false">
      <c r="AO957" s="26"/>
      <c r="AQ957" s="26"/>
      <c r="AT957" s="26"/>
      <c r="AU957" s="26"/>
      <c r="AV957" s="26"/>
      <c r="AW957" s="26"/>
    </row>
    <row r="958" customFormat="false" ht="15.75" hidden="false" customHeight="false" outlineLevel="0" collapsed="false">
      <c r="AO958" s="26"/>
      <c r="AQ958" s="26"/>
      <c r="AT958" s="26"/>
      <c r="AU958" s="26"/>
      <c r="AV958" s="26"/>
      <c r="AW958" s="26"/>
    </row>
    <row r="959" customFormat="false" ht="15.75" hidden="false" customHeight="false" outlineLevel="0" collapsed="false">
      <c r="AO959" s="26"/>
      <c r="AQ959" s="26"/>
      <c r="AT959" s="26"/>
      <c r="AU959" s="26"/>
      <c r="AV959" s="26"/>
      <c r="AW959" s="26"/>
    </row>
    <row r="960" customFormat="false" ht="15.75" hidden="false" customHeight="false" outlineLevel="0" collapsed="false">
      <c r="AO960" s="26"/>
      <c r="AQ960" s="26"/>
      <c r="AT960" s="26"/>
      <c r="AU960" s="26"/>
      <c r="AV960" s="26"/>
      <c r="AW960" s="26"/>
    </row>
    <row r="961" customFormat="false" ht="15.75" hidden="false" customHeight="false" outlineLevel="0" collapsed="false">
      <c r="AO961" s="26"/>
      <c r="AQ961" s="26"/>
      <c r="AT961" s="26"/>
      <c r="AU961" s="26"/>
      <c r="AV961" s="26"/>
      <c r="AW961" s="26"/>
    </row>
    <row r="962" customFormat="false" ht="15.75" hidden="false" customHeight="false" outlineLevel="0" collapsed="false">
      <c r="AO962" s="26"/>
      <c r="AQ962" s="26"/>
      <c r="AT962" s="26"/>
      <c r="AU962" s="26"/>
      <c r="AV962" s="26"/>
      <c r="AW962" s="26"/>
    </row>
    <row r="963" customFormat="false" ht="15.75" hidden="false" customHeight="false" outlineLevel="0" collapsed="false">
      <c r="AO963" s="26"/>
      <c r="AQ963" s="26"/>
      <c r="AT963" s="26"/>
      <c r="AU963" s="26"/>
      <c r="AV963" s="26"/>
      <c r="AW963" s="26"/>
    </row>
    <row r="964" customFormat="false" ht="15.75" hidden="false" customHeight="false" outlineLevel="0" collapsed="false">
      <c r="AO964" s="26"/>
      <c r="AQ964" s="26"/>
      <c r="AT964" s="26"/>
      <c r="AU964" s="26"/>
      <c r="AV964" s="26"/>
      <c r="AW964" s="26"/>
    </row>
    <row r="965" customFormat="false" ht="15.75" hidden="false" customHeight="false" outlineLevel="0" collapsed="false">
      <c r="AO965" s="26"/>
      <c r="AQ965" s="26"/>
      <c r="AT965" s="26"/>
      <c r="AU965" s="26"/>
      <c r="AV965" s="26"/>
      <c r="AW965" s="26"/>
    </row>
    <row r="966" customFormat="false" ht="15.75" hidden="false" customHeight="false" outlineLevel="0" collapsed="false">
      <c r="AO966" s="26"/>
      <c r="AQ966" s="26"/>
      <c r="AT966" s="26"/>
      <c r="AU966" s="26"/>
      <c r="AV966" s="26"/>
      <c r="AW966" s="26"/>
    </row>
    <row r="967" customFormat="false" ht="15.75" hidden="false" customHeight="false" outlineLevel="0" collapsed="false">
      <c r="AO967" s="26"/>
      <c r="AQ967" s="26"/>
      <c r="AT967" s="26"/>
      <c r="AU967" s="26"/>
      <c r="AV967" s="26"/>
      <c r="AW967" s="26"/>
    </row>
    <row r="968" customFormat="false" ht="15.75" hidden="false" customHeight="false" outlineLevel="0" collapsed="false">
      <c r="AO968" s="26"/>
      <c r="AQ968" s="26"/>
      <c r="AT968" s="26"/>
      <c r="AU968" s="26"/>
      <c r="AV968" s="26"/>
      <c r="AW968" s="26"/>
    </row>
    <row r="969" customFormat="false" ht="15.75" hidden="false" customHeight="false" outlineLevel="0" collapsed="false">
      <c r="AO969" s="26"/>
      <c r="AQ969" s="26"/>
      <c r="AT969" s="26"/>
      <c r="AU969" s="26"/>
      <c r="AV969" s="26"/>
      <c r="AW969" s="26"/>
    </row>
    <row r="970" customFormat="false" ht="15.75" hidden="false" customHeight="false" outlineLevel="0" collapsed="false">
      <c r="AO970" s="26"/>
      <c r="AQ970" s="26"/>
      <c r="AT970" s="26"/>
      <c r="AU970" s="26"/>
      <c r="AV970" s="26"/>
      <c r="AW970" s="26"/>
    </row>
    <row r="971" customFormat="false" ht="15.75" hidden="false" customHeight="false" outlineLevel="0" collapsed="false">
      <c r="AO971" s="26"/>
      <c r="AQ971" s="26"/>
      <c r="AT971" s="26"/>
      <c r="AU971" s="26"/>
      <c r="AV971" s="26"/>
      <c r="AW971" s="26"/>
    </row>
    <row r="972" customFormat="false" ht="15.75" hidden="false" customHeight="false" outlineLevel="0" collapsed="false">
      <c r="AO972" s="26"/>
      <c r="AQ972" s="26"/>
      <c r="AT972" s="26"/>
      <c r="AU972" s="26"/>
      <c r="AV972" s="26"/>
      <c r="AW972" s="26"/>
    </row>
    <row r="973" customFormat="false" ht="15.75" hidden="false" customHeight="false" outlineLevel="0" collapsed="false">
      <c r="AO973" s="26"/>
      <c r="AQ973" s="26"/>
      <c r="AT973" s="26"/>
      <c r="AU973" s="26"/>
      <c r="AV973" s="26"/>
      <c r="AW973" s="26"/>
    </row>
    <row r="974" customFormat="false" ht="15.75" hidden="false" customHeight="false" outlineLevel="0" collapsed="false">
      <c r="AO974" s="26"/>
      <c r="AQ974" s="26"/>
      <c r="AT974" s="26"/>
      <c r="AU974" s="26"/>
      <c r="AV974" s="26"/>
      <c r="AW974" s="26"/>
    </row>
    <row r="975" customFormat="false" ht="15.75" hidden="false" customHeight="false" outlineLevel="0" collapsed="false">
      <c r="AO975" s="26"/>
      <c r="AQ975" s="26"/>
      <c r="AT975" s="26"/>
      <c r="AU975" s="26"/>
      <c r="AV975" s="26"/>
      <c r="AW975" s="26"/>
    </row>
    <row r="976" customFormat="false" ht="15.75" hidden="false" customHeight="false" outlineLevel="0" collapsed="false">
      <c r="AO976" s="26"/>
      <c r="AQ976" s="26"/>
      <c r="AT976" s="26"/>
      <c r="AU976" s="26"/>
      <c r="AV976" s="26"/>
      <c r="AW976" s="26"/>
    </row>
    <row r="977" customFormat="false" ht="15.75" hidden="false" customHeight="false" outlineLevel="0" collapsed="false">
      <c r="AO977" s="26"/>
      <c r="AQ977" s="26"/>
      <c r="AT977" s="26"/>
      <c r="AU977" s="26"/>
      <c r="AV977" s="26"/>
      <c r="AW977" s="26"/>
    </row>
    <row r="978" customFormat="false" ht="15.75" hidden="false" customHeight="false" outlineLevel="0" collapsed="false">
      <c r="AO978" s="26"/>
      <c r="AQ978" s="26"/>
      <c r="AT978" s="26"/>
      <c r="AU978" s="26"/>
      <c r="AV978" s="26"/>
      <c r="AW978" s="26"/>
    </row>
    <row r="979" customFormat="false" ht="15.75" hidden="false" customHeight="false" outlineLevel="0" collapsed="false">
      <c r="AO979" s="26"/>
      <c r="AQ979" s="26"/>
      <c r="AT979" s="26"/>
      <c r="AU979" s="26"/>
      <c r="AV979" s="26"/>
      <c r="AW979" s="26"/>
    </row>
    <row r="980" customFormat="false" ht="15.75" hidden="false" customHeight="false" outlineLevel="0" collapsed="false">
      <c r="AO980" s="26"/>
      <c r="AQ980" s="26"/>
      <c r="AT980" s="26"/>
      <c r="AU980" s="26"/>
      <c r="AV980" s="26"/>
      <c r="AW980" s="26"/>
    </row>
    <row r="981" customFormat="false" ht="15.75" hidden="false" customHeight="false" outlineLevel="0" collapsed="false">
      <c r="AO981" s="26"/>
      <c r="AQ981" s="26"/>
      <c r="AT981" s="26"/>
      <c r="AU981" s="26"/>
      <c r="AV981" s="26"/>
      <c r="AW981" s="26"/>
    </row>
    <row r="982" customFormat="false" ht="15.75" hidden="false" customHeight="false" outlineLevel="0" collapsed="false">
      <c r="AO982" s="26"/>
      <c r="AQ982" s="26"/>
      <c r="AT982" s="26"/>
      <c r="AU982" s="26"/>
      <c r="AV982" s="26"/>
      <c r="AW982" s="26"/>
    </row>
    <row r="983" customFormat="false" ht="15.75" hidden="false" customHeight="false" outlineLevel="0" collapsed="false">
      <c r="AO983" s="26"/>
      <c r="AQ983" s="26"/>
      <c r="AT983" s="26"/>
      <c r="AU983" s="26"/>
      <c r="AV983" s="26"/>
      <c r="AW983" s="26"/>
    </row>
    <row r="984" customFormat="false" ht="15.75" hidden="false" customHeight="false" outlineLevel="0" collapsed="false">
      <c r="AO984" s="26"/>
      <c r="AQ984" s="26"/>
      <c r="AT984" s="26"/>
      <c r="AU984" s="26"/>
      <c r="AV984" s="26"/>
      <c r="AW984" s="26"/>
    </row>
    <row r="985" customFormat="false" ht="15.75" hidden="false" customHeight="false" outlineLevel="0" collapsed="false">
      <c r="AO985" s="26"/>
      <c r="AQ985" s="26"/>
      <c r="AT985" s="26"/>
      <c r="AU985" s="26"/>
      <c r="AV985" s="26"/>
      <c r="AW985" s="26"/>
    </row>
    <row r="986" customFormat="false" ht="15.75" hidden="false" customHeight="false" outlineLevel="0" collapsed="false">
      <c r="AO986" s="26"/>
      <c r="AQ986" s="26"/>
      <c r="AT986" s="26"/>
      <c r="AU986" s="26"/>
      <c r="AV986" s="26"/>
      <c r="AW986" s="26"/>
    </row>
    <row r="987" customFormat="false" ht="15.75" hidden="false" customHeight="false" outlineLevel="0" collapsed="false">
      <c r="AO987" s="26"/>
      <c r="AQ987" s="26"/>
      <c r="AT987" s="26"/>
      <c r="AU987" s="26"/>
      <c r="AV987" s="26"/>
      <c r="AW987" s="26"/>
    </row>
    <row r="988" customFormat="false" ht="15.75" hidden="false" customHeight="false" outlineLevel="0" collapsed="false">
      <c r="AO988" s="26"/>
      <c r="AQ988" s="26"/>
      <c r="AT988" s="26"/>
      <c r="AU988" s="26"/>
      <c r="AV988" s="26"/>
      <c r="AW988" s="26"/>
    </row>
    <row r="989" customFormat="false" ht="15.75" hidden="false" customHeight="false" outlineLevel="0" collapsed="false">
      <c r="AO989" s="26"/>
      <c r="AQ989" s="26"/>
      <c r="AT989" s="26"/>
      <c r="AU989" s="26"/>
      <c r="AV989" s="26"/>
      <c r="AW989" s="26"/>
    </row>
    <row r="990" customFormat="false" ht="15.75" hidden="false" customHeight="false" outlineLevel="0" collapsed="false">
      <c r="AO990" s="26"/>
      <c r="AQ990" s="26"/>
      <c r="AT990" s="26"/>
      <c r="AU990" s="26"/>
      <c r="AV990" s="26"/>
      <c r="AW990" s="26"/>
    </row>
    <row r="991" customFormat="false" ht="15.75" hidden="false" customHeight="false" outlineLevel="0" collapsed="false">
      <c r="AO991" s="26"/>
      <c r="AQ991" s="26"/>
      <c r="AT991" s="26"/>
      <c r="AU991" s="26"/>
      <c r="AV991" s="26"/>
      <c r="AW991" s="26"/>
    </row>
    <row r="992" customFormat="false" ht="15.75" hidden="false" customHeight="false" outlineLevel="0" collapsed="false">
      <c r="AO992" s="26"/>
      <c r="AQ992" s="26"/>
      <c r="AT992" s="26"/>
      <c r="AU992" s="26"/>
      <c r="AV992" s="26"/>
      <c r="AW992" s="26"/>
    </row>
    <row r="993" customFormat="false" ht="15.75" hidden="false" customHeight="false" outlineLevel="0" collapsed="false">
      <c r="AO993" s="26"/>
      <c r="AQ993" s="26"/>
      <c r="AT993" s="26"/>
      <c r="AU993" s="26"/>
      <c r="AV993" s="26"/>
      <c r="AW993" s="26"/>
    </row>
    <row r="994" customFormat="false" ht="15.75" hidden="false" customHeight="false" outlineLevel="0" collapsed="false">
      <c r="AO994" s="26"/>
      <c r="AQ994" s="26"/>
      <c r="AT994" s="26"/>
      <c r="AU994" s="26"/>
      <c r="AV994" s="26"/>
      <c r="AW994" s="26"/>
    </row>
    <row r="995" customFormat="false" ht="15.75" hidden="false" customHeight="false" outlineLevel="0" collapsed="false">
      <c r="AO995" s="26"/>
      <c r="AQ995" s="26"/>
      <c r="AT995" s="26"/>
      <c r="AU995" s="26"/>
      <c r="AV995" s="26"/>
      <c r="AW995" s="26"/>
    </row>
    <row r="996" customFormat="false" ht="15.75" hidden="false" customHeight="false" outlineLevel="0" collapsed="false">
      <c r="AO996" s="26"/>
      <c r="AQ996" s="26"/>
      <c r="AT996" s="26"/>
      <c r="AU996" s="26"/>
      <c r="AV996" s="26"/>
      <c r="AW996" s="26"/>
    </row>
    <row r="997" customFormat="false" ht="15.75" hidden="false" customHeight="false" outlineLevel="0" collapsed="false">
      <c r="AO997" s="26"/>
      <c r="AQ997" s="26"/>
      <c r="AT997" s="26"/>
      <c r="AU997" s="26"/>
      <c r="AV997" s="26"/>
      <c r="AW997" s="26"/>
    </row>
    <row r="998" customFormat="false" ht="15.75" hidden="false" customHeight="false" outlineLevel="0" collapsed="false">
      <c r="AO998" s="26"/>
      <c r="AQ998" s="26"/>
      <c r="AT998" s="26"/>
      <c r="AU998" s="26"/>
      <c r="AV998" s="26"/>
      <c r="AW998" s="26"/>
    </row>
    <row r="999" customFormat="false" ht="15.75" hidden="false" customHeight="false" outlineLevel="0" collapsed="false">
      <c r="AO999" s="26"/>
      <c r="AQ999" s="26"/>
      <c r="AT999" s="26"/>
      <c r="AU999" s="26"/>
      <c r="AV999" s="26"/>
      <c r="AW999" s="26"/>
    </row>
    <row r="1000" customFormat="false" ht="15.75" hidden="false" customHeight="false" outlineLevel="0" collapsed="false">
      <c r="AO1000" s="26"/>
      <c r="AQ1000" s="26"/>
      <c r="AT1000" s="26"/>
      <c r="AU1000" s="26"/>
      <c r="AV1000" s="26"/>
      <c r="AW1000" s="26"/>
    </row>
    <row r="1001" customFormat="false" ht="15.75" hidden="false" customHeight="false" outlineLevel="0" collapsed="false">
      <c r="AO1001" s="26"/>
      <c r="AQ1001" s="26"/>
      <c r="AT1001" s="26"/>
      <c r="AU1001" s="26"/>
      <c r="AV1001" s="26"/>
      <c r="AW1001" s="26"/>
    </row>
    <row r="1002" customFormat="false" ht="15.75" hidden="false" customHeight="false" outlineLevel="0" collapsed="false">
      <c r="AO1002" s="26"/>
      <c r="AQ1002" s="26"/>
      <c r="AT1002" s="26"/>
      <c r="AU1002" s="26"/>
      <c r="AV1002" s="26"/>
      <c r="AW1002" s="26"/>
    </row>
    <row r="1003" customFormat="false" ht="15.75" hidden="false" customHeight="false" outlineLevel="0" collapsed="false">
      <c r="AO1003" s="26"/>
      <c r="AQ1003" s="26"/>
      <c r="AT1003" s="26"/>
      <c r="AU1003" s="26"/>
      <c r="AV1003" s="26"/>
      <c r="AW1003" s="26"/>
    </row>
    <row r="1004" customFormat="false" ht="15.75" hidden="false" customHeight="false" outlineLevel="0" collapsed="false">
      <c r="AO1004" s="26"/>
      <c r="AQ1004" s="26"/>
      <c r="AT1004" s="26"/>
      <c r="AU1004" s="26"/>
      <c r="AV1004" s="26"/>
      <c r="AW1004" s="26"/>
    </row>
    <row r="1005" customFormat="false" ht="15.75" hidden="false" customHeight="false" outlineLevel="0" collapsed="false">
      <c r="AO1005" s="26"/>
      <c r="AQ1005" s="26"/>
      <c r="AT1005" s="26"/>
      <c r="AU1005" s="26"/>
      <c r="AV1005" s="26"/>
      <c r="AW1005" s="26"/>
    </row>
    <row r="1006" customFormat="false" ht="15.75" hidden="false" customHeight="false" outlineLevel="0" collapsed="false">
      <c r="AO1006" s="26"/>
      <c r="AQ1006" s="26"/>
      <c r="AT1006" s="26"/>
      <c r="AU1006" s="26"/>
      <c r="AV1006" s="26"/>
      <c r="AW1006" s="26"/>
    </row>
    <row r="1007" customFormat="false" ht="15.75" hidden="false" customHeight="false" outlineLevel="0" collapsed="false">
      <c r="AO1007" s="26"/>
      <c r="AQ1007" s="26"/>
      <c r="AT1007" s="26"/>
      <c r="AU1007" s="26"/>
      <c r="AV1007" s="26"/>
      <c r="AW1007" s="26"/>
    </row>
    <row r="1008" customFormat="false" ht="15.75" hidden="false" customHeight="false" outlineLevel="0" collapsed="false">
      <c r="AO1008" s="26"/>
      <c r="AQ1008" s="26"/>
      <c r="AT1008" s="26"/>
      <c r="AU1008" s="26"/>
      <c r="AV1008" s="26"/>
      <c r="AW1008" s="26"/>
    </row>
    <row r="1009" customFormat="false" ht="15.75" hidden="false" customHeight="false" outlineLevel="0" collapsed="false">
      <c r="AO1009" s="26"/>
      <c r="AQ1009" s="26"/>
      <c r="AT1009" s="26"/>
      <c r="AU1009" s="26"/>
      <c r="AV1009" s="26"/>
      <c r="AW1009" s="26"/>
    </row>
    <row r="1010" customFormat="false" ht="15.75" hidden="false" customHeight="false" outlineLevel="0" collapsed="false">
      <c r="AO1010" s="26"/>
      <c r="AQ1010" s="26"/>
      <c r="AT1010" s="26"/>
      <c r="AU1010" s="26"/>
      <c r="AV1010" s="26"/>
      <c r="AW1010" s="26"/>
    </row>
    <row r="1011" customFormat="false" ht="15.75" hidden="false" customHeight="false" outlineLevel="0" collapsed="false">
      <c r="AO1011" s="26"/>
      <c r="AQ1011" s="26"/>
      <c r="AT1011" s="26"/>
      <c r="AU1011" s="26"/>
      <c r="AV1011" s="26"/>
      <c r="AW1011" s="26"/>
    </row>
    <row r="1012" customFormat="false" ht="15.75" hidden="false" customHeight="false" outlineLevel="0" collapsed="false">
      <c r="AO1012" s="26"/>
      <c r="AQ1012" s="26"/>
      <c r="AT1012" s="26"/>
      <c r="AU1012" s="26"/>
      <c r="AV1012" s="26"/>
      <c r="AW1012" s="26"/>
    </row>
    <row r="1013" customFormat="false" ht="15.75" hidden="false" customHeight="false" outlineLevel="0" collapsed="false">
      <c r="AO1013" s="26"/>
      <c r="AQ1013" s="26"/>
      <c r="AT1013" s="26"/>
      <c r="AU1013" s="26"/>
      <c r="AV1013" s="26"/>
      <c r="AW1013" s="26"/>
    </row>
    <row r="1014" customFormat="false" ht="15.75" hidden="false" customHeight="false" outlineLevel="0" collapsed="false">
      <c r="AO1014" s="26"/>
      <c r="AQ1014" s="26"/>
      <c r="AT1014" s="26"/>
      <c r="AU1014" s="26"/>
      <c r="AV1014" s="26"/>
      <c r="AW1014" s="26"/>
    </row>
    <row r="1015" customFormat="false" ht="15.75" hidden="false" customHeight="false" outlineLevel="0" collapsed="false">
      <c r="AO1015" s="26"/>
      <c r="AQ1015" s="26"/>
      <c r="AT1015" s="26"/>
      <c r="AU1015" s="26"/>
      <c r="AV1015" s="26"/>
      <c r="AW1015" s="26"/>
    </row>
    <row r="1016" customFormat="false" ht="15.75" hidden="false" customHeight="false" outlineLevel="0" collapsed="false">
      <c r="AO1016" s="26"/>
      <c r="AQ1016" s="26"/>
      <c r="AT1016" s="26"/>
      <c r="AU1016" s="26"/>
      <c r="AV1016" s="26"/>
      <c r="AW1016" s="26"/>
    </row>
    <row r="1017" customFormat="false" ht="15.75" hidden="false" customHeight="false" outlineLevel="0" collapsed="false">
      <c r="AO1017" s="26"/>
      <c r="AQ1017" s="26"/>
      <c r="AT1017" s="26"/>
      <c r="AU1017" s="26"/>
      <c r="AV1017" s="26"/>
      <c r="AW1017" s="26"/>
    </row>
    <row r="1018" customFormat="false" ht="15.75" hidden="false" customHeight="false" outlineLevel="0" collapsed="false">
      <c r="AO1018" s="26"/>
      <c r="AQ1018" s="26"/>
      <c r="AT1018" s="26"/>
      <c r="AU1018" s="26"/>
      <c r="AV1018" s="26"/>
      <c r="AW1018" s="26"/>
    </row>
    <row r="1019" customFormat="false" ht="15.75" hidden="false" customHeight="false" outlineLevel="0" collapsed="false">
      <c r="AO1019" s="26"/>
      <c r="AQ1019" s="26"/>
      <c r="AT1019" s="26"/>
      <c r="AU1019" s="26"/>
      <c r="AV1019" s="26"/>
      <c r="AW1019" s="26"/>
    </row>
    <row r="1020" customFormat="false" ht="15.75" hidden="false" customHeight="false" outlineLevel="0" collapsed="false">
      <c r="AO1020" s="26"/>
      <c r="AQ1020" s="26"/>
      <c r="AT1020" s="26"/>
      <c r="AU1020" s="26"/>
      <c r="AV1020" s="26"/>
      <c r="AW1020" s="26"/>
    </row>
    <row r="1021" customFormat="false" ht="15.75" hidden="false" customHeight="false" outlineLevel="0" collapsed="false">
      <c r="AO1021" s="26"/>
      <c r="AQ1021" s="26"/>
      <c r="AT1021" s="26"/>
      <c r="AU1021" s="26"/>
      <c r="AV1021" s="26"/>
      <c r="AW1021" s="26"/>
    </row>
    <row r="1022" customFormat="false" ht="15.75" hidden="false" customHeight="false" outlineLevel="0" collapsed="false">
      <c r="AO1022" s="26"/>
      <c r="AQ1022" s="26"/>
      <c r="AT1022" s="26"/>
      <c r="AU1022" s="26"/>
      <c r="AV1022" s="26"/>
      <c r="AW1022" s="26"/>
    </row>
    <row r="1023" customFormat="false" ht="15.75" hidden="false" customHeight="false" outlineLevel="0" collapsed="false">
      <c r="AO1023" s="26"/>
      <c r="AQ1023" s="26"/>
      <c r="AT1023" s="26"/>
      <c r="AU1023" s="26"/>
      <c r="AV1023" s="26"/>
      <c r="AW1023" s="26"/>
    </row>
    <row r="1024" customFormat="false" ht="15.75" hidden="false" customHeight="false" outlineLevel="0" collapsed="false">
      <c r="AO1024" s="26"/>
      <c r="AQ1024" s="26"/>
      <c r="AT1024" s="26"/>
      <c r="AU1024" s="26"/>
      <c r="AV1024" s="26"/>
      <c r="AW1024" s="26"/>
    </row>
    <row r="1025" customFormat="false" ht="15.75" hidden="false" customHeight="false" outlineLevel="0" collapsed="false">
      <c r="AO1025" s="26"/>
      <c r="AQ1025" s="26"/>
      <c r="AT1025" s="26"/>
      <c r="AU1025" s="26"/>
      <c r="AV1025" s="26"/>
      <c r="AW1025" s="26"/>
    </row>
  </sheetData>
  <dataValidations count="28">
    <dataValidation allowBlank="true" errorStyle="stop" operator="between" showDropDown="false" showErrorMessage="true" showInputMessage="true" sqref="AD2:AD1025" type="list">
      <formula1>list!$B$25:$E$25</formula1>
      <formula2>0</formula2>
    </dataValidation>
    <dataValidation allowBlank="true" errorStyle="stop" operator="between" showDropDown="false" showErrorMessage="true" showInputMessage="true" sqref="BY2:CI1025" type="list">
      <formula1>list!$B$72:$C$72</formula1>
      <formula2>0</formula2>
    </dataValidation>
    <dataValidation allowBlank="true" errorStyle="stop" operator="between" showDropDown="false" showErrorMessage="true" showInputMessage="true" sqref="BW2:BX1025" type="list">
      <formula1>list!$B$70:$F$70</formula1>
      <formula2>0</formula2>
    </dataValidation>
    <dataValidation allowBlank="true" errorStyle="stop" operator="between" showDropDown="false" showErrorMessage="true" showInputMessage="true" sqref="BV2:BV1025" type="list">
      <formula1>list!$B$69:$C$69</formula1>
      <formula2>0</formula2>
    </dataValidation>
    <dataValidation allowBlank="true" errorStyle="stop" operator="between" showDropDown="false" showErrorMessage="true" showInputMessage="true" sqref="BU2:BU1025" type="list">
      <formula1>list!$B$68:$G$68</formula1>
      <formula2>0</formula2>
    </dataValidation>
    <dataValidation allowBlank="true" errorStyle="stop" operator="between" showDropDown="false" showErrorMessage="true" showInputMessage="true" sqref="BR2:BR1025" type="list">
      <formula1>list!$B$65:$F$65</formula1>
      <formula2>0</formula2>
    </dataValidation>
    <dataValidation allowBlank="true" errorStyle="stop" operator="between" showDropDown="false" showErrorMessage="true" showInputMessage="true" sqref="BQ2:BQ1025" type="list">
      <formula1>list!$B$64:$E$64</formula1>
      <formula2>0</formula2>
    </dataValidation>
    <dataValidation allowBlank="true" errorStyle="stop" operator="between" showDropDown="false" showErrorMessage="true" showInputMessage="true" sqref="BB2:BB1025" type="list">
      <formula1>list!$B$49:$P$49</formula1>
      <formula2>0</formula2>
    </dataValidation>
    <dataValidation allowBlank="true" errorStyle="stop" operator="between" showDropDown="false" showErrorMessage="true" showInputMessage="true" sqref="AX2:BA1025 BC2:BP1025 BS2:BT1025" type="list">
      <formula1>list!$B$50:$C$50</formula1>
      <formula2>0</formula2>
    </dataValidation>
    <dataValidation allowBlank="true" errorStyle="stop" operator="between" showDropDown="false" showErrorMessage="true" showInputMessage="true" sqref="AU2:AU1025 AW2:AW1025" type="list">
      <formula1>list!$B$42:$Z$42</formula1>
      <formula2>0</formula2>
    </dataValidation>
    <dataValidation allowBlank="true" errorStyle="stop" operator="between" showDropDown="false" showErrorMessage="true" showInputMessage="true" sqref="AM2:AN1025" type="list">
      <formula1>list!$B$34:$C$34</formula1>
      <formula2>0</formula2>
    </dataValidation>
    <dataValidation allowBlank="true" errorStyle="stop" operator="between" showDropDown="false" showErrorMessage="true" showInputMessage="true" sqref="AL2:AL1025" type="list">
      <formula1>list!$B$33:$H$33</formula1>
      <formula2>0</formula2>
    </dataValidation>
    <dataValidation allowBlank="true" errorStyle="stop" operator="between" showDropDown="false" showErrorMessage="true" showInputMessage="true" sqref="AF2:AK1025" type="list">
      <formula1>list!$B$27:$C$27</formula1>
      <formula2>0</formula2>
    </dataValidation>
    <dataValidation allowBlank="true" errorStyle="stop" operator="between" showDropDown="false" showErrorMessage="true" showInputMessage="true" sqref="AE2:AE1025" type="list">
      <formula1>list!$B$26:$E$26</formula1>
      <formula2>0</formula2>
    </dataValidation>
    <dataValidation allowBlank="true" errorStyle="stop" operator="between" showDropDown="false" showErrorMessage="true" showInputMessage="true" sqref="Z2:AC1025" type="list">
      <formula1>list!$B$21:$M$21</formula1>
      <formula2>0</formula2>
    </dataValidation>
    <dataValidation allowBlank="true" errorStyle="stop" operator="between" showDropDown="false" showErrorMessage="true" showInputMessage="true" sqref="V2:W1025" type="list">
      <formula1>list!$B$17:$J$17</formula1>
      <formula2>0</formula2>
    </dataValidation>
    <dataValidation allowBlank="true" errorStyle="stop" operator="between" showDropDown="false" showErrorMessage="true" showInputMessage="true" sqref="G2:U1025" type="list">
      <formula1>list!$B$2:$C$2</formula1>
      <formula2>0</formula2>
    </dataValidation>
    <dataValidation allowBlank="true" errorStyle="stop" operator="between" showDropDown="false" showErrorMessage="true" showInputMessage="true" sqref="AO2:AO1025 AQ2:AQ1025" type="list">
      <formula1>list!$B$36:$G$36</formula1>
      <formula2>0</formula2>
    </dataValidation>
    <dataValidation allowBlank="true" errorStyle="stop" operator="between" showDropDown="false" showErrorMessage="true" showInputMessage="true" sqref="AT2:AT1025 AV2:AV1025" type="list">
      <formula1>list!$B$41:$F$41</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P2:AP3 AR2:AR3 AP5:AP6 AR5:AR6 AP10 AR10" type="list">
      <formula1>list!$B$37:$Q$37</formula1>
      <formula2>0</formula2>
    </dataValidation>
    <dataValidation allowBlank="true" errorStyle="stop" operator="between" showDropDown="false" showErrorMessage="true" showInputMessage="true" sqref="AR93:AR1025 AP102:AP1025" type="list">
      <formula1>list!$B$37:$O$37</formula1>
      <formula2>0</formula2>
    </dataValidation>
    <dataValidation allowBlank="true" errorStyle="stop" operator="between" showDropDown="false" showErrorMessage="true" showInputMessage="true" sqref="AS123:AS1025" type="list">
      <formula1>list!$B$40:$G$40</formula1>
      <formula2>0</formula2>
    </dataValidation>
    <dataValidation allowBlank="true" errorStyle="stop" operator="between" showDropDown="false" showErrorMessage="true" showInputMessage="true" sqref="Y155:Y1025" type="list">
      <formula1>list!$B$20:$H$20</formula1>
      <formula2>0</formula2>
    </dataValidation>
    <dataValidation allowBlank="true" errorStyle="stop" operator="between" showDropDown="false" showErrorMessage="true" showInputMessage="true" sqref="X103:X1025" type="list">
      <formula1>list!$B$19:$C$19</formula1>
      <formula2>0</formula2>
    </dataValidation>
    <dataValidation allowBlank="true" errorStyle="stop" operator="between" showDropDown="false" showErrorMessage="true" showInputMessage="true" sqref="AP4 AR4 AP7:AP9 AR7:AR9 AP11:AP93 AR11:AR92 AP94:AP101"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35"/>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V26" activePane="bottomRight" state="frozen"/>
      <selection pane="topLeft" activeCell="A1" activeCellId="0" sqref="A1"/>
      <selection pane="topRight" activeCell="V1" activeCellId="0" sqref="V1"/>
      <selection pane="bottomLeft" activeCell="A26" activeCellId="0" sqref="A26"/>
      <selection pane="bottomRight" activeCell="D2" activeCellId="0" sqref="D2"/>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66"/>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255" hidden="false" customHeight="false" outlineLevel="0" collapsed="false">
      <c r="B2" s="1" t="n">
        <v>1121051</v>
      </c>
      <c r="C2" s="1" t="s">
        <v>749</v>
      </c>
      <c r="D2" s="1" t="n">
        <f aca="false">DATEDIF($C$2, C2, "M")</f>
        <v>0</v>
      </c>
      <c r="E2" s="26" t="s">
        <v>750</v>
      </c>
      <c r="F2" s="27" t="b">
        <f aca="false">TRUE()</f>
        <v>1</v>
      </c>
      <c r="T2" s="31" t="b">
        <f aca="false">TRUE()</f>
        <v>1</v>
      </c>
      <c r="X2" s="27" t="b">
        <f aca="false">FALSE()</f>
        <v>0</v>
      </c>
      <c r="Y2" s="30" t="s">
        <v>178</v>
      </c>
      <c r="Z2" s="1" t="s">
        <v>193</v>
      </c>
      <c r="AA2" s="1" t="s">
        <v>193</v>
      </c>
      <c r="AB2" s="1" t="s">
        <v>193</v>
      </c>
      <c r="AC2" s="1" t="s">
        <v>193</v>
      </c>
      <c r="AD2" s="1" t="s">
        <v>182</v>
      </c>
      <c r="AE2" s="1" t="s">
        <v>113</v>
      </c>
      <c r="BQ2" s="1" t="s">
        <v>103</v>
      </c>
    </row>
    <row r="3" customFormat="false" ht="29.85" hidden="false" customHeight="false" outlineLevel="0" collapsed="false">
      <c r="B3" s="1" t="n">
        <v>1121051</v>
      </c>
      <c r="C3" s="1" t="s">
        <v>751</v>
      </c>
      <c r="D3" s="1" t="n">
        <f aca="false">DATEDIF($C$2, C3, "M")</f>
        <v>4</v>
      </c>
      <c r="E3" s="26" t="s">
        <v>752</v>
      </c>
      <c r="F3" s="31" t="b">
        <f aca="false">TRUE()</f>
        <v>1</v>
      </c>
    </row>
    <row r="4" customFormat="false" ht="135.75" hidden="false" customHeight="false" outlineLevel="0" collapsed="false">
      <c r="B4" s="1" t="n">
        <v>1121051</v>
      </c>
      <c r="C4" s="1" t="s">
        <v>753</v>
      </c>
      <c r="D4" s="1" t="n">
        <f aca="false">DATEDIF($C$2, C4, "M")</f>
        <v>6</v>
      </c>
      <c r="E4" s="26" t="s">
        <v>754</v>
      </c>
      <c r="F4" s="31" t="b">
        <f aca="false">TRUE()</f>
        <v>1</v>
      </c>
      <c r="G4" s="27" t="b">
        <f aca="false">TRUE()</f>
        <v>1</v>
      </c>
      <c r="H4" s="27" t="b">
        <f aca="false">TRUE()</f>
        <v>1</v>
      </c>
      <c r="I4" s="27" t="b">
        <f aca="false">TRUE()</f>
        <v>1</v>
      </c>
      <c r="T4" s="31" t="b">
        <f aca="false">TRUE()</f>
        <v>1</v>
      </c>
      <c r="AA4" s="1" t="s">
        <v>128</v>
      </c>
      <c r="AC4" s="1" t="s">
        <v>128</v>
      </c>
    </row>
    <row r="5" customFormat="false" ht="33.75" hidden="false" customHeight="false" outlineLevel="0" collapsed="false">
      <c r="B5" s="1" t="n">
        <v>1121051</v>
      </c>
      <c r="C5" s="1" t="s">
        <v>755</v>
      </c>
      <c r="D5" s="1" t="n">
        <f aca="false">DATEDIF($C$2, C5, "M")</f>
        <v>8</v>
      </c>
      <c r="E5" s="26" t="s">
        <v>756</v>
      </c>
      <c r="F5" s="31" t="b">
        <f aca="false">TRUE()</f>
        <v>1</v>
      </c>
    </row>
    <row r="6" customFormat="false" ht="118.5" hidden="false" customHeight="false" outlineLevel="0" collapsed="false">
      <c r="B6" s="1" t="n">
        <v>1121051</v>
      </c>
      <c r="C6" s="1" t="s">
        <v>757</v>
      </c>
      <c r="D6" s="1" t="n">
        <f aca="false">DATEDIF($C$2, C6, "M")</f>
        <v>8</v>
      </c>
      <c r="E6" s="26" t="s">
        <v>758</v>
      </c>
      <c r="F6" s="31" t="b">
        <f aca="false">TRUE()</f>
        <v>1</v>
      </c>
      <c r="K6" s="27" t="b">
        <f aca="false">TRUE()</f>
        <v>1</v>
      </c>
      <c r="L6" s="27" t="b">
        <f aca="false">TRUE()</f>
        <v>1</v>
      </c>
      <c r="M6" s="27" t="b">
        <f aca="false">TRUE()</f>
        <v>1</v>
      </c>
      <c r="N6" s="31" t="b">
        <f aca="false">TRUE()</f>
        <v>1</v>
      </c>
      <c r="AO6" s="1" t="s">
        <v>96</v>
      </c>
      <c r="AP6" s="1" t="s">
        <v>131</v>
      </c>
      <c r="AQ6" s="1" t="s">
        <v>107</v>
      </c>
      <c r="AR6" s="1" t="s">
        <v>131</v>
      </c>
      <c r="BZ6" s="27" t="b">
        <f aca="false">TRUE()</f>
        <v>1</v>
      </c>
    </row>
    <row r="7" customFormat="false" ht="33.75" hidden="false" customHeight="false" outlineLevel="0" collapsed="false">
      <c r="B7" s="1" t="n">
        <v>1121051</v>
      </c>
      <c r="C7" s="1" t="s">
        <v>759</v>
      </c>
      <c r="D7" s="1" t="n">
        <f aca="false">DATEDIF($C$2, C7, "M")</f>
        <v>8</v>
      </c>
      <c r="E7" s="26" t="s">
        <v>760</v>
      </c>
      <c r="F7" s="31" t="b">
        <f aca="false">TRUE()</f>
        <v>1</v>
      </c>
      <c r="BT7" s="31" t="b">
        <f aca="false">TRUE()</f>
        <v>1</v>
      </c>
      <c r="BU7" s="1" t="s">
        <v>174</v>
      </c>
    </row>
    <row r="8" customFormat="false" ht="118.5" hidden="false" customHeight="false" outlineLevel="0" collapsed="false">
      <c r="B8" s="1" t="n">
        <v>1121051</v>
      </c>
      <c r="C8" s="1" t="s">
        <v>555</v>
      </c>
      <c r="D8" s="1" t="n">
        <f aca="false">DATEDIF($C$2, C8, "M")</f>
        <v>9</v>
      </c>
      <c r="E8" s="26" t="s">
        <v>761</v>
      </c>
      <c r="F8" s="31" t="b">
        <f aca="false">TRUE()</f>
        <v>1</v>
      </c>
      <c r="L8" s="27" t="b">
        <f aca="false">TRUE()</f>
        <v>1</v>
      </c>
      <c r="M8" s="27" t="b">
        <f aca="false">TRUE()</f>
        <v>1</v>
      </c>
      <c r="V8" s="1" t="s">
        <v>458</v>
      </c>
      <c r="AM8" s="31" t="b">
        <f aca="false">TRUE()</f>
        <v>1</v>
      </c>
      <c r="AN8" s="31" t="b">
        <f aca="false">TRUE()</f>
        <v>1</v>
      </c>
      <c r="AO8" s="1" t="s">
        <v>101</v>
      </c>
      <c r="AP8" s="1" t="s">
        <v>131</v>
      </c>
      <c r="AQ8" s="1" t="s">
        <v>101</v>
      </c>
      <c r="AR8" s="1" t="s">
        <v>91</v>
      </c>
      <c r="BL8" s="27" t="b">
        <f aca="false">TRUE()</f>
        <v>1</v>
      </c>
      <c r="BQ8" s="1" t="s">
        <v>103</v>
      </c>
    </row>
    <row r="9" customFormat="false" ht="84.75" hidden="false" customHeight="false" outlineLevel="0" collapsed="false">
      <c r="B9" s="1" t="n">
        <v>1121051</v>
      </c>
      <c r="C9" s="1" t="s">
        <v>762</v>
      </c>
      <c r="D9" s="1" t="n">
        <f aca="false">DATEDIF($C$2, C9, "M")</f>
        <v>10</v>
      </c>
      <c r="E9" s="26" t="s">
        <v>763</v>
      </c>
      <c r="F9" s="31" t="b">
        <f aca="false">TRUE()</f>
        <v>1</v>
      </c>
      <c r="V9" s="1" t="s">
        <v>458</v>
      </c>
      <c r="AM9" s="31" t="b">
        <f aca="false">TRUE()</f>
        <v>1</v>
      </c>
      <c r="AN9" s="31" t="b">
        <f aca="false">FALSE()</f>
        <v>0</v>
      </c>
      <c r="AO9" s="1" t="s">
        <v>101</v>
      </c>
      <c r="AP9" s="1" t="s">
        <v>152</v>
      </c>
      <c r="AQ9" s="1" t="s">
        <v>101</v>
      </c>
      <c r="AR9" s="1" t="s">
        <v>91</v>
      </c>
      <c r="BC9" s="27" t="b">
        <f aca="false">TRUE()</f>
        <v>1</v>
      </c>
      <c r="BL9" s="27" t="b">
        <f aca="false">TRUE()</f>
        <v>1</v>
      </c>
      <c r="BQ9" s="1" t="s">
        <v>103</v>
      </c>
    </row>
    <row r="10" customFormat="false" ht="118.5" hidden="false" customHeight="false" outlineLevel="0" collapsed="false">
      <c r="B10" s="1" t="n">
        <v>1121051</v>
      </c>
      <c r="C10" s="1" t="s">
        <v>764</v>
      </c>
      <c r="D10" s="1" t="n">
        <f aca="false">DATEDIF($C$2, C10, "M")</f>
        <v>11</v>
      </c>
      <c r="E10" s="26" t="s">
        <v>765</v>
      </c>
      <c r="F10" s="31" t="b">
        <f aca="false">TRUE()</f>
        <v>1</v>
      </c>
      <c r="W10" s="1" t="s">
        <v>458</v>
      </c>
      <c r="AM10" s="31" t="b">
        <f aca="false">FALSE()</f>
        <v>0</v>
      </c>
      <c r="AN10" s="31" t="b">
        <f aca="false">FALSE()</f>
        <v>0</v>
      </c>
      <c r="AO10" s="1" t="s">
        <v>101</v>
      </c>
      <c r="AP10" s="1" t="s">
        <v>152</v>
      </c>
      <c r="AQ10" s="1" t="s">
        <v>101</v>
      </c>
      <c r="AR10" s="1" t="s">
        <v>91</v>
      </c>
      <c r="AS10" s="1" t="s">
        <v>102</v>
      </c>
      <c r="BB10" s="1" t="s">
        <v>189</v>
      </c>
      <c r="BQ10" s="1" t="s">
        <v>103</v>
      </c>
    </row>
    <row r="11" customFormat="false" ht="135.75" hidden="false" customHeight="false" outlineLevel="0" collapsed="false">
      <c r="B11" s="1" t="n">
        <v>1121051</v>
      </c>
      <c r="C11" s="1" t="s">
        <v>766</v>
      </c>
      <c r="D11" s="1" t="n">
        <f aca="false">DATEDIF($C$2, C11, "M")</f>
        <v>12</v>
      </c>
      <c r="E11" s="26" t="s">
        <v>767</v>
      </c>
      <c r="F11" s="31" t="b">
        <f aca="false">TRUE()</f>
        <v>1</v>
      </c>
      <c r="AB11" s="1" t="s">
        <v>87</v>
      </c>
      <c r="AC11" s="1" t="s">
        <v>87</v>
      </c>
      <c r="AM11" s="31" t="b">
        <f aca="false">FALSE()</f>
        <v>0</v>
      </c>
      <c r="AN11" s="31" t="b">
        <f aca="false">FALSE()</f>
        <v>0</v>
      </c>
      <c r="AO11" s="1" t="s">
        <v>101</v>
      </c>
      <c r="AP11" s="1" t="s">
        <v>152</v>
      </c>
      <c r="AQ11" s="1" t="s">
        <v>101</v>
      </c>
      <c r="AR11" s="1" t="s">
        <v>91</v>
      </c>
      <c r="AS11" s="1" t="s">
        <v>168</v>
      </c>
      <c r="BB11" s="1" t="s">
        <v>189</v>
      </c>
      <c r="BC11" s="27" t="b">
        <f aca="false">TRUE()</f>
        <v>1</v>
      </c>
      <c r="BQ11" s="1" t="s">
        <v>103</v>
      </c>
      <c r="BR11" s="1" t="s">
        <v>473</v>
      </c>
    </row>
    <row r="12" customFormat="false" ht="102" hidden="false" customHeight="false" outlineLevel="0" collapsed="false">
      <c r="B12" s="1" t="n">
        <v>1121051</v>
      </c>
      <c r="C12" s="1" t="s">
        <v>538</v>
      </c>
      <c r="D12" s="1" t="n">
        <f aca="false">DATEDIF($C$2, C12, "M")</f>
        <v>12</v>
      </c>
      <c r="E12" s="26" t="s">
        <v>768</v>
      </c>
      <c r="F12" s="31" t="b">
        <f aca="false">TRUE()</f>
        <v>1</v>
      </c>
      <c r="AM12" s="31" t="b">
        <f aca="false">FALSE()</f>
        <v>0</v>
      </c>
      <c r="AN12" s="31" t="b">
        <f aca="false">FALSE()</f>
        <v>0</v>
      </c>
      <c r="AO12" s="1" t="s">
        <v>101</v>
      </c>
      <c r="AP12" s="1" t="s">
        <v>152</v>
      </c>
      <c r="BQ12" s="1" t="s">
        <v>103</v>
      </c>
      <c r="BT12" s="27" t="b">
        <f aca="false">TRUE()</f>
        <v>1</v>
      </c>
      <c r="BU12" s="26" t="s">
        <v>153</v>
      </c>
      <c r="BV12" s="27" t="b">
        <f aca="false">TRUE()</f>
        <v>1</v>
      </c>
    </row>
    <row r="13" customFormat="false" ht="67.5" hidden="false" customHeight="false" outlineLevel="0" collapsed="false">
      <c r="B13" s="1" t="n">
        <v>1121051</v>
      </c>
      <c r="C13" s="1" t="s">
        <v>769</v>
      </c>
      <c r="D13" s="1" t="n">
        <f aca="false">DATEDIF($C$2, C13, "M")</f>
        <v>13</v>
      </c>
      <c r="E13" s="26" t="s">
        <v>770</v>
      </c>
      <c r="F13" s="31" t="b">
        <f aca="false">TRUE()</f>
        <v>1</v>
      </c>
      <c r="H13" s="31" t="b">
        <f aca="false">TRUE()</f>
        <v>1</v>
      </c>
      <c r="AM13" s="31" t="b">
        <f aca="false">TRUE()</f>
        <v>1</v>
      </c>
      <c r="AN13" s="31" t="b">
        <f aca="false">TRUE()</f>
        <v>1</v>
      </c>
      <c r="AO13" s="1" t="s">
        <v>96</v>
      </c>
      <c r="AP13" s="1" t="s">
        <v>164</v>
      </c>
      <c r="AQ13" s="1" t="s">
        <v>96</v>
      </c>
      <c r="AR13" s="1" t="s">
        <v>131</v>
      </c>
      <c r="BB13" s="1" t="s">
        <v>189</v>
      </c>
      <c r="BQ13" s="1" t="s">
        <v>135</v>
      </c>
      <c r="BR13" s="1" t="s">
        <v>473</v>
      </c>
    </row>
    <row r="14" customFormat="false" ht="102" hidden="false" customHeight="false" outlineLevel="0" collapsed="false">
      <c r="B14" s="1" t="n">
        <v>1121051</v>
      </c>
      <c r="C14" s="1" t="s">
        <v>771</v>
      </c>
      <c r="D14" s="1" t="n">
        <f aca="false">DATEDIF($C$2, C14, "M")</f>
        <v>14</v>
      </c>
      <c r="E14" s="26" t="s">
        <v>772</v>
      </c>
      <c r="F14" s="31" t="b">
        <f aca="false">TRUE()</f>
        <v>1</v>
      </c>
      <c r="W14" s="1" t="s">
        <v>458</v>
      </c>
      <c r="AM14" s="31" t="b">
        <f aca="false">TRUE()</f>
        <v>1</v>
      </c>
      <c r="AN14" s="31" t="b">
        <f aca="false">TRUE()</f>
        <v>1</v>
      </c>
      <c r="AO14" s="1" t="s">
        <v>107</v>
      </c>
      <c r="AP14" s="1" t="s">
        <v>160</v>
      </c>
      <c r="AQ14" s="1" t="s">
        <v>96</v>
      </c>
      <c r="AR14" s="1" t="s">
        <v>152</v>
      </c>
      <c r="BB14" s="1" t="s">
        <v>189</v>
      </c>
      <c r="BQ14" s="1" t="s">
        <v>135</v>
      </c>
      <c r="BR14" s="1" t="s">
        <v>473</v>
      </c>
      <c r="BS14" s="27" t="b">
        <f aca="false">TRUE()</f>
        <v>1</v>
      </c>
    </row>
    <row r="15" customFormat="false" ht="157.45" hidden="false" customHeight="false" outlineLevel="0" collapsed="false">
      <c r="B15" s="1" t="n">
        <v>1121051</v>
      </c>
      <c r="C15" s="1" t="s">
        <v>773</v>
      </c>
      <c r="D15" s="1" t="n">
        <f aca="false">DATEDIF($C$2, C15, "M")</f>
        <v>15</v>
      </c>
      <c r="E15" s="26" t="s">
        <v>774</v>
      </c>
      <c r="F15" s="31" t="b">
        <f aca="false">TRUE()</f>
        <v>1</v>
      </c>
      <c r="AD15" s="1" t="s">
        <v>182</v>
      </c>
      <c r="AM15" s="31" t="b">
        <f aca="false">FALSE()</f>
        <v>0</v>
      </c>
      <c r="AN15" s="31" t="b">
        <f aca="false">TRUE()</f>
        <v>1</v>
      </c>
      <c r="AO15" s="1" t="s">
        <v>107</v>
      </c>
      <c r="AP15" s="1" t="s">
        <v>160</v>
      </c>
      <c r="AQ15" s="1" t="s">
        <v>96</v>
      </c>
      <c r="AR15" s="1" t="s">
        <v>164</v>
      </c>
      <c r="AS15" s="1" t="s">
        <v>168</v>
      </c>
      <c r="BB15" s="1" t="s">
        <v>189</v>
      </c>
      <c r="BQ15" s="1" t="s">
        <v>135</v>
      </c>
      <c r="BR15" s="1" t="s">
        <v>473</v>
      </c>
      <c r="CA15" s="27" t="b">
        <f aca="false">TRUE()</f>
        <v>1</v>
      </c>
    </row>
    <row r="16" customFormat="false" ht="157.45" hidden="false" customHeight="false" outlineLevel="0" collapsed="false">
      <c r="B16" s="1" t="n">
        <v>1121051</v>
      </c>
      <c r="C16" s="1" t="s">
        <v>775</v>
      </c>
      <c r="D16" s="1" t="n">
        <f aca="false">DATEDIF($C$2, C16, "M")</f>
        <v>16</v>
      </c>
      <c r="E16" s="26" t="s">
        <v>774</v>
      </c>
      <c r="F16" s="31" t="b">
        <f aca="false">TRUE()</f>
        <v>1</v>
      </c>
      <c r="AD16" s="1" t="s">
        <v>182</v>
      </c>
      <c r="AM16" s="31" t="b">
        <f aca="false">FALSE()</f>
        <v>0</v>
      </c>
      <c r="AN16" s="31" t="b">
        <f aca="false">FALSE()</f>
        <v>0</v>
      </c>
      <c r="AO16" s="1" t="s">
        <v>107</v>
      </c>
      <c r="AP16" s="1" t="s">
        <v>160</v>
      </c>
      <c r="AQ16" s="1" t="s">
        <v>96</v>
      </c>
      <c r="AR16" s="1" t="s">
        <v>164</v>
      </c>
      <c r="BB16" s="1" t="s">
        <v>189</v>
      </c>
      <c r="BQ16" s="1" t="s">
        <v>135</v>
      </c>
      <c r="BR16" s="1" t="s">
        <v>473</v>
      </c>
      <c r="CA16" s="27" t="b">
        <f aca="false">TRUE()</f>
        <v>1</v>
      </c>
    </row>
    <row r="17" customFormat="false" ht="118.5" hidden="false" customHeight="false" outlineLevel="0" collapsed="false">
      <c r="B17" s="1" t="n">
        <v>1121051</v>
      </c>
      <c r="C17" s="1" t="s">
        <v>776</v>
      </c>
      <c r="D17" s="1" t="n">
        <f aca="false">DATEDIF($C$2, C17, "M")</f>
        <v>17</v>
      </c>
      <c r="E17" s="26" t="s">
        <v>777</v>
      </c>
      <c r="F17" s="31" t="b">
        <f aca="false">TRUE()</f>
        <v>1</v>
      </c>
      <c r="AM17" s="31" t="b">
        <f aca="false">TRUE()</f>
        <v>1</v>
      </c>
      <c r="AN17" s="31" t="b">
        <f aca="false">TRUE()</f>
        <v>1</v>
      </c>
      <c r="AO17" s="1" t="s">
        <v>96</v>
      </c>
      <c r="AP17" s="1" t="s">
        <v>131</v>
      </c>
      <c r="AQ17" s="1" t="s">
        <v>107</v>
      </c>
      <c r="AR17" s="1" t="s">
        <v>160</v>
      </c>
      <c r="BB17" s="1" t="s">
        <v>189</v>
      </c>
      <c r="BQ17" s="1" t="s">
        <v>135</v>
      </c>
    </row>
    <row r="18" customFormat="false" ht="102" hidden="false" customHeight="false" outlineLevel="0" collapsed="false">
      <c r="B18" s="1" t="n">
        <v>1121051</v>
      </c>
      <c r="C18" s="1" t="s">
        <v>778</v>
      </c>
      <c r="D18" s="1" t="n">
        <f aca="false">DATEDIF($C$2, C18, "M")</f>
        <v>19</v>
      </c>
      <c r="E18" s="26" t="s">
        <v>779</v>
      </c>
      <c r="F18" s="31" t="b">
        <f aca="false">TRUE()</f>
        <v>1</v>
      </c>
      <c r="AM18" s="31" t="b">
        <f aca="false">TRUE()</f>
        <v>1</v>
      </c>
      <c r="AN18" s="31" t="b">
        <f aca="false">FALSE()</f>
        <v>0</v>
      </c>
      <c r="AO18" s="1" t="s">
        <v>96</v>
      </c>
      <c r="AP18" s="1" t="s">
        <v>152</v>
      </c>
      <c r="AQ18" s="1" t="s">
        <v>107</v>
      </c>
      <c r="AR18" s="1" t="s">
        <v>160</v>
      </c>
      <c r="AS18" s="26" t="s">
        <v>105</v>
      </c>
      <c r="BB18" s="1" t="s">
        <v>189</v>
      </c>
      <c r="BQ18" s="1" t="s">
        <v>103</v>
      </c>
      <c r="BR18" s="1" t="s">
        <v>119</v>
      </c>
      <c r="CD18" s="27" t="b">
        <f aca="false">TRUE()</f>
        <v>1</v>
      </c>
    </row>
    <row r="19" customFormat="false" ht="58.2" hidden="false" customHeight="false" outlineLevel="0" collapsed="false">
      <c r="B19" s="1" t="n">
        <v>1121051</v>
      </c>
      <c r="C19" s="1" t="s">
        <v>780</v>
      </c>
      <c r="D19" s="1" t="n">
        <f aca="false">DATEDIF($C$2, C19, "M")</f>
        <v>20</v>
      </c>
      <c r="E19" s="26" t="s">
        <v>781</v>
      </c>
      <c r="F19" s="31" t="b">
        <f aca="false">TRUE()</f>
        <v>1</v>
      </c>
      <c r="AM19" s="31" t="b">
        <f aca="false">TRUE()</f>
        <v>1</v>
      </c>
      <c r="AN19" s="31" t="b">
        <f aca="false">FALSE()</f>
        <v>0</v>
      </c>
      <c r="AO19" s="1" t="s">
        <v>96</v>
      </c>
      <c r="AP19" s="1" t="s">
        <v>94</v>
      </c>
      <c r="AQ19" s="1" t="s">
        <v>107</v>
      </c>
      <c r="AR19" s="1" t="s">
        <v>160</v>
      </c>
      <c r="AS19" s="1" t="s">
        <v>102</v>
      </c>
      <c r="BQ19" s="1" t="s">
        <v>135</v>
      </c>
      <c r="CD19" s="27" t="b">
        <f aca="false">TRUE()</f>
        <v>1</v>
      </c>
    </row>
    <row r="20" customFormat="false" ht="58.2" hidden="false" customHeight="false" outlineLevel="0" collapsed="false">
      <c r="B20" s="1" t="n">
        <v>1121051</v>
      </c>
      <c r="C20" s="1" t="s">
        <v>782</v>
      </c>
      <c r="D20" s="1" t="n">
        <f aca="false">DATEDIF($C$2, C20, "M")</f>
        <v>21</v>
      </c>
      <c r="E20" s="26" t="s">
        <v>783</v>
      </c>
      <c r="F20" s="31" t="b">
        <f aca="false">TRUE()</f>
        <v>1</v>
      </c>
      <c r="Z20" s="1" t="s">
        <v>193</v>
      </c>
      <c r="AA20" s="1" t="s">
        <v>193</v>
      </c>
      <c r="AB20" s="1" t="s">
        <v>193</v>
      </c>
      <c r="AC20" s="1" t="s">
        <v>193</v>
      </c>
      <c r="AM20" s="31" t="b">
        <f aca="false">TRUE()</f>
        <v>1</v>
      </c>
      <c r="AN20" s="31" t="b">
        <f aca="false">FALSE()</f>
        <v>0</v>
      </c>
      <c r="AO20" s="1" t="s">
        <v>96</v>
      </c>
      <c r="AP20" s="1" t="s">
        <v>160</v>
      </c>
      <c r="AQ20" s="1" t="s">
        <v>107</v>
      </c>
      <c r="AR20" s="1" t="s">
        <v>160</v>
      </c>
      <c r="AS20" s="26" t="s">
        <v>213</v>
      </c>
      <c r="AT20" s="1" t="s">
        <v>150</v>
      </c>
      <c r="AU20" s="1" t="s">
        <v>117</v>
      </c>
      <c r="AV20" s="1" t="s">
        <v>150</v>
      </c>
      <c r="AW20" s="1" t="s">
        <v>117</v>
      </c>
      <c r="AY20" s="27" t="b">
        <f aca="false">TRUE()</f>
        <v>1</v>
      </c>
      <c r="BQ20" s="1" t="s">
        <v>135</v>
      </c>
      <c r="BV20" s="27" t="b">
        <f aca="false">TRUE()</f>
        <v>1</v>
      </c>
      <c r="CD20" s="27" t="b">
        <f aca="false">TRUE()</f>
        <v>1</v>
      </c>
    </row>
    <row r="21" customFormat="false" ht="58.2" hidden="false" customHeight="false" outlineLevel="0" collapsed="false">
      <c r="B21" s="1" t="n">
        <v>1121051</v>
      </c>
      <c r="C21" s="1" t="s">
        <v>784</v>
      </c>
      <c r="D21" s="1" t="n">
        <f aca="false">DATEDIF($C$2, C21, "M")</f>
        <v>22</v>
      </c>
      <c r="E21" s="26" t="s">
        <v>785</v>
      </c>
      <c r="F21" s="31" t="b">
        <f aca="false">TRUE()</f>
        <v>1</v>
      </c>
      <c r="AM21" s="31" t="b">
        <f aca="false">TRUE()</f>
        <v>1</v>
      </c>
      <c r="AN21" s="31" t="b">
        <f aca="false">FALSE()</f>
        <v>0</v>
      </c>
      <c r="AO21" s="1" t="s">
        <v>107</v>
      </c>
      <c r="AP21" s="1" t="s">
        <v>160</v>
      </c>
      <c r="AQ21" s="1" t="s">
        <v>107</v>
      </c>
      <c r="AR21" s="1" t="s">
        <v>160</v>
      </c>
      <c r="AT21" s="1" t="s">
        <v>150</v>
      </c>
      <c r="AU21" s="1" t="s">
        <v>117</v>
      </c>
      <c r="AV21" s="1" t="s">
        <v>150</v>
      </c>
      <c r="AW21" s="1" t="s">
        <v>117</v>
      </c>
      <c r="AY21" s="27" t="b">
        <f aca="false">TRUE()</f>
        <v>1</v>
      </c>
      <c r="BC21" s="27" t="b">
        <f aca="false">TRUE()</f>
        <v>1</v>
      </c>
      <c r="BQ21" s="1" t="s">
        <v>135</v>
      </c>
      <c r="CD21" s="27" t="b">
        <f aca="false">TRUE()</f>
        <v>1</v>
      </c>
    </row>
    <row r="22" customFormat="false" ht="29.85" hidden="false" customHeight="false" outlineLevel="0" collapsed="false">
      <c r="B22" s="1" t="n">
        <v>1121051</v>
      </c>
      <c r="C22" s="1" t="s">
        <v>786</v>
      </c>
      <c r="D22" s="1" t="n">
        <f aca="false">DATEDIF($C$2, C22, "M")</f>
        <v>23</v>
      </c>
      <c r="E22" s="26" t="s">
        <v>787</v>
      </c>
      <c r="F22" s="31" t="b">
        <f aca="false">TRUE()</f>
        <v>1</v>
      </c>
      <c r="AS22" s="1" t="s">
        <v>570</v>
      </c>
      <c r="BT22" s="27" t="b">
        <f aca="false">TRUE()</f>
        <v>1</v>
      </c>
      <c r="BU22" s="1" t="s">
        <v>90</v>
      </c>
    </row>
    <row r="23" customFormat="false" ht="29.85" hidden="false" customHeight="false" outlineLevel="0" collapsed="false">
      <c r="B23" s="1" t="n">
        <v>1121051</v>
      </c>
      <c r="C23" s="1" t="s">
        <v>742</v>
      </c>
      <c r="D23" s="1" t="n">
        <f aca="false">DATEDIF($C$2, C23, "M")</f>
        <v>24</v>
      </c>
      <c r="E23" s="26" t="s">
        <v>788</v>
      </c>
      <c r="F23" s="31" t="b">
        <f aca="false">TRUE()</f>
        <v>1</v>
      </c>
      <c r="AT23" s="1" t="s">
        <v>150</v>
      </c>
      <c r="AU23" s="1" t="s">
        <v>117</v>
      </c>
      <c r="AV23" s="1" t="s">
        <v>150</v>
      </c>
      <c r="AW23" s="1" t="s">
        <v>117</v>
      </c>
      <c r="AY23" s="27" t="b">
        <f aca="false">TRUE()</f>
        <v>1</v>
      </c>
      <c r="BC23" s="27" t="b">
        <f aca="false">TRUE()</f>
        <v>1</v>
      </c>
    </row>
    <row r="24" customFormat="false" ht="67.5" hidden="false" customHeight="false" outlineLevel="0" collapsed="false">
      <c r="B24" s="1" t="n">
        <v>1121051</v>
      </c>
      <c r="C24" s="1" t="s">
        <v>789</v>
      </c>
      <c r="D24" s="1" t="n">
        <f aca="false">DATEDIF($C$2, C24, "M")</f>
        <v>24</v>
      </c>
      <c r="E24" s="26" t="s">
        <v>790</v>
      </c>
      <c r="F24" s="31" t="b">
        <f aca="false">TRUE()</f>
        <v>1</v>
      </c>
      <c r="Z24" s="1" t="s">
        <v>87</v>
      </c>
      <c r="AA24" s="1" t="s">
        <v>87</v>
      </c>
      <c r="AB24" s="1" t="s">
        <v>87</v>
      </c>
      <c r="AC24" s="1" t="s">
        <v>87</v>
      </c>
      <c r="AM24" s="31" t="b">
        <f aca="false">TRUE()</f>
        <v>1</v>
      </c>
      <c r="AN24" s="31" t="b">
        <f aca="false">FALSE()</f>
        <v>0</v>
      </c>
      <c r="AO24" s="1" t="s">
        <v>107</v>
      </c>
      <c r="AP24" s="1" t="s">
        <v>164</v>
      </c>
      <c r="AQ24" s="1" t="s">
        <v>107</v>
      </c>
      <c r="AR24" s="1" t="s">
        <v>160</v>
      </c>
      <c r="AS24" s="1" t="s">
        <v>168</v>
      </c>
      <c r="AT24" s="1" t="s">
        <v>150</v>
      </c>
      <c r="AU24" s="1" t="s">
        <v>117</v>
      </c>
      <c r="AV24" s="1" t="s">
        <v>150</v>
      </c>
      <c r="AW24" s="1" t="s">
        <v>117</v>
      </c>
      <c r="AY24" s="27" t="b">
        <f aca="false">TRUE()</f>
        <v>1</v>
      </c>
      <c r="BQ24" s="1" t="s">
        <v>135</v>
      </c>
      <c r="CD24" s="27" t="b">
        <f aca="false">TRUE()</f>
        <v>1</v>
      </c>
    </row>
    <row r="25" customFormat="false" ht="135.75" hidden="false" customHeight="false" outlineLevel="0" collapsed="false">
      <c r="B25" s="1" t="n">
        <v>1121051</v>
      </c>
      <c r="C25" s="1" t="s">
        <v>791</v>
      </c>
      <c r="D25" s="1" t="n">
        <f aca="false">DATEDIF($C$2, C25, "M")</f>
        <v>25</v>
      </c>
      <c r="E25" s="26" t="s">
        <v>792</v>
      </c>
      <c r="F25" s="31" t="b">
        <f aca="false">TRUE()</f>
        <v>1</v>
      </c>
      <c r="G25" s="27" t="b">
        <f aca="false">TRUE()</f>
        <v>1</v>
      </c>
      <c r="K25" s="27" t="b">
        <f aca="false">TRUE()</f>
        <v>1</v>
      </c>
      <c r="M25" s="31" t="b">
        <f aca="false">TRUE()</f>
        <v>1</v>
      </c>
      <c r="AM25" s="31" t="b">
        <f aca="false">TRUE()</f>
        <v>1</v>
      </c>
      <c r="AN25" s="31" t="b">
        <f aca="false">TRUE()</f>
        <v>1</v>
      </c>
      <c r="AO25" s="1" t="s">
        <v>96</v>
      </c>
      <c r="AP25" s="1" t="s">
        <v>94</v>
      </c>
      <c r="AQ25" s="1" t="s">
        <v>96</v>
      </c>
      <c r="AR25" s="1" t="s">
        <v>94</v>
      </c>
      <c r="AT25" s="1" t="s">
        <v>150</v>
      </c>
      <c r="AU25" s="1" t="s">
        <v>117</v>
      </c>
      <c r="AV25" s="1" t="s">
        <v>150</v>
      </c>
      <c r="AW25" s="1" t="s">
        <v>117</v>
      </c>
      <c r="AY25" s="27" t="b">
        <f aca="false">TRUE()</f>
        <v>1</v>
      </c>
      <c r="BF25" s="27" t="b">
        <f aca="false">TRUE()</f>
        <v>1</v>
      </c>
      <c r="BQ25" s="1" t="s">
        <v>135</v>
      </c>
      <c r="BS25" s="27" t="b">
        <f aca="false">TRUE()</f>
        <v>1</v>
      </c>
    </row>
    <row r="26" customFormat="false" ht="86.55" hidden="false" customHeight="false" outlineLevel="0" collapsed="false">
      <c r="B26" s="1" t="n">
        <v>1121051</v>
      </c>
      <c r="C26" s="1" t="s">
        <v>793</v>
      </c>
      <c r="D26" s="1" t="n">
        <f aca="false">DATEDIF($C$2, C26, "M")</f>
        <v>26</v>
      </c>
      <c r="E26" s="26" t="s">
        <v>794</v>
      </c>
      <c r="F26" s="31" t="b">
        <f aca="false">TRUE()</f>
        <v>1</v>
      </c>
      <c r="Z26" s="1" t="s">
        <v>128</v>
      </c>
      <c r="AA26" s="1" t="s">
        <v>128</v>
      </c>
      <c r="AB26" s="1" t="s">
        <v>128</v>
      </c>
      <c r="AC26" s="1" t="s">
        <v>128</v>
      </c>
      <c r="AM26" s="31" t="b">
        <f aca="false">TRUE()</f>
        <v>1</v>
      </c>
      <c r="AN26" s="31" t="b">
        <f aca="false">TRUE()</f>
        <v>1</v>
      </c>
      <c r="AO26" s="1" t="s">
        <v>122</v>
      </c>
      <c r="AP26" s="1" t="s">
        <v>97</v>
      </c>
      <c r="AQ26" s="1" t="s">
        <v>122</v>
      </c>
      <c r="AR26" s="1" t="s">
        <v>164</v>
      </c>
      <c r="AT26" s="1" t="s">
        <v>150</v>
      </c>
      <c r="AU26" s="1" t="s">
        <v>117</v>
      </c>
      <c r="AV26" s="1" t="s">
        <v>150</v>
      </c>
      <c r="AW26" s="1" t="s">
        <v>117</v>
      </c>
      <c r="AY26" s="27" t="b">
        <f aca="false">TRUE()</f>
        <v>1</v>
      </c>
      <c r="BQ26" s="1" t="s">
        <v>135</v>
      </c>
      <c r="BR26" s="1" t="s">
        <v>135</v>
      </c>
      <c r="BY26" s="27" t="b">
        <f aca="false">TRUE()</f>
        <v>1</v>
      </c>
      <c r="BZ26" s="27" t="b">
        <f aca="false">TRUE()</f>
        <v>1</v>
      </c>
    </row>
    <row r="27" customFormat="false" ht="86.55" hidden="false" customHeight="false" outlineLevel="0" collapsed="false">
      <c r="B27" s="1" t="n">
        <v>1121051</v>
      </c>
      <c r="C27" s="1" t="s">
        <v>795</v>
      </c>
      <c r="D27" s="1" t="n">
        <f aca="false">DATEDIF($C$2, C27, "M")</f>
        <v>27</v>
      </c>
      <c r="E27" s="26" t="s">
        <v>796</v>
      </c>
      <c r="F27" s="31" t="b">
        <f aca="false">TRUE()</f>
        <v>1</v>
      </c>
      <c r="Z27" s="1" t="s">
        <v>128</v>
      </c>
      <c r="AA27" s="1" t="s">
        <v>128</v>
      </c>
      <c r="AB27" s="1" t="s">
        <v>128</v>
      </c>
      <c r="AC27" s="1" t="s">
        <v>128</v>
      </c>
      <c r="AM27" s="31" t="b">
        <f aca="false">FALSE()</f>
        <v>0</v>
      </c>
      <c r="AN27" s="31" t="b">
        <f aca="false">FALSE()</f>
        <v>0</v>
      </c>
      <c r="AO27" s="1" t="s">
        <v>122</v>
      </c>
      <c r="AP27" s="1" t="s">
        <v>97</v>
      </c>
      <c r="AQ27" s="1" t="s">
        <v>122</v>
      </c>
      <c r="AR27" s="1" t="s">
        <v>164</v>
      </c>
      <c r="AS27" s="1" t="s">
        <v>102</v>
      </c>
      <c r="AT27" s="1" t="s">
        <v>150</v>
      </c>
      <c r="AU27" s="1" t="s">
        <v>117</v>
      </c>
      <c r="AV27" s="1" t="s">
        <v>133</v>
      </c>
      <c r="AW27" s="1" t="s">
        <v>117</v>
      </c>
      <c r="AX27" s="27" t="b">
        <f aca="false">TRUE()</f>
        <v>1</v>
      </c>
      <c r="AY27" s="27" t="b">
        <f aca="false">TRUE()</f>
        <v>1</v>
      </c>
      <c r="BQ27" s="1" t="s">
        <v>135</v>
      </c>
      <c r="BR27" s="1" t="s">
        <v>119</v>
      </c>
    </row>
    <row r="28" customFormat="false" ht="84.75" hidden="false" customHeight="false" outlineLevel="0" collapsed="false">
      <c r="B28" s="1" t="n">
        <v>1121051</v>
      </c>
      <c r="C28" s="1" t="s">
        <v>797</v>
      </c>
      <c r="D28" s="1" t="n">
        <f aca="false">DATEDIF($C$2, C28, "M")</f>
        <v>30</v>
      </c>
      <c r="E28" s="26" t="s">
        <v>798</v>
      </c>
      <c r="F28" s="31" t="b">
        <f aca="false">TRUE()</f>
        <v>1</v>
      </c>
      <c r="Z28" s="1" t="s">
        <v>87</v>
      </c>
      <c r="AA28" s="1" t="s">
        <v>87</v>
      </c>
      <c r="AB28" s="1" t="s">
        <v>87</v>
      </c>
      <c r="AC28" s="1" t="s">
        <v>87</v>
      </c>
      <c r="AM28" s="31" t="b">
        <f aca="false">FALSE()</f>
        <v>0</v>
      </c>
      <c r="AN28" s="31" t="b">
        <f aca="false">FALSE()</f>
        <v>0</v>
      </c>
      <c r="AO28" s="1" t="s">
        <v>122</v>
      </c>
      <c r="AP28" s="1" t="s">
        <v>97</v>
      </c>
      <c r="AQ28" s="1" t="s">
        <v>122</v>
      </c>
      <c r="AR28" s="1" t="s">
        <v>164</v>
      </c>
      <c r="AS28" s="1" t="s">
        <v>168</v>
      </c>
      <c r="AT28" s="1" t="s">
        <v>150</v>
      </c>
      <c r="AU28" s="1" t="s">
        <v>117</v>
      </c>
      <c r="AV28" s="1" t="s">
        <v>150</v>
      </c>
      <c r="AW28" s="1" t="s">
        <v>117</v>
      </c>
      <c r="AX28" s="27" t="b">
        <f aca="false">FALSE()</f>
        <v>0</v>
      </c>
      <c r="AY28" s="27" t="b">
        <f aca="false">TRUE()</f>
        <v>1</v>
      </c>
      <c r="BQ28" s="1" t="s">
        <v>103</v>
      </c>
      <c r="BY28" s="27" t="b">
        <f aca="false">TRUE()</f>
        <v>1</v>
      </c>
      <c r="BZ28" s="27" t="b">
        <f aca="false">TRUE()</f>
        <v>1</v>
      </c>
    </row>
    <row r="29" customFormat="false" ht="102" hidden="false" customHeight="false" outlineLevel="0" collapsed="false">
      <c r="B29" s="1" t="n">
        <v>1121051</v>
      </c>
      <c r="C29" s="1" t="s">
        <v>799</v>
      </c>
      <c r="D29" s="1" t="n">
        <f aca="false">DATEDIF($C$2, C29, "M")</f>
        <v>30</v>
      </c>
      <c r="E29" s="26" t="s">
        <v>800</v>
      </c>
      <c r="F29" s="27" t="b">
        <f aca="false">TRUE()</f>
        <v>1</v>
      </c>
      <c r="AM29" s="27" t="b">
        <f aca="false">FALSE()</f>
        <v>0</v>
      </c>
      <c r="AN29" s="27" t="b">
        <f aca="false">FALSE()</f>
        <v>0</v>
      </c>
      <c r="AO29" s="1" t="s">
        <v>122</v>
      </c>
      <c r="AP29" s="1" t="s">
        <v>97</v>
      </c>
      <c r="AQ29" s="1" t="s">
        <v>122</v>
      </c>
      <c r="AR29" s="1" t="s">
        <v>164</v>
      </c>
      <c r="AS29" s="1" t="s">
        <v>168</v>
      </c>
      <c r="AT29" s="1" t="s">
        <v>133</v>
      </c>
      <c r="AU29" s="1" t="s">
        <v>117</v>
      </c>
      <c r="AV29" s="1" t="s">
        <v>133</v>
      </c>
      <c r="AW29" s="1" t="s">
        <v>117</v>
      </c>
      <c r="AX29" s="27" t="b">
        <f aca="false">TRUE()</f>
        <v>1</v>
      </c>
      <c r="AY29" s="27" t="b">
        <f aca="false">FALSE()</f>
        <v>0</v>
      </c>
      <c r="BQ29" s="1" t="s">
        <v>103</v>
      </c>
      <c r="BY29" s="27" t="b">
        <f aca="false">TRUE()</f>
        <v>1</v>
      </c>
      <c r="BZ29" s="27" t="b">
        <f aca="false">TRUE()</f>
        <v>1</v>
      </c>
    </row>
    <row r="30" customFormat="false" ht="15.75" hidden="false" customHeight="false" outlineLevel="0" collapsed="false">
      <c r="B30" s="1" t="n">
        <v>1121051</v>
      </c>
      <c r="C30" s="1" t="s">
        <v>801</v>
      </c>
      <c r="D30" s="1" t="n">
        <f aca="false">DATEDIF($C$2, C30, "M")</f>
        <v>30</v>
      </c>
      <c r="E30" s="1" t="s">
        <v>802</v>
      </c>
      <c r="F30" s="27" t="b">
        <f aca="false">TRUE()</f>
        <v>1</v>
      </c>
    </row>
    <row r="31" customFormat="false" ht="84.75" hidden="false" customHeight="false" outlineLevel="0" collapsed="false">
      <c r="B31" s="1" t="n">
        <v>1121051</v>
      </c>
      <c r="C31" s="1" t="s">
        <v>803</v>
      </c>
      <c r="D31" s="1" t="n">
        <f aca="false">DATEDIF($C$2, C31, "M")</f>
        <v>31</v>
      </c>
      <c r="E31" s="26" t="s">
        <v>804</v>
      </c>
      <c r="F31" s="27" t="b">
        <f aca="false">TRUE()</f>
        <v>1</v>
      </c>
      <c r="G31" s="27" t="b">
        <f aca="false">TRUE()</f>
        <v>1</v>
      </c>
      <c r="H31" s="27" t="b">
        <f aca="false">TRUE()</f>
        <v>1</v>
      </c>
      <c r="I31" s="1" t="b">
        <f aca="false">TRUE()</f>
        <v>1</v>
      </c>
      <c r="Z31" s="1" t="s">
        <v>128</v>
      </c>
      <c r="AA31" s="1" t="s">
        <v>128</v>
      </c>
      <c r="AB31" s="1" t="s">
        <v>87</v>
      </c>
      <c r="AC31" s="1" t="s">
        <v>87</v>
      </c>
      <c r="BQ31" s="1" t="s">
        <v>103</v>
      </c>
      <c r="BW31" s="1" t="s">
        <v>224</v>
      </c>
      <c r="BX31" s="1" t="s">
        <v>224</v>
      </c>
      <c r="CF31" s="27" t="b">
        <f aca="false">TRUE()</f>
        <v>1</v>
      </c>
      <c r="CG31" s="27" t="b">
        <f aca="false">TRUE()</f>
        <v>1</v>
      </c>
    </row>
    <row r="32" customFormat="false" ht="118.5" hidden="false" customHeight="false" outlineLevel="0" collapsed="false">
      <c r="B32" s="1" t="n">
        <v>1121051</v>
      </c>
      <c r="C32" s="1" t="s">
        <v>805</v>
      </c>
      <c r="D32" s="1" t="n">
        <f aca="false">DATEDIF($C$2, C32, "M")</f>
        <v>31</v>
      </c>
      <c r="E32" s="26" t="s">
        <v>806</v>
      </c>
      <c r="F32" s="1" t="b">
        <f aca="false">TRUE()</f>
        <v>1</v>
      </c>
      <c r="BW32" s="1" t="s">
        <v>224</v>
      </c>
      <c r="BX32" s="1" t="s">
        <v>224</v>
      </c>
    </row>
    <row r="33" customFormat="false" ht="84.75" hidden="false" customHeight="false" outlineLevel="0" collapsed="false">
      <c r="B33" s="1" t="n">
        <v>1121051</v>
      </c>
      <c r="C33" s="1" t="s">
        <v>807</v>
      </c>
      <c r="D33" s="1" t="n">
        <f aca="false">DATEDIF($C$2, C33, "M")</f>
        <v>33</v>
      </c>
      <c r="E33" s="26" t="s">
        <v>808</v>
      </c>
      <c r="F33" s="1" t="b">
        <f aca="false">TRUE()</f>
        <v>1</v>
      </c>
      <c r="BW33" s="1" t="s">
        <v>224</v>
      </c>
      <c r="BX33" s="1" t="s">
        <v>224</v>
      </c>
      <c r="CH33" s="27" t="b">
        <f aca="false">TRUE()</f>
        <v>1</v>
      </c>
      <c r="CI33" s="27" t="b">
        <f aca="false">TRUE()</f>
        <v>1</v>
      </c>
    </row>
    <row r="34" customFormat="false" ht="118.5" hidden="false" customHeight="false" outlineLevel="0" collapsed="false">
      <c r="B34" s="1" t="n">
        <v>1121051</v>
      </c>
      <c r="C34" s="1" t="s">
        <v>809</v>
      </c>
      <c r="D34" s="1" t="n">
        <f aca="false">DATEDIF($C$2, C34, "M")</f>
        <v>36</v>
      </c>
      <c r="E34" s="26" t="s">
        <v>810</v>
      </c>
      <c r="F34" s="1" t="b">
        <f aca="false">TRUE()</f>
        <v>1</v>
      </c>
      <c r="BW34" s="1" t="s">
        <v>224</v>
      </c>
      <c r="BX34" s="1" t="s">
        <v>224</v>
      </c>
      <c r="CH34" s="27" t="b">
        <f aca="false">TRUE()</f>
        <v>1</v>
      </c>
      <c r="CI34" s="27" t="b">
        <f aca="false">TRUE()</f>
        <v>1</v>
      </c>
    </row>
    <row r="35" customFormat="false" ht="102" hidden="false" customHeight="false" outlineLevel="0" collapsed="false">
      <c r="B35" s="1" t="n">
        <v>1121051</v>
      </c>
      <c r="C35" s="1" t="s">
        <v>580</v>
      </c>
      <c r="D35" s="1" t="n">
        <f aca="false">DATEDIF($C$2, C35, "M")</f>
        <v>39</v>
      </c>
      <c r="E35" s="26" t="s">
        <v>811</v>
      </c>
      <c r="F35" s="1" t="b">
        <f aca="false">TRUE()</f>
        <v>1</v>
      </c>
      <c r="BR35" s="1" t="s">
        <v>103</v>
      </c>
      <c r="BW35" s="1" t="s">
        <v>224</v>
      </c>
      <c r="BX35" s="1" t="s">
        <v>224</v>
      </c>
    </row>
  </sheetData>
  <dataValidations count="29">
    <dataValidation allowBlank="true" errorStyle="stop" operator="between" showDropDown="false" showErrorMessage="true" showInputMessage="true" sqref="AD2:AD1035" type="list">
      <formula1>list!$B$25:$E$25</formula1>
      <formula2>0</formula2>
    </dataValidation>
    <dataValidation allowBlank="true" errorStyle="stop" operator="between" showDropDown="false" showErrorMessage="true" showInputMessage="true" sqref="BY2:CI1035" type="list">
      <formula1>list!$B$72:$C$72</formula1>
      <formula2>0</formula2>
    </dataValidation>
    <dataValidation allowBlank="true" errorStyle="stop" operator="between" showDropDown="false" showErrorMessage="true" showInputMessage="true" sqref="BW2:BX1035" type="list">
      <formula1>list!$B$70:$F$70</formula1>
      <formula2>0</formula2>
    </dataValidation>
    <dataValidation allowBlank="true" errorStyle="stop" operator="between" showDropDown="false" showErrorMessage="true" showInputMessage="true" sqref="BV2:BV1035" type="list">
      <formula1>list!$B$69:$C$69</formula1>
      <formula2>0</formula2>
    </dataValidation>
    <dataValidation allowBlank="true" errorStyle="stop" operator="between" showDropDown="false" showErrorMessage="true" showInputMessage="true" sqref="BU2:BU1035" type="list">
      <formula1>list!$B$68:$G$68</formula1>
      <formula2>0</formula2>
    </dataValidation>
    <dataValidation allowBlank="true" errorStyle="stop" operator="between" showDropDown="false" showErrorMessage="true" showInputMessage="true" sqref="BR2:BR1035" type="list">
      <formula1>list!$B$65:$F$65</formula1>
      <formula2>0</formula2>
    </dataValidation>
    <dataValidation allowBlank="true" errorStyle="stop" operator="between" showDropDown="false" showErrorMessage="true" showInputMessage="true" sqref="BQ2:BQ1035" type="list">
      <formula1>list!$B$64:$E$64</formula1>
      <formula2>0</formula2>
    </dataValidation>
    <dataValidation allowBlank="true" errorStyle="stop" operator="between" showDropDown="false" showErrorMessage="true" showInputMessage="true" sqref="BB2:BB1035" type="list">
      <formula1>list!$B$49:$P$49</formula1>
      <formula2>0</formula2>
    </dataValidation>
    <dataValidation allowBlank="true" errorStyle="stop" operator="between" showDropDown="false" showErrorMessage="true" showInputMessage="true" sqref="AX2:BA1035 BC2:BP1035 BS2:BT1035" type="list">
      <formula1>list!$B$50:$C$50</formula1>
      <formula2>0</formula2>
    </dataValidation>
    <dataValidation allowBlank="true" errorStyle="stop" operator="between" showDropDown="false" showErrorMessage="true" showInputMessage="true" sqref="AU2:AU1035 AW2:AW1035" type="list">
      <formula1>list!$B$42:$Z$42</formula1>
      <formula2>0</formula2>
    </dataValidation>
    <dataValidation allowBlank="true" errorStyle="stop" operator="between" showDropDown="false" showErrorMessage="true" showInputMessage="true" sqref="AM2:AN1035" type="list">
      <formula1>list!$B$34:$C$34</formula1>
      <formula2>0</formula2>
    </dataValidation>
    <dataValidation allowBlank="true" errorStyle="stop" operator="between" showDropDown="false" showErrorMessage="true" showInputMessage="true" sqref="AL2:AL1035" type="list">
      <formula1>list!$B$33:$H$33</formula1>
      <formula2>0</formula2>
    </dataValidation>
    <dataValidation allowBlank="true" errorStyle="stop" operator="between" showDropDown="false" showErrorMessage="true" showInputMessage="true" sqref="AF2:AK1035" type="list">
      <formula1>list!$B$27:$C$27</formula1>
      <formula2>0</formula2>
    </dataValidation>
    <dataValidation allowBlank="true" errorStyle="stop" operator="between" showDropDown="false" showErrorMessage="true" showInputMessage="true" sqref="AE2:AE1035" type="list">
      <formula1>list!$B$26:$E$26</formula1>
      <formula2>0</formula2>
    </dataValidation>
    <dataValidation allowBlank="true" errorStyle="stop" operator="between" showDropDown="false" showErrorMessage="true" showInputMessage="true" sqref="Z2:AC1035" type="list">
      <formula1>list!$B$21:$M$21</formula1>
      <formula2>0</formula2>
    </dataValidation>
    <dataValidation allowBlank="true" errorStyle="stop" operator="between" showDropDown="false" showErrorMessage="true" showInputMessage="true" sqref="V2:W1035" type="list">
      <formula1>list!$B$17:$J$17</formula1>
      <formula2>0</formula2>
    </dataValidation>
    <dataValidation allowBlank="true" errorStyle="stop" operator="between" showDropDown="false" showErrorMessage="true" showInputMessage="true" sqref="G2:U1035" type="list">
      <formula1>list!$B$2:$C$2</formula1>
      <formula2>0</formula2>
    </dataValidation>
    <dataValidation allowBlank="true" errorStyle="stop" operator="between" showDropDown="false" showErrorMessage="true" showInputMessage="true" sqref="AO2:AO1035 AQ2:AQ1035" type="list">
      <formula1>list!$B$36:$G$36</formula1>
      <formula2>0</formula2>
    </dataValidation>
    <dataValidation allowBlank="true" errorStyle="stop" operator="between" showDropDown="false" showErrorMessage="true" showInputMessage="true" sqref="AT2:AT1035 AV2:AV1035" type="list">
      <formula1>list!$B$41:$F$41</formula1>
      <formula2>0</formula2>
    </dataValidation>
    <dataValidation allowBlank="true" errorStyle="stop" operator="between" showDropDown="false" showErrorMessage="true" showInputMessage="true" sqref="AS2:AS109" type="list">
      <formula1>list!$B$40:$I$40</formula1>
      <formula2>0</formula2>
    </dataValidation>
    <dataValidation allowBlank="true" errorStyle="stop" operator="between" showDropDown="false" showErrorMessage="true" showInputMessage="true" sqref="X2:X101" type="list">
      <formula1>list!$B$19:$D$19</formula1>
      <formula2>0</formula2>
    </dataValidation>
    <dataValidation allowBlank="true" errorStyle="stop" operator="between" showDropDown="false" showErrorMessage="true" showInputMessage="true" sqref="AS122:AS1035" type="list">
      <formula1>list!$B$40:$G$40</formula1>
      <formula2>0</formula2>
    </dataValidation>
    <dataValidation allowBlank="true" errorStyle="stop" operator="between" showDropDown="false" showErrorMessage="true" showInputMessage="true" sqref="Y154:Y1035" type="list">
      <formula1>list!$B$20:$H$20</formula1>
      <formula2>0</formula2>
    </dataValidation>
    <dataValidation allowBlank="true" errorStyle="stop" operator="between" showDropDown="false" showErrorMessage="true" showInputMessage="true" sqref="Y3:Y153" type="list">
      <formula1>list!$B$20:$I$20</formula1>
      <formula2>0</formula2>
    </dataValidation>
    <dataValidation allowBlank="true" errorStyle="stop" operator="between" showDropDown="false" showErrorMessage="true" showInputMessage="true" sqref="AP2:AP95 AR2:AR98" type="list">
      <formula1>list!$B$37:$T$37</formula1>
      <formula2>0</formula2>
    </dataValidation>
    <dataValidation allowBlank="true" errorStyle="stop" operator="between" showDropDown="false" showErrorMessage="true" showInputMessage="true" sqref="AR99:AR1035 AP101:AP1035" type="list">
      <formula1>list!$B$37:$O$37</formula1>
      <formula2>0</formula2>
    </dataValidation>
    <dataValidation allowBlank="true" errorStyle="stop" operator="between" showDropDown="false" showErrorMessage="true" showInputMessage="true" sqref="X102:X1035" type="list">
      <formula1>list!$B$19:$C$19</formula1>
      <formula2>0</formula2>
    </dataValidation>
    <dataValidation allowBlank="true" errorStyle="stop" operator="between" showDropDown="false" showErrorMessage="true" showInputMessage="true" sqref="AP96:AP100" type="list">
      <formula1>list!$B$37:$P$37</formula1>
      <formula2>0</formula2>
    </dataValidation>
    <dataValidation allowBlank="true" errorStyle="stop" operator="between" showDropDown="false" showErrorMessage="true" showInputMessage="true" sqref="Y2" type="list">
      <formula1>list!$B$20:$xfd$20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33"/>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7" ySplit="1" topLeftCell="BI20" activePane="bottomRight" state="frozen"/>
      <selection pane="topLeft" activeCell="A1" activeCellId="0" sqref="A1"/>
      <selection pane="topRight" activeCell="BI1" activeCellId="0" sqref="BI1"/>
      <selection pane="bottomLeft" activeCell="A20" activeCellId="0" sqref="A20"/>
      <selection pane="bottomRight" activeCell="D2" activeCellId="0" sqref="D2"/>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67.17"/>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86.75" hidden="false" customHeight="false" outlineLevel="0" collapsed="false">
      <c r="B2" s="1" t="n">
        <v>11199821</v>
      </c>
      <c r="C2" s="1" t="s">
        <v>812</v>
      </c>
      <c r="D2" s="1" t="n">
        <f aca="false">DATEDIF($C$2, C2, "M")</f>
        <v>0</v>
      </c>
      <c r="E2" s="26" t="s">
        <v>813</v>
      </c>
      <c r="F2" s="27" t="b">
        <f aca="false">TRUE()</f>
        <v>1</v>
      </c>
      <c r="X2" s="1" t="b">
        <f aca="false">FALSE()</f>
        <v>0</v>
      </c>
      <c r="Z2" s="1" t="s">
        <v>115</v>
      </c>
      <c r="AB2" s="1" t="s">
        <v>115</v>
      </c>
      <c r="AC2" s="1" t="s">
        <v>87</v>
      </c>
      <c r="AD2" s="1" t="s">
        <v>182</v>
      </c>
      <c r="AE2" s="1" t="s">
        <v>113</v>
      </c>
    </row>
    <row r="3" customFormat="false" ht="135.75" hidden="false" customHeight="false" outlineLevel="0" collapsed="false">
      <c r="B3" s="1" t="n">
        <v>11199821</v>
      </c>
      <c r="C3" s="1" t="s">
        <v>814</v>
      </c>
      <c r="D3" s="1" t="n">
        <f aca="false">DATEDIF($C$2, C3, "M")</f>
        <v>0</v>
      </c>
      <c r="E3" s="26" t="s">
        <v>815</v>
      </c>
      <c r="F3" s="27" t="b">
        <f aca="false">TRUE()</f>
        <v>1</v>
      </c>
    </row>
    <row r="4" customFormat="false" ht="51" hidden="false" customHeight="false" outlineLevel="0" collapsed="false">
      <c r="B4" s="1" t="n">
        <v>11199821</v>
      </c>
      <c r="C4" s="1" t="s">
        <v>816</v>
      </c>
      <c r="D4" s="1" t="n">
        <f aca="false">DATEDIF($C$2, C4, "M")</f>
        <v>0</v>
      </c>
      <c r="E4" s="26" t="s">
        <v>817</v>
      </c>
      <c r="F4" s="27" t="b">
        <f aca="false">TRUE()</f>
        <v>1</v>
      </c>
    </row>
    <row r="5" customFormat="false" ht="15" hidden="false" customHeight="false" outlineLevel="0" collapsed="false">
      <c r="B5" s="1" t="n">
        <v>11199821</v>
      </c>
      <c r="C5" s="1" t="s">
        <v>818</v>
      </c>
      <c r="D5" s="1" t="n">
        <f aca="false">DATEDIF($C$2, C5, "M")</f>
        <v>1</v>
      </c>
      <c r="E5" s="1" t="s">
        <v>291</v>
      </c>
      <c r="F5" s="27" t="b">
        <f aca="false">TRUE()</f>
        <v>1</v>
      </c>
      <c r="H5" s="27" t="b">
        <f aca="false">TRUE()</f>
        <v>1</v>
      </c>
      <c r="I5" s="1" t="b">
        <f aca="false">TRUE()</f>
        <v>1</v>
      </c>
    </row>
    <row r="6" customFormat="false" ht="15" hidden="false" customHeight="false" outlineLevel="0" collapsed="false">
      <c r="B6" s="1" t="n">
        <v>11199821</v>
      </c>
      <c r="C6" s="1" t="s">
        <v>819</v>
      </c>
      <c r="D6" s="1" t="n">
        <f aca="false">DATEDIF($C$2, C6, "M")</f>
        <v>5</v>
      </c>
      <c r="E6" s="1" t="s">
        <v>802</v>
      </c>
      <c r="F6" s="1" t="b">
        <f aca="false">TRUE()</f>
        <v>1</v>
      </c>
    </row>
    <row r="7" customFormat="false" ht="51" hidden="false" customHeight="false" outlineLevel="0" collapsed="false">
      <c r="B7" s="1" t="n">
        <v>11199821</v>
      </c>
      <c r="C7" s="1" t="s">
        <v>820</v>
      </c>
      <c r="D7" s="1" t="n">
        <f aca="false">DATEDIF($C$2, C7, "M")</f>
        <v>5</v>
      </c>
      <c r="E7" s="26" t="s">
        <v>821</v>
      </c>
      <c r="F7" s="1" t="b">
        <f aca="false">TRUE()</f>
        <v>1</v>
      </c>
      <c r="G7" s="27" t="b">
        <f aca="false">TRUE()</f>
        <v>1</v>
      </c>
      <c r="AN7" s="8"/>
    </row>
    <row r="8" customFormat="false" ht="67.5" hidden="false" customHeight="false" outlineLevel="0" collapsed="false">
      <c r="B8" s="1" t="n">
        <v>11199821</v>
      </c>
      <c r="C8" s="1" t="s">
        <v>822</v>
      </c>
      <c r="D8" s="1" t="n">
        <f aca="false">DATEDIF($C$2, C8, "M")</f>
        <v>6</v>
      </c>
      <c r="E8" s="26" t="s">
        <v>823</v>
      </c>
      <c r="F8" s="1" t="b">
        <f aca="false">TRUE()</f>
        <v>1</v>
      </c>
      <c r="T8" s="1" t="b">
        <f aca="false">TRUE()</f>
        <v>1</v>
      </c>
      <c r="Y8" s="1" t="s">
        <v>502</v>
      </c>
    </row>
    <row r="9" customFormat="false" ht="84.75" hidden="false" customHeight="false" outlineLevel="0" collapsed="false">
      <c r="B9" s="1" t="n">
        <v>11199821</v>
      </c>
      <c r="C9" s="1" t="s">
        <v>824</v>
      </c>
      <c r="D9" s="1" t="n">
        <f aca="false">DATEDIF($C$2, C9, "M")</f>
        <v>6</v>
      </c>
      <c r="E9" s="26" t="s">
        <v>825</v>
      </c>
      <c r="F9" s="1" t="b">
        <f aca="false">TRUE()</f>
        <v>1</v>
      </c>
      <c r="K9" s="1" t="b">
        <f aca="false">TRUE()</f>
        <v>1</v>
      </c>
      <c r="M9" s="27" t="b">
        <f aca="false">TRUE()</f>
        <v>1</v>
      </c>
      <c r="AS9" s="1" t="s">
        <v>451</v>
      </c>
      <c r="BV9" s="27" t="b">
        <f aca="false">TRUE()</f>
        <v>1</v>
      </c>
    </row>
    <row r="10" customFormat="false" ht="135.75" hidden="false" customHeight="false" outlineLevel="0" collapsed="false">
      <c r="B10" s="1" t="n">
        <v>11199821</v>
      </c>
      <c r="C10" s="1" t="s">
        <v>826</v>
      </c>
      <c r="D10" s="1" t="n">
        <f aca="false">DATEDIF($C$2, C10, "M")</f>
        <v>7</v>
      </c>
      <c r="E10" s="26" t="s">
        <v>827</v>
      </c>
      <c r="F10" s="1" t="b">
        <f aca="false">TRUE()</f>
        <v>1</v>
      </c>
      <c r="O10" s="1" t="b">
        <f aca="false">TRUE()</f>
        <v>1</v>
      </c>
      <c r="Y10" s="8" t="s">
        <v>828</v>
      </c>
      <c r="AO10" s="1" t="s">
        <v>96</v>
      </c>
      <c r="AP10" s="1" t="s">
        <v>152</v>
      </c>
      <c r="AQ10" s="1" t="s">
        <v>96</v>
      </c>
      <c r="AR10" s="1" t="s">
        <v>131</v>
      </c>
      <c r="AS10" s="26" t="s">
        <v>105</v>
      </c>
      <c r="BV10" s="27" t="b">
        <f aca="false">TRUE()</f>
        <v>1</v>
      </c>
    </row>
    <row r="11" customFormat="false" ht="84.75" hidden="false" customHeight="false" outlineLevel="0" collapsed="false">
      <c r="B11" s="1" t="n">
        <v>11199821</v>
      </c>
      <c r="C11" s="1" t="s">
        <v>829</v>
      </c>
      <c r="D11" s="1" t="n">
        <f aca="false">DATEDIF($C$2, C11, "M")</f>
        <v>9</v>
      </c>
      <c r="E11" s="26" t="s">
        <v>830</v>
      </c>
      <c r="F11" s="1" t="b">
        <f aca="false">TRUE()</f>
        <v>1</v>
      </c>
      <c r="H11" s="27" t="b">
        <f aca="false">TRUE()</f>
        <v>1</v>
      </c>
      <c r="O11" s="27" t="b">
        <f aca="false">TRUE()</f>
        <v>1</v>
      </c>
      <c r="AM11" s="27" t="b">
        <f aca="false">TRUE()</f>
        <v>1</v>
      </c>
      <c r="AN11" s="27" t="b">
        <f aca="false">FALSE()</f>
        <v>0</v>
      </c>
      <c r="AO11" s="1" t="s">
        <v>96</v>
      </c>
      <c r="AP11" s="1" t="s">
        <v>131</v>
      </c>
      <c r="AQ11" s="1" t="s">
        <v>96</v>
      </c>
      <c r="AR11" s="1" t="s">
        <v>131</v>
      </c>
      <c r="AS11" s="1" t="s">
        <v>168</v>
      </c>
      <c r="BQ11" s="1" t="s">
        <v>119</v>
      </c>
    </row>
    <row r="12" customFormat="false" ht="135.75" hidden="false" customHeight="false" outlineLevel="0" collapsed="false">
      <c r="B12" s="1" t="n">
        <v>11199821</v>
      </c>
      <c r="C12" s="1" t="s">
        <v>533</v>
      </c>
      <c r="D12" s="1" t="n">
        <f aca="false">DATEDIF($C$2, C12, "M")</f>
        <v>10</v>
      </c>
      <c r="E12" s="26" t="s">
        <v>831</v>
      </c>
      <c r="F12" s="1" t="b">
        <f aca="false">TRUE()</f>
        <v>1</v>
      </c>
      <c r="AM12" s="1" t="b">
        <f aca="false">TRUE()</f>
        <v>1</v>
      </c>
      <c r="AN12" s="27" t="b">
        <f aca="false">TRUE()</f>
        <v>1</v>
      </c>
      <c r="AO12" s="1" t="s">
        <v>96</v>
      </c>
      <c r="AP12" s="1" t="s">
        <v>152</v>
      </c>
      <c r="AQ12" s="1" t="s">
        <v>96</v>
      </c>
      <c r="AR12" s="1" t="s">
        <v>152</v>
      </c>
      <c r="BQ12" s="1" t="s">
        <v>135</v>
      </c>
    </row>
    <row r="13" customFormat="false" ht="84.75" hidden="false" customHeight="false" outlineLevel="0" collapsed="false">
      <c r="B13" s="1" t="n">
        <v>11199821</v>
      </c>
      <c r="C13" s="1" t="s">
        <v>832</v>
      </c>
      <c r="D13" s="1" t="n">
        <f aca="false">DATEDIF($C$2, C13, "M")</f>
        <v>12</v>
      </c>
      <c r="E13" s="26" t="s">
        <v>833</v>
      </c>
      <c r="F13" s="1" t="b">
        <f aca="false">TRUE()</f>
        <v>1</v>
      </c>
      <c r="AM13" s="1" t="b">
        <f aca="false">TRUE()</f>
        <v>1</v>
      </c>
      <c r="AN13" s="27" t="b">
        <f aca="false">TRUE()</f>
        <v>1</v>
      </c>
      <c r="AO13" s="1" t="s">
        <v>96</v>
      </c>
      <c r="AP13" s="1" t="s">
        <v>164</v>
      </c>
      <c r="AQ13" s="1" t="s">
        <v>96</v>
      </c>
      <c r="AR13" s="1" t="s">
        <v>94</v>
      </c>
      <c r="BQ13" s="1" t="s">
        <v>103</v>
      </c>
    </row>
    <row r="14" customFormat="false" ht="169.5" hidden="false" customHeight="false" outlineLevel="0" collapsed="false">
      <c r="B14" s="1" t="n">
        <v>11199821</v>
      </c>
      <c r="C14" s="1" t="s">
        <v>540</v>
      </c>
      <c r="D14" s="1" t="n">
        <f aca="false">DATEDIF($C$2, C14, "M")</f>
        <v>13</v>
      </c>
      <c r="E14" s="26" t="s">
        <v>834</v>
      </c>
      <c r="F14" s="1" t="b">
        <f aca="false">TRUE()</f>
        <v>1</v>
      </c>
      <c r="S14" s="1" t="b">
        <f aca="false">TRUE()</f>
        <v>1</v>
      </c>
      <c r="AM14" s="27" t="b">
        <f aca="false">TRUE()</f>
        <v>1</v>
      </c>
      <c r="AN14" s="27" t="b">
        <f aca="false">TRUE()</f>
        <v>1</v>
      </c>
      <c r="AO14" s="1" t="s">
        <v>107</v>
      </c>
      <c r="AP14" s="1" t="s">
        <v>160</v>
      </c>
      <c r="AQ14" s="1" t="s">
        <v>96</v>
      </c>
      <c r="AR14" s="1" t="s">
        <v>97</v>
      </c>
      <c r="BQ14" s="1" t="s">
        <v>135</v>
      </c>
      <c r="CD14" s="27" t="b">
        <f aca="false">TRUE()</f>
        <v>1</v>
      </c>
    </row>
    <row r="15" customFormat="false" ht="118.5" hidden="false" customHeight="false" outlineLevel="0" collapsed="false">
      <c r="B15" s="1" t="n">
        <v>11199821</v>
      </c>
      <c r="C15" s="1" t="s">
        <v>835</v>
      </c>
      <c r="D15" s="1" t="n">
        <f aca="false">DATEDIF($C$2, C15, "M")</f>
        <v>14</v>
      </c>
      <c r="E15" s="26" t="s">
        <v>836</v>
      </c>
      <c r="F15" s="31" t="b">
        <f aca="false">TRUE()</f>
        <v>1</v>
      </c>
      <c r="S15" s="31" t="b">
        <f aca="false">TRUE()</f>
        <v>1</v>
      </c>
      <c r="AM15" s="27" t="b">
        <f aca="false">TRUE()</f>
        <v>1</v>
      </c>
      <c r="AN15" s="27" t="b">
        <f aca="false">FALSE()</f>
        <v>0</v>
      </c>
      <c r="AO15" s="1" t="s">
        <v>96</v>
      </c>
      <c r="AP15" s="1" t="s">
        <v>97</v>
      </c>
      <c r="AQ15" s="1" t="s">
        <v>96</v>
      </c>
      <c r="AR15" s="1" t="s">
        <v>97</v>
      </c>
      <c r="BQ15" s="1" t="s">
        <v>103</v>
      </c>
      <c r="BV15" s="27" t="b">
        <f aca="false">TRUE()</f>
        <v>1</v>
      </c>
    </row>
    <row r="16" customFormat="false" ht="102" hidden="false" customHeight="false" outlineLevel="0" collapsed="false">
      <c r="B16" s="1" t="n">
        <v>11199821</v>
      </c>
      <c r="C16" s="1" t="s">
        <v>837</v>
      </c>
      <c r="D16" s="1" t="n">
        <f aca="false">DATEDIF($C$2, C16, "M")</f>
        <v>15</v>
      </c>
      <c r="E16" s="26" t="s">
        <v>838</v>
      </c>
      <c r="F16" s="31" t="b">
        <f aca="false">TRUE()</f>
        <v>1</v>
      </c>
      <c r="O16" s="31" t="b">
        <f aca="false">TRUE()</f>
        <v>1</v>
      </c>
      <c r="R16" s="27" t="b">
        <f aca="false">TRUE()</f>
        <v>1</v>
      </c>
      <c r="AM16" s="27" t="b">
        <f aca="false">FALSE()</f>
        <v>0</v>
      </c>
      <c r="AN16" s="27" t="b">
        <f aca="false">FALSE()</f>
        <v>0</v>
      </c>
      <c r="AO16" s="1" t="s">
        <v>96</v>
      </c>
      <c r="AP16" s="1" t="s">
        <v>97</v>
      </c>
      <c r="AQ16" s="1" t="s">
        <v>96</v>
      </c>
      <c r="AR16" s="1" t="s">
        <v>97</v>
      </c>
      <c r="AS16" s="1" t="s">
        <v>168</v>
      </c>
      <c r="BS16" s="27" t="b">
        <f aca="false">TRUE()</f>
        <v>1</v>
      </c>
    </row>
    <row r="17" customFormat="false" ht="67.5" hidden="false" customHeight="false" outlineLevel="0" collapsed="false">
      <c r="B17" s="1" t="n">
        <v>11199821</v>
      </c>
      <c r="C17" s="1" t="s">
        <v>839</v>
      </c>
      <c r="D17" s="1" t="n">
        <f aca="false">DATEDIF($C$2, C17, "M")</f>
        <v>16</v>
      </c>
      <c r="E17" s="26" t="s">
        <v>840</v>
      </c>
      <c r="F17" s="31" t="b">
        <f aca="false">TRUE()</f>
        <v>1</v>
      </c>
      <c r="O17" s="31" t="b">
        <f aca="false">TRUE()</f>
        <v>1</v>
      </c>
      <c r="AM17" s="27" t="b">
        <f aca="false">TRUE()</f>
        <v>1</v>
      </c>
      <c r="AN17" s="27" t="b">
        <f aca="false">TRUE()</f>
        <v>1</v>
      </c>
      <c r="AO17" s="1" t="s">
        <v>107</v>
      </c>
      <c r="AP17" s="1" t="s">
        <v>164</v>
      </c>
      <c r="AQ17" s="1" t="s">
        <v>107</v>
      </c>
      <c r="AR17" s="1" t="s">
        <v>164</v>
      </c>
      <c r="AS17" s="26" t="s">
        <v>105</v>
      </c>
      <c r="BQ17" s="1" t="s">
        <v>119</v>
      </c>
      <c r="CA17" s="27" t="b">
        <f aca="false">TRUE()</f>
        <v>1</v>
      </c>
      <c r="CD17" s="27" t="b">
        <f aca="false">TRUE()</f>
        <v>1</v>
      </c>
    </row>
    <row r="18" customFormat="false" ht="118.5" hidden="false" customHeight="false" outlineLevel="0" collapsed="false">
      <c r="B18" s="1" t="n">
        <v>11199821</v>
      </c>
      <c r="C18" s="1" t="s">
        <v>549</v>
      </c>
      <c r="D18" s="1" t="n">
        <f aca="false">DATEDIF($C$2, C18, "M")</f>
        <v>18</v>
      </c>
      <c r="E18" s="26" t="s">
        <v>841</v>
      </c>
      <c r="F18" s="31" t="b">
        <f aca="false">TRUE()</f>
        <v>1</v>
      </c>
      <c r="O18" s="31" t="b">
        <f aca="false">TRUE()</f>
        <v>1</v>
      </c>
      <c r="AM18" s="27" t="b">
        <f aca="false">FALSE()</f>
        <v>0</v>
      </c>
      <c r="AN18" s="27" t="b">
        <f aca="false">FALSE()</f>
        <v>0</v>
      </c>
      <c r="AO18" s="1" t="s">
        <v>107</v>
      </c>
      <c r="AP18" s="1" t="s">
        <v>164</v>
      </c>
      <c r="AQ18" s="1" t="s">
        <v>107</v>
      </c>
      <c r="AR18" s="1" t="s">
        <v>164</v>
      </c>
      <c r="AS18" s="26" t="s">
        <v>105</v>
      </c>
      <c r="AT18" s="1" t="s">
        <v>150</v>
      </c>
      <c r="AV18" s="1" t="s">
        <v>150</v>
      </c>
      <c r="AY18" s="31" t="b">
        <f aca="false">TRUE()</f>
        <v>1</v>
      </c>
      <c r="BQ18" s="1" t="s">
        <v>135</v>
      </c>
      <c r="CA18" s="27" t="b">
        <f aca="false">TRUE()</f>
        <v>1</v>
      </c>
      <c r="CD18" s="27" t="b">
        <f aca="false">TRUE()</f>
        <v>1</v>
      </c>
    </row>
    <row r="19" customFormat="false" ht="102" hidden="false" customHeight="false" outlineLevel="0" collapsed="false">
      <c r="B19" s="1" t="n">
        <v>11199821</v>
      </c>
      <c r="C19" s="1" t="s">
        <v>842</v>
      </c>
      <c r="D19" s="1" t="n">
        <f aca="false">DATEDIF($C$2, C19, "M")</f>
        <v>19</v>
      </c>
      <c r="E19" s="26" t="s">
        <v>843</v>
      </c>
      <c r="F19" s="31" t="b">
        <f aca="false">TRUE()</f>
        <v>1</v>
      </c>
      <c r="O19" s="31" t="b">
        <f aca="false">TRUE()</f>
        <v>1</v>
      </c>
      <c r="AM19" s="27" t="b">
        <f aca="false">FALSE()</f>
        <v>0</v>
      </c>
      <c r="AN19" s="27" t="b">
        <f aca="false">FALSE()</f>
        <v>0</v>
      </c>
      <c r="AO19" s="1" t="s">
        <v>107</v>
      </c>
      <c r="AP19" s="1" t="s">
        <v>164</v>
      </c>
      <c r="AQ19" s="1" t="s">
        <v>107</v>
      </c>
      <c r="AR19" s="1" t="s">
        <v>164</v>
      </c>
      <c r="AS19" s="26" t="s">
        <v>105</v>
      </c>
      <c r="AT19" s="1" t="s">
        <v>150</v>
      </c>
      <c r="AV19" s="1" t="s">
        <v>150</v>
      </c>
      <c r="AY19" s="31" t="b">
        <f aca="false">TRUE()</f>
        <v>1</v>
      </c>
      <c r="BQ19" s="1" t="s">
        <v>135</v>
      </c>
      <c r="BR19" s="1" t="s">
        <v>119</v>
      </c>
      <c r="CA19" s="27" t="b">
        <f aca="false">TRUE()</f>
        <v>1</v>
      </c>
      <c r="CD19" s="27" t="b">
        <f aca="false">TRUE()</f>
        <v>1</v>
      </c>
    </row>
    <row r="20" customFormat="false" ht="72.35" hidden="false" customHeight="false" outlineLevel="0" collapsed="false">
      <c r="B20" s="1" t="n">
        <v>11199821</v>
      </c>
      <c r="C20" s="1" t="s">
        <v>844</v>
      </c>
      <c r="D20" s="1" t="n">
        <f aca="false">DATEDIF($C$2, C20, "M")</f>
        <v>20</v>
      </c>
      <c r="E20" s="26" t="s">
        <v>845</v>
      </c>
      <c r="F20" s="31" t="b">
        <f aca="false">TRUE()</f>
        <v>1</v>
      </c>
      <c r="O20" s="31" t="b">
        <f aca="false">TRUE()</f>
        <v>1</v>
      </c>
      <c r="AM20" s="27" t="b">
        <f aca="false">FALSE()</f>
        <v>0</v>
      </c>
      <c r="AN20" s="27" t="b">
        <f aca="false">FALSE()</f>
        <v>0</v>
      </c>
      <c r="AO20" s="1" t="s">
        <v>107</v>
      </c>
      <c r="AP20" s="1" t="s">
        <v>164</v>
      </c>
      <c r="AQ20" s="1" t="s">
        <v>107</v>
      </c>
      <c r="AR20" s="1" t="s">
        <v>164</v>
      </c>
      <c r="AS20" s="26" t="s">
        <v>105</v>
      </c>
      <c r="AT20" s="1" t="s">
        <v>150</v>
      </c>
      <c r="AV20" s="1" t="s">
        <v>150</v>
      </c>
      <c r="AY20" s="31" t="b">
        <f aca="false">TRUE()</f>
        <v>1</v>
      </c>
      <c r="BQ20" s="1" t="s">
        <v>135</v>
      </c>
      <c r="BR20" s="1" t="s">
        <v>103</v>
      </c>
      <c r="BV20" s="27" t="b">
        <f aca="false">TRUE()</f>
        <v>1</v>
      </c>
      <c r="CA20" s="31" t="b">
        <f aca="false">TRUE()</f>
        <v>1</v>
      </c>
      <c r="CD20" s="31" t="b">
        <f aca="false">TRUE()</f>
        <v>1</v>
      </c>
    </row>
    <row r="21" customFormat="false" ht="72.35" hidden="false" customHeight="false" outlineLevel="0" collapsed="false">
      <c r="B21" s="1" t="n">
        <v>11199821</v>
      </c>
      <c r="C21" s="1" t="s">
        <v>846</v>
      </c>
      <c r="D21" s="1" t="n">
        <f aca="false">DATEDIF($C$2, C21, "M")</f>
        <v>21</v>
      </c>
      <c r="E21" s="26" t="s">
        <v>847</v>
      </c>
      <c r="F21" s="31" t="b">
        <f aca="false">TRUE()</f>
        <v>1</v>
      </c>
      <c r="G21" s="27" t="b">
        <f aca="false">TRUE()</f>
        <v>1</v>
      </c>
      <c r="Q21" s="27" t="b">
        <f aca="false">TRUE()</f>
        <v>1</v>
      </c>
      <c r="Z21" s="1" t="s">
        <v>128</v>
      </c>
      <c r="AA21" s="1" t="s">
        <v>128</v>
      </c>
      <c r="AB21" s="1" t="s">
        <v>128</v>
      </c>
      <c r="AC21" s="1" t="s">
        <v>128</v>
      </c>
      <c r="AE21" s="1" t="s">
        <v>112</v>
      </c>
      <c r="AM21" s="27" t="b">
        <f aca="false">FALSE()</f>
        <v>0</v>
      </c>
      <c r="AN21" s="27" t="b">
        <f aca="false">FALSE()</f>
        <v>0</v>
      </c>
      <c r="AO21" s="1" t="s">
        <v>107</v>
      </c>
      <c r="AP21" s="1" t="s">
        <v>164</v>
      </c>
      <c r="AQ21" s="1" t="s">
        <v>107</v>
      </c>
      <c r="AR21" s="1" t="s">
        <v>164</v>
      </c>
      <c r="AS21" s="26" t="s">
        <v>105</v>
      </c>
      <c r="AT21" s="1" t="s">
        <v>150</v>
      </c>
      <c r="AV21" s="1" t="s">
        <v>150</v>
      </c>
      <c r="AY21" s="31" t="b">
        <f aca="false">TRUE()</f>
        <v>1</v>
      </c>
      <c r="BQ21" s="1" t="s">
        <v>119</v>
      </c>
      <c r="CA21" s="31" t="b">
        <f aca="false">TRUE()</f>
        <v>1</v>
      </c>
      <c r="CD21" s="31" t="b">
        <f aca="false">TRUE()</f>
        <v>1</v>
      </c>
    </row>
    <row r="22" customFormat="false" ht="86.55" hidden="false" customHeight="false" outlineLevel="0" collapsed="false">
      <c r="B22" s="1" t="n">
        <v>11199821</v>
      </c>
      <c r="C22" s="1" t="s">
        <v>848</v>
      </c>
      <c r="D22" s="1" t="n">
        <f aca="false">DATEDIF($C$2, C22, "M")</f>
        <v>22</v>
      </c>
      <c r="E22" s="26" t="s">
        <v>849</v>
      </c>
      <c r="F22" s="31" t="b">
        <f aca="false">TRUE()</f>
        <v>1</v>
      </c>
      <c r="AM22" s="31" t="b">
        <f aca="false">FALSE()</f>
        <v>0</v>
      </c>
      <c r="AN22" s="27" t="b">
        <f aca="false">TRUE()</f>
        <v>1</v>
      </c>
      <c r="AO22" s="1" t="s">
        <v>107</v>
      </c>
      <c r="AP22" s="1" t="s">
        <v>164</v>
      </c>
      <c r="AQ22" s="1" t="s">
        <v>96</v>
      </c>
      <c r="AR22" s="1" t="s">
        <v>97</v>
      </c>
      <c r="AS22" s="26" t="s">
        <v>168</v>
      </c>
      <c r="AT22" s="1" t="s">
        <v>150</v>
      </c>
      <c r="AV22" s="1" t="s">
        <v>150</v>
      </c>
      <c r="AY22" s="31" t="b">
        <f aca="false">TRUE()</f>
        <v>1</v>
      </c>
      <c r="BQ22" s="1" t="s">
        <v>135</v>
      </c>
      <c r="BV22" s="27" t="b">
        <f aca="false">TRUE()</f>
        <v>1</v>
      </c>
    </row>
    <row r="23" customFormat="false" ht="86.55" hidden="false" customHeight="false" outlineLevel="0" collapsed="false">
      <c r="B23" s="1" t="n">
        <v>11199821</v>
      </c>
      <c r="C23" s="1" t="s">
        <v>850</v>
      </c>
      <c r="D23" s="1" t="n">
        <f aca="false">DATEDIF($C$2, C23, "M")</f>
        <v>23</v>
      </c>
      <c r="E23" s="26" t="s">
        <v>851</v>
      </c>
      <c r="F23" s="31" t="b">
        <f aca="false">TRUE()</f>
        <v>1</v>
      </c>
      <c r="AM23" s="31" t="b">
        <f aca="false">TRUE()</f>
        <v>1</v>
      </c>
      <c r="AN23" s="27" t="b">
        <f aca="false">TRUE()</f>
        <v>1</v>
      </c>
      <c r="AO23" s="1" t="s">
        <v>96</v>
      </c>
      <c r="AP23" s="1" t="s">
        <v>152</v>
      </c>
      <c r="AQ23" s="1" t="s">
        <v>122</v>
      </c>
      <c r="AR23" s="1" t="s">
        <v>97</v>
      </c>
      <c r="AS23" s="1" t="s">
        <v>132</v>
      </c>
      <c r="AY23" s="31" t="b">
        <f aca="false">FALSE()</f>
        <v>0</v>
      </c>
      <c r="BQ23" s="1" t="s">
        <v>135</v>
      </c>
      <c r="BS23" s="31" t="b">
        <f aca="false">TRUE()</f>
        <v>1</v>
      </c>
      <c r="BV23" s="31" t="b">
        <f aca="false">TRUE()</f>
        <v>1</v>
      </c>
    </row>
    <row r="24" customFormat="false" ht="84.75" hidden="false" customHeight="false" outlineLevel="0" collapsed="false">
      <c r="B24" s="1" t="n">
        <v>11199821</v>
      </c>
      <c r="C24" s="1" t="s">
        <v>852</v>
      </c>
      <c r="D24" s="1" t="n">
        <f aca="false">DATEDIF($C$2, C24, "M")</f>
        <v>24</v>
      </c>
      <c r="E24" s="26" t="s">
        <v>853</v>
      </c>
      <c r="F24" s="31" t="b">
        <f aca="false">TRUE()</f>
        <v>1</v>
      </c>
      <c r="R24" s="31" t="b">
        <f aca="false">TRUE()</f>
        <v>1</v>
      </c>
      <c r="AM24" s="27" t="b">
        <f aca="false">TRUE()</f>
        <v>1</v>
      </c>
      <c r="AN24" s="27" t="b">
        <f aca="false">FALSE()</f>
        <v>0</v>
      </c>
      <c r="AO24" s="1" t="s">
        <v>122</v>
      </c>
      <c r="AP24" s="1" t="s">
        <v>97</v>
      </c>
      <c r="AQ24" s="1" t="s">
        <v>122</v>
      </c>
      <c r="AR24" s="1" t="s">
        <v>97</v>
      </c>
      <c r="AS24" s="1" t="s">
        <v>168</v>
      </c>
      <c r="AT24" s="1" t="s">
        <v>116</v>
      </c>
      <c r="AU24" s="1" t="s">
        <v>854</v>
      </c>
      <c r="AV24" s="1" t="s">
        <v>150</v>
      </c>
      <c r="AW24" s="1" t="s">
        <v>854</v>
      </c>
      <c r="AY24" s="27" t="b">
        <f aca="false">TRUE()</f>
        <v>1</v>
      </c>
      <c r="AZ24" s="31" t="b">
        <f aca="false">TRUE()</f>
        <v>1</v>
      </c>
      <c r="BQ24" s="1" t="s">
        <v>135</v>
      </c>
    </row>
    <row r="25" customFormat="false" ht="118.5" hidden="false" customHeight="false" outlineLevel="0" collapsed="false">
      <c r="B25" s="1" t="n">
        <v>11199821</v>
      </c>
      <c r="C25" s="1" t="s">
        <v>855</v>
      </c>
      <c r="D25" s="1" t="n">
        <f aca="false">DATEDIF($C$2, C25, "M")</f>
        <v>25</v>
      </c>
      <c r="E25" s="26" t="s">
        <v>856</v>
      </c>
      <c r="F25" s="31" t="b">
        <f aca="false">TRUE()</f>
        <v>1</v>
      </c>
      <c r="AM25" s="31" t="b">
        <f aca="false">FALSE()</f>
        <v>0</v>
      </c>
      <c r="AN25" s="27" t="b">
        <f aca="false">FALSE()</f>
        <v>0</v>
      </c>
      <c r="AO25" s="1" t="s">
        <v>122</v>
      </c>
      <c r="AP25" s="1" t="s">
        <v>97</v>
      </c>
      <c r="AQ25" s="1" t="s">
        <v>122</v>
      </c>
      <c r="AR25" s="1" t="s">
        <v>97</v>
      </c>
      <c r="AS25" s="1" t="s">
        <v>168</v>
      </c>
      <c r="AT25" s="1" t="s">
        <v>116</v>
      </c>
      <c r="AU25" s="1" t="s">
        <v>854</v>
      </c>
      <c r="AV25" s="1" t="s">
        <v>150</v>
      </c>
      <c r="AW25" s="1" t="s">
        <v>854</v>
      </c>
      <c r="AY25" s="27" t="b">
        <f aca="false">TRUE()</f>
        <v>1</v>
      </c>
      <c r="AZ25" s="31" t="b">
        <f aca="false">TRUE()</f>
        <v>1</v>
      </c>
      <c r="BQ25" s="1" t="s">
        <v>135</v>
      </c>
      <c r="BY25" s="31" t="b">
        <f aca="false">TRUE()</f>
        <v>1</v>
      </c>
      <c r="BZ25" s="31" t="b">
        <f aca="false">TRUE()</f>
        <v>1</v>
      </c>
    </row>
    <row r="26" customFormat="false" ht="86.55" hidden="false" customHeight="false" outlineLevel="0" collapsed="false">
      <c r="B26" s="1" t="n">
        <v>11199821</v>
      </c>
      <c r="C26" s="1" t="s">
        <v>857</v>
      </c>
      <c r="D26" s="1" t="n">
        <f aca="false">DATEDIF($C$2, C26, "M")</f>
        <v>26</v>
      </c>
      <c r="E26" s="26" t="s">
        <v>858</v>
      </c>
      <c r="F26" s="31" t="b">
        <f aca="false">TRUE()</f>
        <v>1</v>
      </c>
      <c r="AM26" s="31" t="b">
        <f aca="false">FALSE()</f>
        <v>0</v>
      </c>
      <c r="AN26" s="27" t="b">
        <f aca="false">FALSE()</f>
        <v>0</v>
      </c>
      <c r="AO26" s="1" t="s">
        <v>122</v>
      </c>
      <c r="AP26" s="1" t="s">
        <v>97</v>
      </c>
      <c r="AQ26" s="1" t="s">
        <v>122</v>
      </c>
      <c r="AR26" s="1" t="s">
        <v>97</v>
      </c>
      <c r="AS26" s="26" t="s">
        <v>105</v>
      </c>
      <c r="BQ26" s="1" t="s">
        <v>135</v>
      </c>
      <c r="BV26" s="31" t="b">
        <f aca="false">TRUE()</f>
        <v>1</v>
      </c>
    </row>
    <row r="27" customFormat="false" ht="86.55" hidden="false" customHeight="false" outlineLevel="0" collapsed="false">
      <c r="B27" s="1" t="n">
        <v>11199821</v>
      </c>
      <c r="C27" s="1" t="s">
        <v>859</v>
      </c>
      <c r="D27" s="1" t="n">
        <f aca="false">DATEDIF($C$2, C27, "M")</f>
        <v>27</v>
      </c>
      <c r="E27" s="26" t="s">
        <v>860</v>
      </c>
      <c r="F27" s="31" t="b">
        <f aca="false">TRUE()</f>
        <v>1</v>
      </c>
      <c r="Q27" s="31" t="b">
        <f aca="false">TRUE()</f>
        <v>1</v>
      </c>
      <c r="AS27" s="1" t="s">
        <v>168</v>
      </c>
      <c r="BQ27" s="1" t="s">
        <v>119</v>
      </c>
    </row>
    <row r="28" customFormat="false" ht="220.5" hidden="false" customHeight="false" outlineLevel="0" collapsed="false">
      <c r="B28" s="1" t="n">
        <v>11199821</v>
      </c>
      <c r="C28" s="1" t="s">
        <v>861</v>
      </c>
      <c r="D28" s="1" t="n">
        <f aca="false">DATEDIF($C$2, C28, "M")</f>
        <v>28</v>
      </c>
      <c r="E28" s="26" t="s">
        <v>862</v>
      </c>
      <c r="F28" s="31" t="b">
        <f aca="false">TRUE()</f>
        <v>1</v>
      </c>
      <c r="G28" s="31" t="b">
        <f aca="false">TRUE()</f>
        <v>1</v>
      </c>
      <c r="H28" s="27" t="b">
        <f aca="false">TRUE()</f>
        <v>1</v>
      </c>
      <c r="I28" s="31" t="b">
        <f aca="false">TRUE()</f>
        <v>1</v>
      </c>
      <c r="BW28" s="1" t="s">
        <v>138</v>
      </c>
      <c r="BX28" s="1" t="s">
        <v>138</v>
      </c>
      <c r="CF28" s="31" t="b">
        <f aca="false">TRUE()</f>
        <v>1</v>
      </c>
      <c r="CG28" s="27" t="b">
        <f aca="false">TRUE()</f>
        <v>1</v>
      </c>
    </row>
    <row r="29" customFormat="false" ht="118.5" hidden="false" customHeight="false" outlineLevel="0" collapsed="false">
      <c r="B29" s="1" t="n">
        <v>11199821</v>
      </c>
      <c r="C29" s="1" t="s">
        <v>863</v>
      </c>
      <c r="D29" s="1" t="n">
        <f aca="false">DATEDIF($C$2, C29, "M")</f>
        <v>28</v>
      </c>
      <c r="E29" s="26" t="s">
        <v>864</v>
      </c>
      <c r="F29" s="31" t="b">
        <f aca="false">TRUE()</f>
        <v>1</v>
      </c>
      <c r="BQ29" s="1" t="s">
        <v>473</v>
      </c>
      <c r="BW29" s="1" t="s">
        <v>138</v>
      </c>
      <c r="BX29" s="1" t="s">
        <v>138</v>
      </c>
    </row>
    <row r="30" customFormat="false" ht="153" hidden="false" customHeight="false" outlineLevel="0" collapsed="false">
      <c r="B30" s="1" t="n">
        <v>11199821</v>
      </c>
      <c r="C30" s="1" t="s">
        <v>865</v>
      </c>
      <c r="D30" s="1" t="n">
        <f aca="false">DATEDIF($C$2, C30, "M")</f>
        <v>30</v>
      </c>
      <c r="E30" s="26" t="s">
        <v>866</v>
      </c>
      <c r="F30" s="31" t="b">
        <f aca="false">TRUE()</f>
        <v>1</v>
      </c>
      <c r="G30" s="31" t="b">
        <f aca="false">TRUE()</f>
        <v>1</v>
      </c>
      <c r="BQ30" s="1" t="s">
        <v>473</v>
      </c>
      <c r="BW30" s="1" t="s">
        <v>138</v>
      </c>
      <c r="BX30" s="1" t="s">
        <v>138</v>
      </c>
      <c r="CH30" s="31" t="b">
        <f aca="false">TRUE()</f>
        <v>1</v>
      </c>
    </row>
    <row r="31" customFormat="false" ht="67.5" hidden="false" customHeight="false" outlineLevel="0" collapsed="false">
      <c r="B31" s="1" t="n">
        <v>11199821</v>
      </c>
      <c r="C31" s="1" t="s">
        <v>867</v>
      </c>
      <c r="D31" s="1" t="n">
        <f aca="false">DATEDIF($C$2, C31, "M")</f>
        <v>33</v>
      </c>
      <c r="E31" s="26" t="s">
        <v>868</v>
      </c>
      <c r="F31" s="31" t="b">
        <f aca="false">TRUE()</f>
        <v>1</v>
      </c>
      <c r="BW31" s="1" t="s">
        <v>138</v>
      </c>
      <c r="BX31" s="1" t="s">
        <v>138</v>
      </c>
      <c r="CH31" s="31" t="b">
        <f aca="false">TRUE()</f>
        <v>1</v>
      </c>
      <c r="CI31" s="27" t="b">
        <f aca="false">FALSE()</f>
        <v>0</v>
      </c>
    </row>
    <row r="32" customFormat="false" ht="186.75" hidden="false" customHeight="false" outlineLevel="0" collapsed="false">
      <c r="B32" s="1" t="n">
        <v>11199821</v>
      </c>
      <c r="C32" s="1" t="s">
        <v>869</v>
      </c>
      <c r="D32" s="1" t="n">
        <f aca="false">DATEDIF($C$2, C32, "M")</f>
        <v>40</v>
      </c>
      <c r="E32" s="26" t="s">
        <v>870</v>
      </c>
      <c r="F32" s="31" t="b">
        <f aca="false">TRUE()</f>
        <v>1</v>
      </c>
      <c r="Y32" s="1" t="s">
        <v>502</v>
      </c>
      <c r="BQ32" s="1" t="s">
        <v>473</v>
      </c>
      <c r="BW32" s="1" t="s">
        <v>138</v>
      </c>
      <c r="BX32" s="1" t="s">
        <v>138</v>
      </c>
      <c r="CH32" s="31" t="b">
        <f aca="false">TRUE()</f>
        <v>1</v>
      </c>
    </row>
    <row r="33" customFormat="false" ht="15.75" hidden="false" customHeight="false" outlineLevel="0" collapsed="false">
      <c r="B33" s="1" t="n">
        <v>11199821</v>
      </c>
      <c r="C33" s="1" t="s">
        <v>871</v>
      </c>
      <c r="D33" s="1" t="n">
        <f aca="false">DATEDIF($C$2, C33, "M")</f>
        <v>109</v>
      </c>
      <c r="E33" s="1" t="s">
        <v>872</v>
      </c>
      <c r="F33" s="27" t="b">
        <f aca="false">TRUE()</f>
        <v>1</v>
      </c>
    </row>
  </sheetData>
  <dataValidations count="28">
    <dataValidation allowBlank="true" errorStyle="stop" operator="between" showDropDown="false" showErrorMessage="true" showInputMessage="true" sqref="AD2:AD1033" type="list">
      <formula1>list!$B$25:$E$25</formula1>
      <formula2>0</formula2>
    </dataValidation>
    <dataValidation allowBlank="true" errorStyle="stop" operator="between" showDropDown="false" showErrorMessage="true" showInputMessage="true" sqref="BY2:CI1033" type="list">
      <formula1>list!$B$72:$C$72</formula1>
      <formula2>0</formula2>
    </dataValidation>
    <dataValidation allowBlank="true" errorStyle="stop" operator="between" showDropDown="false" showErrorMessage="true" showInputMessage="true" sqref="BW2:BX1033" type="list">
      <formula1>list!$B$70:$F$70</formula1>
      <formula2>0</formula2>
    </dataValidation>
    <dataValidation allowBlank="true" errorStyle="stop" operator="between" showDropDown="false" showErrorMessage="true" showInputMessage="true" sqref="BV2:BV17 BS16 BV18:BV1033" type="list">
      <formula1>list!$B$69:$C$69</formula1>
      <formula2>0</formula2>
    </dataValidation>
    <dataValidation allowBlank="true" errorStyle="stop" operator="between" showDropDown="false" showErrorMessage="true" showInputMessage="true" sqref="BU2:BU1033" type="list">
      <formula1>list!$B$68:$G$68</formula1>
      <formula2>0</formula2>
    </dataValidation>
    <dataValidation allowBlank="true" errorStyle="stop" operator="between" showDropDown="false" showErrorMessage="true" showInputMessage="true" sqref="BR2:BR1033" type="list">
      <formula1>list!$B$65:$F$65</formula1>
      <formula2>0</formula2>
    </dataValidation>
    <dataValidation allowBlank="true" errorStyle="stop" operator="between" showDropDown="false" showErrorMessage="true" showInputMessage="true" sqref="BQ2:BQ1033" type="list">
      <formula1>list!$B$64:$E$64</formula1>
      <formula2>0</formula2>
    </dataValidation>
    <dataValidation allowBlank="true" errorStyle="stop" operator="between" showDropDown="false" showErrorMessage="true" showInputMessage="true" sqref="BB2:BB1033" type="list">
      <formula1>list!$B$49:$P$49</formula1>
      <formula2>0</formula2>
    </dataValidation>
    <dataValidation allowBlank="true" errorStyle="stop" operator="between" showDropDown="false" showErrorMessage="true" showInputMessage="true" sqref="AX2:BA1033 BC2:BP1033 BS2:BT15 BT16 BS17:BT1033" type="list">
      <formula1>list!$B$50:$C$50</formula1>
      <formula2>0</formula2>
    </dataValidation>
    <dataValidation allowBlank="true" errorStyle="stop" operator="between" showDropDown="false" showErrorMessage="true" showInputMessage="true" sqref="AU2:AU1033 AW2:AW1033" type="list">
      <formula1>list!$B$42:$Z$42</formula1>
      <formula2>0</formula2>
    </dataValidation>
    <dataValidation allowBlank="true" errorStyle="stop" operator="between" showDropDown="false" showErrorMessage="true" showInputMessage="true" sqref="AM2:AN1033" type="list">
      <formula1>list!$B$34:$C$34</formula1>
      <formula2>0</formula2>
    </dataValidation>
    <dataValidation allowBlank="true" errorStyle="stop" operator="between" showDropDown="false" showErrorMessage="true" showInputMessage="true" sqref="AL2:AL1033" type="list">
      <formula1>list!$B$33:$H$33</formula1>
      <formula2>0</formula2>
    </dataValidation>
    <dataValidation allowBlank="true" errorStyle="stop" operator="between" showDropDown="false" showErrorMessage="true" showInputMessage="true" sqref="AF2:AK1033" type="list">
      <formula1>list!$B$27:$C$27</formula1>
      <formula2>0</formula2>
    </dataValidation>
    <dataValidation allowBlank="true" errorStyle="stop" operator="between" showDropDown="false" showErrorMessage="true" showInputMessage="true" sqref="AE2:AE1033" type="list">
      <formula1>list!$B$26:$E$26</formula1>
      <formula2>0</formula2>
    </dataValidation>
    <dataValidation allowBlank="true" errorStyle="stop" operator="between" showDropDown="false" showErrorMessage="true" showInputMessage="true" sqref="Z2:AC1033" type="list">
      <formula1>list!$B$21:$M$21</formula1>
      <formula2>0</formula2>
    </dataValidation>
    <dataValidation allowBlank="true" errorStyle="stop" operator="between" showDropDown="false" showErrorMessage="true" showInputMessage="true" sqref="V2:W1033" type="list">
      <formula1>list!$B$17:$J$17</formula1>
      <formula2>0</formula2>
    </dataValidation>
    <dataValidation allowBlank="true" errorStyle="stop" operator="between" showDropDown="false" showErrorMessage="true" showInputMessage="true" sqref="G2:U1033" type="list">
      <formula1>list!$B$2:$C$2</formula1>
      <formula2>0</formula2>
    </dataValidation>
    <dataValidation allowBlank="true" errorStyle="stop" operator="between" showDropDown="false" showErrorMessage="true" showInputMessage="true" sqref="AO2:AO1033 AQ2:AQ1033" type="list">
      <formula1>list!$B$36:$G$36</formula1>
      <formula2>0</formula2>
    </dataValidation>
    <dataValidation allowBlank="true" errorStyle="stop" operator="between" showDropDown="false" showErrorMessage="true" showInputMessage="true" sqref="AT2:AT1033 AV2:AV1033" type="list">
      <formula1>list!$B$41:$F$41</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33" type="list">
      <formula1>list!$B$40:$G$40</formula1>
      <formula2>0</formula2>
    </dataValidation>
    <dataValidation allowBlank="true" errorStyle="stop" operator="between" showDropDown="false" showErrorMessage="true" showInputMessage="true" sqref="Y155:Y1033" type="list">
      <formula1>list!$B$20:$H$20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P97:AP101" type="list">
      <formula1>list!$B$37:$P$37</formula1>
      <formula2>0</formula2>
    </dataValidation>
    <dataValidation allowBlank="true" errorStyle="stop" operator="between" showDropDown="false" showErrorMessage="true" showInputMessage="true" sqref="X103:X1033" type="list">
      <formula1>list!$B$19:$C$19</formula1>
      <formula2>0</formula2>
    </dataValidation>
    <dataValidation allowBlank="true" errorStyle="stop" operator="between" showDropDown="false" showErrorMessage="true" showInputMessage="true" sqref="AR100:AR1033 AP102:AP1033" type="list">
      <formula1>list!$B$37:$O$37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B0F0"/>
    <pageSetUpPr fitToPage="false"/>
  </sheetPr>
  <dimension ref="A1:CI29"/>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BW23" activePane="bottomRight" state="frozen"/>
      <selection pane="topLeft" activeCell="A1" activeCellId="0" sqref="A1"/>
      <selection pane="topRight" activeCell="BW1" activeCellId="0" sqref="BW1"/>
      <selection pane="bottomLeft" activeCell="A23" activeCellId="0" sqref="A23"/>
      <selection pane="bottomRight" activeCell="D2" activeCellId="0" sqref="D2"/>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66.34"/>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02" hidden="false" customHeight="false" outlineLevel="0" collapsed="false">
      <c r="B2" s="1" t="n">
        <v>1113490</v>
      </c>
      <c r="C2" s="1" t="s">
        <v>873</v>
      </c>
      <c r="D2" s="1" t="n">
        <f aca="false">DATEDIF($C$2, C2, "M")</f>
        <v>0</v>
      </c>
      <c r="E2" s="26" t="s">
        <v>874</v>
      </c>
      <c r="F2" s="27" t="b">
        <f aca="false">TRUE()</f>
        <v>1</v>
      </c>
    </row>
    <row r="3" customFormat="false" ht="72.35" hidden="false" customHeight="false" outlineLevel="0" collapsed="false">
      <c r="B3" s="1" t="n">
        <v>1113490</v>
      </c>
      <c r="C3" s="1" t="s">
        <v>875</v>
      </c>
      <c r="D3" s="1" t="n">
        <f aca="false">DATEDIF($C$2, C3, "M")</f>
        <v>0</v>
      </c>
      <c r="E3" s="26" t="s">
        <v>876</v>
      </c>
      <c r="F3" s="31" t="b">
        <f aca="false">TRUE()</f>
        <v>1</v>
      </c>
      <c r="AF3" s="31" t="b">
        <f aca="false">TRUE()</f>
        <v>1</v>
      </c>
    </row>
    <row r="4" customFormat="false" ht="169.5" hidden="false" customHeight="false" outlineLevel="0" collapsed="false">
      <c r="B4" s="1" t="n">
        <v>1113490</v>
      </c>
      <c r="C4" s="1" t="s">
        <v>863</v>
      </c>
      <c r="D4" s="1" t="n">
        <f aca="false">DATEDIF($C$2, C4, "M")</f>
        <v>38</v>
      </c>
      <c r="E4" s="26" t="s">
        <v>877</v>
      </c>
      <c r="F4" s="31" t="b">
        <f aca="false">TRUE()</f>
        <v>1</v>
      </c>
      <c r="X4" s="27" t="b">
        <f aca="false">FALSE()</f>
        <v>0</v>
      </c>
      <c r="AA4" s="1" t="s">
        <v>87</v>
      </c>
      <c r="AC4" s="1" t="s">
        <v>87</v>
      </c>
    </row>
    <row r="5" customFormat="false" ht="51" hidden="false" customHeight="false" outlineLevel="0" collapsed="false">
      <c r="B5" s="1" t="n">
        <v>1113490</v>
      </c>
      <c r="C5" s="1" t="s">
        <v>878</v>
      </c>
      <c r="D5" s="1" t="n">
        <f aca="false">DATEDIF($C$2, C5, "M")</f>
        <v>41</v>
      </c>
      <c r="E5" s="26" t="s">
        <v>879</v>
      </c>
      <c r="F5" s="31" t="b">
        <f aca="false">TRUE()</f>
        <v>1</v>
      </c>
      <c r="G5" s="27" t="b">
        <f aca="false">TRUE()</f>
        <v>1</v>
      </c>
      <c r="H5" s="27" t="b">
        <f aca="false">TRUE()</f>
        <v>1</v>
      </c>
      <c r="I5" s="31" t="b">
        <f aca="false">TRUE()</f>
        <v>1</v>
      </c>
    </row>
    <row r="6" customFormat="false" ht="220.5" hidden="false" customHeight="false" outlineLevel="0" collapsed="false">
      <c r="B6" s="1" t="n">
        <v>1113490</v>
      </c>
      <c r="C6" s="1" t="s">
        <v>880</v>
      </c>
      <c r="D6" s="1" t="n">
        <f aca="false">DATEDIF($C$2, C6, "M")</f>
        <v>43</v>
      </c>
      <c r="E6" s="26" t="s">
        <v>881</v>
      </c>
      <c r="F6" s="31" t="b">
        <f aca="false">TRUE()</f>
        <v>1</v>
      </c>
      <c r="K6" s="27" t="b">
        <f aca="false">TRUE()</f>
        <v>1</v>
      </c>
      <c r="M6" s="27" t="b">
        <f aca="false">TRUE()</f>
        <v>1</v>
      </c>
      <c r="AF6" s="27" t="b">
        <f aca="false">TRUE()</f>
        <v>1</v>
      </c>
      <c r="AL6" s="1" t="s">
        <v>882</v>
      </c>
      <c r="AO6" s="1" t="s">
        <v>96</v>
      </c>
      <c r="AP6" s="1" t="s">
        <v>131</v>
      </c>
      <c r="AQ6" s="1" t="s">
        <v>96</v>
      </c>
      <c r="AR6" s="1" t="s">
        <v>91</v>
      </c>
      <c r="AS6" s="1" t="s">
        <v>570</v>
      </c>
    </row>
    <row r="7" customFormat="false" ht="51" hidden="false" customHeight="false" outlineLevel="0" collapsed="false">
      <c r="B7" s="1" t="n">
        <v>1113490</v>
      </c>
      <c r="C7" s="1" t="s">
        <v>883</v>
      </c>
      <c r="D7" s="1" t="n">
        <f aca="false">DATEDIF($C$2, C7, "M")</f>
        <v>44</v>
      </c>
      <c r="E7" s="26" t="s">
        <v>884</v>
      </c>
      <c r="F7" s="31" t="b">
        <f aca="false">TRUE()</f>
        <v>1</v>
      </c>
      <c r="H7" s="27" t="b">
        <f aca="false">TRUE()</f>
        <v>1</v>
      </c>
      <c r="AM7" s="27" t="b">
        <f aca="false">FALSE()</f>
        <v>0</v>
      </c>
      <c r="AN7" s="36" t="b">
        <f aca="false">TRUE()</f>
        <v>1</v>
      </c>
      <c r="AO7" s="1" t="s">
        <v>96</v>
      </c>
      <c r="AP7" s="1" t="s">
        <v>131</v>
      </c>
      <c r="AQ7" s="1" t="s">
        <v>96</v>
      </c>
      <c r="AR7" s="1" t="s">
        <v>131</v>
      </c>
    </row>
    <row r="8" s="71" customFormat="true" ht="84.75" hidden="false" customHeight="false" outlineLevel="0" collapsed="false">
      <c r="B8" s="1" t="n">
        <v>1113490</v>
      </c>
      <c r="C8" s="71" t="s">
        <v>885</v>
      </c>
      <c r="D8" s="1" t="n">
        <f aca="false">DATEDIF($C$2, C8, "M")</f>
        <v>45</v>
      </c>
      <c r="E8" s="68" t="s">
        <v>886</v>
      </c>
      <c r="AM8" s="72" t="b">
        <f aca="false">TRUE()</f>
        <v>1</v>
      </c>
      <c r="AN8" s="73" t="b">
        <f aca="false">TRUE()</f>
        <v>1</v>
      </c>
      <c r="AO8" s="71" t="s">
        <v>96</v>
      </c>
      <c r="AP8" s="71" t="s">
        <v>164</v>
      </c>
      <c r="AQ8" s="71" t="s">
        <v>96</v>
      </c>
      <c r="AR8" s="71" t="s">
        <v>164</v>
      </c>
      <c r="BS8" s="72" t="b">
        <f aca="false">TRUE()</f>
        <v>1</v>
      </c>
    </row>
    <row r="9" s="71" customFormat="true" ht="51" hidden="false" customHeight="false" outlineLevel="0" collapsed="false">
      <c r="B9" s="1" t="n">
        <v>1113490</v>
      </c>
      <c r="C9" s="71" t="s">
        <v>887</v>
      </c>
      <c r="D9" s="1" t="n">
        <f aca="false">DATEDIF($C$2, C9, "M")</f>
        <v>47</v>
      </c>
      <c r="E9" s="68" t="s">
        <v>888</v>
      </c>
      <c r="AM9" s="72" t="b">
        <f aca="false">FALSE()</f>
        <v>0</v>
      </c>
      <c r="AN9" s="73" t="b">
        <f aca="false">FALSE()</f>
        <v>0</v>
      </c>
      <c r="AO9" s="71" t="s">
        <v>96</v>
      </c>
      <c r="AP9" s="71" t="s">
        <v>164</v>
      </c>
      <c r="AQ9" s="71" t="s">
        <v>96</v>
      </c>
      <c r="AR9" s="71" t="s">
        <v>164</v>
      </c>
    </row>
    <row r="10" customFormat="false" ht="102" hidden="false" customHeight="false" outlineLevel="0" collapsed="false">
      <c r="B10" s="1" t="n">
        <v>1113490</v>
      </c>
      <c r="C10" s="1" t="s">
        <v>655</v>
      </c>
      <c r="D10" s="1" t="n">
        <f aca="false">DATEDIF($C$2, C10, "M")</f>
        <v>48</v>
      </c>
      <c r="E10" s="26" t="s">
        <v>889</v>
      </c>
      <c r="F10" s="31" t="b">
        <f aca="false">TRUE()</f>
        <v>1</v>
      </c>
      <c r="O10" s="27" t="b">
        <f aca="false">TRUE()</f>
        <v>1</v>
      </c>
      <c r="Z10" s="1" t="s">
        <v>128</v>
      </c>
      <c r="AB10" s="1" t="s">
        <v>128</v>
      </c>
      <c r="AK10" s="27" t="b">
        <f aca="false">TRUE()</f>
        <v>1</v>
      </c>
      <c r="AS10" s="1" t="s">
        <v>168</v>
      </c>
      <c r="AT10" s="1" t="s">
        <v>150</v>
      </c>
      <c r="AU10" s="1" t="s">
        <v>117</v>
      </c>
      <c r="AV10" s="1" t="s">
        <v>150</v>
      </c>
      <c r="AW10" s="1" t="s">
        <v>117</v>
      </c>
      <c r="AY10" s="31" t="b">
        <f aca="false">TRUE()</f>
        <v>1</v>
      </c>
    </row>
    <row r="11" customFormat="false" ht="118.5" hidden="false" customHeight="false" outlineLevel="0" collapsed="false">
      <c r="B11" s="1" t="n">
        <v>1113490</v>
      </c>
      <c r="C11" s="1" t="s">
        <v>657</v>
      </c>
      <c r="D11" s="1" t="n">
        <f aca="false">DATEDIF($C$2, C11, "M")</f>
        <v>49</v>
      </c>
      <c r="E11" s="26" t="s">
        <v>890</v>
      </c>
      <c r="F11" s="31" t="b">
        <f aca="false">TRUE()</f>
        <v>1</v>
      </c>
      <c r="G11" s="27" t="b">
        <f aca="false">TRUE()</f>
        <v>1</v>
      </c>
      <c r="Q11" s="27" t="b">
        <f aca="false">TRUE()</f>
        <v>1</v>
      </c>
      <c r="AM11" s="63" t="b">
        <f aca="false">FALSE()</f>
        <v>0</v>
      </c>
      <c r="AN11" s="63" t="b">
        <f aca="false">FALSE()</f>
        <v>0</v>
      </c>
      <c r="AO11" s="30" t="s">
        <v>96</v>
      </c>
      <c r="AP11" s="30" t="s">
        <v>164</v>
      </c>
      <c r="AQ11" s="30" t="s">
        <v>96</v>
      </c>
      <c r="AR11" s="30" t="s">
        <v>164</v>
      </c>
      <c r="AT11" s="1" t="s">
        <v>129</v>
      </c>
      <c r="AV11" s="1" t="s">
        <v>129</v>
      </c>
      <c r="AY11" s="27" t="b">
        <f aca="false">FALSE()</f>
        <v>0</v>
      </c>
      <c r="BS11" s="31" t="b">
        <f aca="false">TRUE()</f>
        <v>1</v>
      </c>
    </row>
    <row r="12" customFormat="false" ht="186.75" hidden="false" customHeight="false" outlineLevel="0" collapsed="false">
      <c r="B12" s="1" t="n">
        <v>1113490</v>
      </c>
      <c r="C12" s="1" t="s">
        <v>891</v>
      </c>
      <c r="D12" s="1" t="n">
        <f aca="false">DATEDIF($C$2, C12, "M")</f>
        <v>51</v>
      </c>
      <c r="E12" s="26" t="s">
        <v>892</v>
      </c>
      <c r="F12" s="31" t="b">
        <f aca="false">TRUE()</f>
        <v>1</v>
      </c>
      <c r="O12" s="27" t="b">
        <f aca="false">TRUE()</f>
        <v>1</v>
      </c>
      <c r="Z12" s="1" t="s">
        <v>128</v>
      </c>
      <c r="AA12" s="1" t="s">
        <v>87</v>
      </c>
      <c r="AB12" s="1" t="s">
        <v>128</v>
      </c>
      <c r="AC12" s="1" t="s">
        <v>87</v>
      </c>
      <c r="AD12" s="1" t="s">
        <v>182</v>
      </c>
      <c r="AM12" s="27" t="b">
        <f aca="false">TRUE()</f>
        <v>1</v>
      </c>
      <c r="AN12" s="27" t="b">
        <f aca="false">TRUE()</f>
        <v>1</v>
      </c>
      <c r="AO12" s="1" t="s">
        <v>107</v>
      </c>
      <c r="AP12" s="1" t="s">
        <v>164</v>
      </c>
      <c r="AQ12" s="1" t="s">
        <v>107</v>
      </c>
      <c r="AR12" s="1" t="s">
        <v>164</v>
      </c>
      <c r="AS12" s="1" t="s">
        <v>168</v>
      </c>
      <c r="AT12" s="1" t="s">
        <v>150</v>
      </c>
      <c r="AU12" s="1" t="s">
        <v>117</v>
      </c>
      <c r="AV12" s="1" t="s">
        <v>150</v>
      </c>
      <c r="AW12" s="1" t="s">
        <v>117</v>
      </c>
      <c r="AY12" s="27" t="b">
        <f aca="false">TRUE()</f>
        <v>1</v>
      </c>
      <c r="BQ12" s="1" t="s">
        <v>119</v>
      </c>
      <c r="CA12" s="31" t="b">
        <f aca="false">TRUE()</f>
        <v>1</v>
      </c>
      <c r="CD12" s="31" t="b">
        <f aca="false">TRUE()</f>
        <v>1</v>
      </c>
    </row>
    <row r="13" customFormat="false" ht="220.5" hidden="false" customHeight="false" outlineLevel="0" collapsed="false">
      <c r="B13" s="1" t="n">
        <v>1113490</v>
      </c>
      <c r="C13" s="1" t="s">
        <v>893</v>
      </c>
      <c r="D13" s="1" t="n">
        <f aca="false">DATEDIF($C$2, C13, "M")</f>
        <v>53</v>
      </c>
      <c r="E13" s="26" t="s">
        <v>894</v>
      </c>
      <c r="O13" s="31" t="b">
        <f aca="false">TRUE()</f>
        <v>1</v>
      </c>
      <c r="Q13" s="27" t="b">
        <f aca="false">TRUE()</f>
        <v>1</v>
      </c>
      <c r="Z13" s="1" t="s">
        <v>128</v>
      </c>
      <c r="AA13" s="1" t="s">
        <v>87</v>
      </c>
      <c r="AB13" s="1" t="s">
        <v>128</v>
      </c>
      <c r="AC13" s="1" t="s">
        <v>87</v>
      </c>
      <c r="AD13" s="1" t="s">
        <v>112</v>
      </c>
      <c r="AE13" s="1" t="s">
        <v>112</v>
      </c>
      <c r="AM13" s="27" t="b">
        <f aca="false">TRUE()</f>
        <v>1</v>
      </c>
      <c r="AN13" s="27" t="b">
        <f aca="false">FALSE()</f>
        <v>0</v>
      </c>
      <c r="AO13" s="1" t="s">
        <v>96</v>
      </c>
      <c r="AP13" s="1" t="s">
        <v>164</v>
      </c>
      <c r="AQ13" s="1" t="s">
        <v>107</v>
      </c>
      <c r="AR13" s="1" t="s">
        <v>164</v>
      </c>
      <c r="AS13" s="1" t="s">
        <v>102</v>
      </c>
      <c r="AT13" s="1" t="s">
        <v>150</v>
      </c>
      <c r="AU13" s="1" t="s">
        <v>117</v>
      </c>
      <c r="AV13" s="1" t="s">
        <v>150</v>
      </c>
      <c r="AW13" s="1" t="s">
        <v>117</v>
      </c>
      <c r="AY13" s="27" t="b">
        <f aca="false">TRUE()</f>
        <v>1</v>
      </c>
      <c r="BQ13" s="1" t="s">
        <v>119</v>
      </c>
      <c r="BV13" s="31" t="b">
        <f aca="false">TRUE()</f>
        <v>1</v>
      </c>
      <c r="CD13" s="31" t="b">
        <f aca="false">TRUE()</f>
        <v>1</v>
      </c>
    </row>
    <row r="14" customFormat="false" ht="169.5" hidden="false" customHeight="false" outlineLevel="0" collapsed="false">
      <c r="B14" s="1" t="n">
        <v>1113490</v>
      </c>
      <c r="C14" s="1" t="s">
        <v>895</v>
      </c>
      <c r="D14" s="1" t="n">
        <f aca="false">DATEDIF($C$2, C14, "M")</f>
        <v>56</v>
      </c>
      <c r="E14" s="26" t="s">
        <v>896</v>
      </c>
      <c r="F14" s="31" t="b">
        <f aca="false">TRUE()</f>
        <v>1</v>
      </c>
      <c r="O14" s="27" t="b">
        <f aca="false">TRUE()</f>
        <v>1</v>
      </c>
      <c r="Z14" s="1" t="s">
        <v>128</v>
      </c>
      <c r="AA14" s="1" t="s">
        <v>87</v>
      </c>
      <c r="AB14" s="1" t="s">
        <v>128</v>
      </c>
      <c r="AC14" s="1" t="s">
        <v>87</v>
      </c>
      <c r="AD14" s="1" t="s">
        <v>112</v>
      </c>
      <c r="AE14" s="1" t="s">
        <v>112</v>
      </c>
      <c r="AM14" s="27" t="b">
        <f aca="false">TRUE()</f>
        <v>1</v>
      </c>
      <c r="AN14" s="27" t="b">
        <f aca="false">FALSE()</f>
        <v>0</v>
      </c>
      <c r="AO14" s="1" t="s">
        <v>107</v>
      </c>
      <c r="AP14" s="1" t="s">
        <v>164</v>
      </c>
      <c r="AQ14" s="1" t="s">
        <v>107</v>
      </c>
      <c r="AR14" s="1" t="s">
        <v>164</v>
      </c>
      <c r="AS14" s="1" t="s">
        <v>168</v>
      </c>
      <c r="AT14" s="1" t="s">
        <v>150</v>
      </c>
      <c r="AU14" s="1" t="s">
        <v>117</v>
      </c>
      <c r="AV14" s="1" t="s">
        <v>150</v>
      </c>
      <c r="AW14" s="1" t="s">
        <v>117</v>
      </c>
      <c r="AY14" s="27" t="b">
        <f aca="false">TRUE()</f>
        <v>1</v>
      </c>
      <c r="BQ14" s="1" t="s">
        <v>119</v>
      </c>
      <c r="BR14" s="1" t="s">
        <v>103</v>
      </c>
      <c r="CD14" s="31" t="b">
        <f aca="false">TRUE()</f>
        <v>1</v>
      </c>
    </row>
    <row r="15" customFormat="false" ht="171.6" hidden="false" customHeight="false" outlineLevel="0" collapsed="false">
      <c r="B15" s="1" t="n">
        <v>1113490</v>
      </c>
      <c r="C15" s="1" t="s">
        <v>897</v>
      </c>
      <c r="D15" s="1" t="n">
        <f aca="false">DATEDIF($C$2, C15, "M")</f>
        <v>57</v>
      </c>
      <c r="E15" s="26" t="s">
        <v>898</v>
      </c>
      <c r="F15" s="31" t="b">
        <f aca="false">TRUE()</f>
        <v>1</v>
      </c>
      <c r="O15" s="27" t="b">
        <f aca="false">TRUE()</f>
        <v>1</v>
      </c>
      <c r="Z15" s="1" t="s">
        <v>128</v>
      </c>
      <c r="AA15" s="1" t="s">
        <v>128</v>
      </c>
      <c r="AB15" s="1" t="s">
        <v>128</v>
      </c>
      <c r="AC15" s="1" t="s">
        <v>128</v>
      </c>
      <c r="AD15" s="1" t="s">
        <v>112</v>
      </c>
      <c r="AE15" s="1" t="s">
        <v>112</v>
      </c>
      <c r="AM15" s="27" t="b">
        <f aca="false">FALSE()</f>
        <v>0</v>
      </c>
      <c r="AN15" s="27" t="b">
        <f aca="false">FALSE()</f>
        <v>0</v>
      </c>
      <c r="AO15" s="1" t="s">
        <v>107</v>
      </c>
      <c r="AP15" s="1" t="s">
        <v>164</v>
      </c>
      <c r="AQ15" s="1" t="s">
        <v>107</v>
      </c>
      <c r="AR15" s="1" t="s">
        <v>164</v>
      </c>
      <c r="AS15" s="26" t="s">
        <v>105</v>
      </c>
      <c r="AT15" s="1" t="s">
        <v>150</v>
      </c>
      <c r="AU15" s="1" t="s">
        <v>117</v>
      </c>
      <c r="AV15" s="1" t="s">
        <v>150</v>
      </c>
      <c r="AW15" s="1" t="s">
        <v>117</v>
      </c>
      <c r="AY15" s="27" t="b">
        <f aca="false">TRUE()</f>
        <v>1</v>
      </c>
      <c r="BQ15" s="1" t="s">
        <v>119</v>
      </c>
      <c r="BR15" s="1" t="s">
        <v>103</v>
      </c>
      <c r="CD15" s="31" t="b">
        <f aca="false">TRUE()</f>
        <v>1</v>
      </c>
    </row>
    <row r="16" customFormat="false" ht="171.6" hidden="false" customHeight="false" outlineLevel="0" collapsed="false">
      <c r="B16" s="1" t="n">
        <v>1113490</v>
      </c>
      <c r="C16" s="1" t="s">
        <v>899</v>
      </c>
      <c r="D16" s="1" t="n">
        <f aca="false">DATEDIF($C$2, C16, "M")</f>
        <v>59</v>
      </c>
      <c r="E16" s="26" t="s">
        <v>900</v>
      </c>
      <c r="F16" s="31" t="b">
        <f aca="false">TRUE()</f>
        <v>1</v>
      </c>
      <c r="O16" s="27" t="b">
        <f aca="false">TRUE()</f>
        <v>1</v>
      </c>
      <c r="Z16" s="1" t="s">
        <v>128</v>
      </c>
      <c r="AA16" s="1" t="s">
        <v>128</v>
      </c>
      <c r="AB16" s="1" t="s">
        <v>128</v>
      </c>
      <c r="AC16" s="1" t="s">
        <v>128</v>
      </c>
      <c r="AD16" s="1" t="s">
        <v>112</v>
      </c>
      <c r="AE16" s="1" t="s">
        <v>112</v>
      </c>
      <c r="AM16" s="27" t="b">
        <f aca="false">FALSE()</f>
        <v>0</v>
      </c>
      <c r="AN16" s="27" t="b">
        <f aca="false">FALSE()</f>
        <v>0</v>
      </c>
      <c r="AO16" s="1" t="s">
        <v>107</v>
      </c>
      <c r="AP16" s="1" t="s">
        <v>164</v>
      </c>
      <c r="AQ16" s="1" t="s">
        <v>107</v>
      </c>
      <c r="AR16" s="1" t="s">
        <v>164</v>
      </c>
      <c r="AS16" s="26" t="s">
        <v>105</v>
      </c>
      <c r="AT16" s="1" t="s">
        <v>150</v>
      </c>
      <c r="AU16" s="1" t="s">
        <v>268</v>
      </c>
      <c r="AV16" s="1" t="s">
        <v>150</v>
      </c>
      <c r="AW16" s="1" t="s">
        <v>268</v>
      </c>
      <c r="AY16" s="27" t="b">
        <f aca="false">TRUE()</f>
        <v>1</v>
      </c>
      <c r="BQ16" s="1" t="s">
        <v>119</v>
      </c>
      <c r="BR16" s="1" t="s">
        <v>103</v>
      </c>
      <c r="CD16" s="31" t="b">
        <f aca="false">TRUE()</f>
        <v>1</v>
      </c>
    </row>
    <row r="17" customFormat="false" ht="171.6" hidden="false" customHeight="false" outlineLevel="0" collapsed="false">
      <c r="B17" s="1" t="n">
        <v>1113490</v>
      </c>
      <c r="C17" s="1" t="s">
        <v>901</v>
      </c>
      <c r="D17" s="1" t="n">
        <f aca="false">DATEDIF($C$2, C17, "M")</f>
        <v>62</v>
      </c>
      <c r="E17" s="26" t="s">
        <v>902</v>
      </c>
      <c r="F17" s="31" t="b">
        <f aca="false">TRUE()</f>
        <v>1</v>
      </c>
      <c r="O17" s="27" t="b">
        <f aca="false">TRUE()</f>
        <v>1</v>
      </c>
      <c r="AD17" s="1" t="s">
        <v>112</v>
      </c>
      <c r="AE17" s="1" t="s">
        <v>112</v>
      </c>
      <c r="AM17" s="27" t="b">
        <f aca="false">FALSE()</f>
        <v>0</v>
      </c>
      <c r="AN17" s="27" t="b">
        <f aca="false">FALSE()</f>
        <v>0</v>
      </c>
      <c r="AO17" s="1" t="s">
        <v>107</v>
      </c>
      <c r="AP17" s="1" t="s">
        <v>164</v>
      </c>
      <c r="AQ17" s="1" t="s">
        <v>107</v>
      </c>
      <c r="AR17" s="1" t="s">
        <v>164</v>
      </c>
      <c r="AS17" s="26" t="s">
        <v>105</v>
      </c>
      <c r="AT17" s="1" t="s">
        <v>150</v>
      </c>
      <c r="AU17" s="1" t="s">
        <v>268</v>
      </c>
      <c r="AV17" s="1" t="s">
        <v>150</v>
      </c>
      <c r="AW17" s="1" t="s">
        <v>268</v>
      </c>
      <c r="AY17" s="27" t="b">
        <f aca="false">TRUE()</f>
        <v>1</v>
      </c>
      <c r="BQ17" s="1" t="s">
        <v>119</v>
      </c>
      <c r="BR17" s="1" t="s">
        <v>103</v>
      </c>
      <c r="CD17" s="31" t="b">
        <f aca="false">TRUE()</f>
        <v>1</v>
      </c>
    </row>
    <row r="18" customFormat="false" ht="153" hidden="false" customHeight="false" outlineLevel="0" collapsed="false">
      <c r="B18" s="1" t="n">
        <v>1113490</v>
      </c>
      <c r="C18" s="1" t="s">
        <v>903</v>
      </c>
      <c r="D18" s="1" t="n">
        <f aca="false">DATEDIF($C$2, C18, "M")</f>
        <v>62</v>
      </c>
      <c r="E18" s="26" t="s">
        <v>904</v>
      </c>
      <c r="F18" s="31" t="b">
        <f aca="false">TRUE()</f>
        <v>1</v>
      </c>
    </row>
    <row r="19" customFormat="false" ht="204" hidden="false" customHeight="false" outlineLevel="0" collapsed="false">
      <c r="B19" s="1" t="n">
        <v>1113490</v>
      </c>
      <c r="C19" s="1" t="s">
        <v>690</v>
      </c>
      <c r="D19" s="1" t="n">
        <f aca="false">DATEDIF($C$2, C19, "M")</f>
        <v>63</v>
      </c>
      <c r="E19" s="26" t="s">
        <v>905</v>
      </c>
      <c r="Q19" s="31" t="b">
        <f aca="false">TRUE()</f>
        <v>1</v>
      </c>
      <c r="AD19" s="1" t="s">
        <v>112</v>
      </c>
      <c r="AE19" s="1" t="s">
        <v>112</v>
      </c>
      <c r="AM19" s="27" t="b">
        <f aca="false">FALSE()</f>
        <v>0</v>
      </c>
      <c r="AN19" s="27" t="b">
        <f aca="false">FALSE()</f>
        <v>0</v>
      </c>
      <c r="AO19" s="1" t="s">
        <v>107</v>
      </c>
      <c r="AP19" s="1" t="s">
        <v>164</v>
      </c>
      <c r="AQ19" s="1" t="s">
        <v>107</v>
      </c>
      <c r="AR19" s="1" t="s">
        <v>164</v>
      </c>
      <c r="AS19" s="26" t="s">
        <v>105</v>
      </c>
      <c r="AT19" s="1" t="s">
        <v>150</v>
      </c>
      <c r="AU19" s="1" t="s">
        <v>268</v>
      </c>
      <c r="AV19" s="1" t="s">
        <v>150</v>
      </c>
      <c r="AW19" s="1" t="s">
        <v>268</v>
      </c>
      <c r="AY19" s="27" t="b">
        <f aca="false">TRUE()</f>
        <v>1</v>
      </c>
      <c r="BQ19" s="1" t="s">
        <v>103</v>
      </c>
      <c r="BR19" s="1" t="s">
        <v>103</v>
      </c>
      <c r="BY19" s="31" t="b">
        <f aca="false">TRUE()</f>
        <v>1</v>
      </c>
      <c r="CD19" s="31" t="b">
        <f aca="false">TRUE()</f>
        <v>1</v>
      </c>
    </row>
    <row r="20" customFormat="false" ht="237.75" hidden="false" customHeight="false" outlineLevel="0" collapsed="false">
      <c r="B20" s="1" t="n">
        <v>1113490</v>
      </c>
      <c r="C20" s="1" t="s">
        <v>906</v>
      </c>
      <c r="D20" s="1" t="n">
        <f aca="false">DATEDIF($C$2, C20, "M")</f>
        <v>63</v>
      </c>
      <c r="E20" s="26" t="s">
        <v>907</v>
      </c>
      <c r="F20" s="31" t="b">
        <f aca="false">TRUE()</f>
        <v>1</v>
      </c>
      <c r="AD20" s="1" t="s">
        <v>112</v>
      </c>
      <c r="AE20" s="1" t="s">
        <v>112</v>
      </c>
      <c r="AM20" s="27" t="b">
        <f aca="false">FALSE()</f>
        <v>0</v>
      </c>
      <c r="AN20" s="27" t="b">
        <f aca="false">FALSE()</f>
        <v>0</v>
      </c>
      <c r="AO20" s="1" t="s">
        <v>107</v>
      </c>
      <c r="AP20" s="1" t="s">
        <v>164</v>
      </c>
      <c r="AQ20" s="1" t="s">
        <v>107</v>
      </c>
      <c r="AR20" s="1" t="s">
        <v>164</v>
      </c>
      <c r="AS20" s="26" t="s">
        <v>105</v>
      </c>
      <c r="AT20" s="1" t="s">
        <v>150</v>
      </c>
      <c r="AU20" s="1" t="s">
        <v>268</v>
      </c>
      <c r="AV20" s="1" t="s">
        <v>150</v>
      </c>
      <c r="AW20" s="1" t="s">
        <v>268</v>
      </c>
      <c r="AY20" s="27" t="b">
        <f aca="false">TRUE()</f>
        <v>1</v>
      </c>
      <c r="BQ20" s="1" t="s">
        <v>119</v>
      </c>
      <c r="BR20" s="1" t="s">
        <v>103</v>
      </c>
      <c r="CD20" s="31" t="b">
        <f aca="false">TRUE()</f>
        <v>1</v>
      </c>
    </row>
    <row r="21" customFormat="false" ht="220.5" hidden="false" customHeight="false" outlineLevel="0" collapsed="false">
      <c r="B21" s="1" t="n">
        <v>1113490</v>
      </c>
      <c r="C21" s="1" t="s">
        <v>604</v>
      </c>
      <c r="D21" s="1" t="n">
        <f aca="false">DATEDIF($C$2, C21, "M")</f>
        <v>63</v>
      </c>
      <c r="E21" s="26" t="s">
        <v>908</v>
      </c>
      <c r="F21" s="31" t="b">
        <f aca="false">TRUE()</f>
        <v>1</v>
      </c>
      <c r="G21" s="27" t="b">
        <f aca="false">TRUE()</f>
        <v>1</v>
      </c>
      <c r="H21" s="27" t="b">
        <f aca="false">TRUE()</f>
        <v>1</v>
      </c>
      <c r="I21" s="27" t="b">
        <f aca="false">TRUE()</f>
        <v>1</v>
      </c>
      <c r="BQ21" s="1" t="s">
        <v>119</v>
      </c>
      <c r="BR21" s="1" t="s">
        <v>108</v>
      </c>
      <c r="BW21" s="1" t="s">
        <v>138</v>
      </c>
      <c r="BX21" s="1" t="s">
        <v>137</v>
      </c>
      <c r="CF21" s="31" t="b">
        <f aca="false">TRUE()</f>
        <v>1</v>
      </c>
      <c r="CG21" s="31" t="b">
        <f aca="false">TRUE()</f>
        <v>1</v>
      </c>
    </row>
    <row r="22" customFormat="false" ht="169.5" hidden="false" customHeight="false" outlineLevel="0" collapsed="false">
      <c r="B22" s="1" t="n">
        <v>1113490</v>
      </c>
      <c r="C22" s="1" t="s">
        <v>503</v>
      </c>
      <c r="D22" s="1" t="n">
        <f aca="false">DATEDIF($C$2, C22, "M")</f>
        <v>64</v>
      </c>
      <c r="E22" s="26" t="s">
        <v>909</v>
      </c>
      <c r="F22" s="31" t="b">
        <f aca="false">TRUE()</f>
        <v>1</v>
      </c>
      <c r="Y22" s="1" t="s">
        <v>502</v>
      </c>
      <c r="BW22" s="1" t="s">
        <v>138</v>
      </c>
      <c r="BX22" s="1" t="s">
        <v>137</v>
      </c>
    </row>
    <row r="23" customFormat="false" ht="237.75" hidden="false" customHeight="false" outlineLevel="0" collapsed="false">
      <c r="B23" s="1" t="n">
        <v>1113490</v>
      </c>
      <c r="C23" s="1" t="s">
        <v>910</v>
      </c>
      <c r="D23" s="1" t="n">
        <f aca="false">DATEDIF($C$2, C23, "M")</f>
        <v>65</v>
      </c>
      <c r="E23" s="26" t="s">
        <v>911</v>
      </c>
      <c r="F23" s="31" t="b">
        <f aca="false">TRUE()</f>
        <v>1</v>
      </c>
      <c r="BQ23" s="1" t="s">
        <v>103</v>
      </c>
      <c r="BR23" s="1" t="s">
        <v>103</v>
      </c>
      <c r="BW23" s="1" t="s">
        <v>138</v>
      </c>
      <c r="BX23" s="1" t="s">
        <v>137</v>
      </c>
      <c r="CH23" s="31" t="b">
        <f aca="false">TRUE()</f>
        <v>1</v>
      </c>
    </row>
    <row r="24" customFormat="false" ht="322.5" hidden="false" customHeight="false" outlineLevel="0" collapsed="false">
      <c r="B24" s="1" t="n">
        <v>1113490</v>
      </c>
      <c r="C24" s="1" t="s">
        <v>912</v>
      </c>
      <c r="D24" s="1" t="n">
        <f aca="false">DATEDIF($C$2, C24, "M")</f>
        <v>66</v>
      </c>
      <c r="E24" s="26" t="s">
        <v>913</v>
      </c>
      <c r="F24" s="31" t="b">
        <f aca="false">TRUE()</f>
        <v>1</v>
      </c>
      <c r="I24" s="27" t="b">
        <f aca="false">TRUE()</f>
        <v>1</v>
      </c>
      <c r="BQ24" s="1" t="s">
        <v>103</v>
      </c>
      <c r="BR24" s="1" t="s">
        <v>103</v>
      </c>
      <c r="BW24" s="1" t="s">
        <v>138</v>
      </c>
      <c r="BX24" s="1" t="s">
        <v>137</v>
      </c>
      <c r="CH24" s="31" t="b">
        <f aca="false">TRUE()</f>
        <v>1</v>
      </c>
    </row>
    <row r="25" customFormat="false" ht="255" hidden="false" customHeight="false" outlineLevel="0" collapsed="false">
      <c r="B25" s="1" t="n">
        <v>1113490</v>
      </c>
      <c r="C25" s="1" t="s">
        <v>914</v>
      </c>
      <c r="D25" s="1" t="n">
        <f aca="false">DATEDIF($C$2, C25, "M")</f>
        <v>67</v>
      </c>
      <c r="E25" s="26" t="s">
        <v>915</v>
      </c>
      <c r="F25" s="31" t="b">
        <f aca="false">TRUE()</f>
        <v>1</v>
      </c>
      <c r="BQ25" s="1" t="s">
        <v>103</v>
      </c>
      <c r="BW25" s="1" t="s">
        <v>138</v>
      </c>
      <c r="BX25" s="1" t="s">
        <v>138</v>
      </c>
      <c r="CH25" s="31" t="b">
        <f aca="false">TRUE()</f>
        <v>1</v>
      </c>
    </row>
    <row r="26" customFormat="false" ht="306" hidden="false" customHeight="false" outlineLevel="0" collapsed="false">
      <c r="B26" s="1" t="n">
        <v>1113490</v>
      </c>
      <c r="C26" s="1" t="s">
        <v>916</v>
      </c>
      <c r="D26" s="1" t="n">
        <f aca="false">DATEDIF($C$2, C26, "M")</f>
        <v>69</v>
      </c>
      <c r="E26" s="26" t="s">
        <v>917</v>
      </c>
      <c r="F26" s="27" t="b">
        <f aca="false">TRUE()</f>
        <v>1</v>
      </c>
      <c r="I26" s="27" t="b">
        <f aca="false">TRUE()</f>
        <v>1</v>
      </c>
      <c r="BQ26" s="1" t="s">
        <v>103</v>
      </c>
      <c r="BR26" s="1" t="s">
        <v>103</v>
      </c>
      <c r="BW26" s="1" t="s">
        <v>138</v>
      </c>
      <c r="BX26" s="1" t="s">
        <v>138</v>
      </c>
      <c r="CH26" s="27" t="b">
        <f aca="false">TRUE()</f>
        <v>1</v>
      </c>
      <c r="CI26" s="27" t="b">
        <f aca="false">TRUE()</f>
        <v>1</v>
      </c>
    </row>
    <row r="27" customFormat="false" ht="255" hidden="false" customHeight="false" outlineLevel="0" collapsed="false">
      <c r="B27" s="1" t="n">
        <v>1113490</v>
      </c>
      <c r="C27" s="1" t="s">
        <v>918</v>
      </c>
      <c r="D27" s="1" t="n">
        <f aca="false">DATEDIF($C$2, C27, "M")</f>
        <v>69</v>
      </c>
      <c r="E27" s="26" t="s">
        <v>919</v>
      </c>
      <c r="F27" s="27" t="b">
        <f aca="false">TRUE()</f>
        <v>1</v>
      </c>
      <c r="Q27" s="27" t="b">
        <f aca="false">TRUE()</f>
        <v>1</v>
      </c>
      <c r="BQ27" s="1" t="s">
        <v>103</v>
      </c>
      <c r="BR27" s="1" t="s">
        <v>103</v>
      </c>
      <c r="BW27" s="1" t="s">
        <v>138</v>
      </c>
      <c r="BX27" s="1" t="s">
        <v>138</v>
      </c>
      <c r="CH27" s="27" t="b">
        <f aca="false">TRUE()</f>
        <v>1</v>
      </c>
      <c r="CI27" s="27" t="b">
        <f aca="false">TRUE()</f>
        <v>1</v>
      </c>
    </row>
    <row r="28" customFormat="false" ht="237.75" hidden="false" customHeight="false" outlineLevel="0" collapsed="false">
      <c r="B28" s="1" t="n">
        <v>1113490</v>
      </c>
      <c r="C28" s="1" t="s">
        <v>920</v>
      </c>
      <c r="D28" s="1" t="n">
        <f aca="false">DATEDIF($C$2, C28, "M")</f>
        <v>70</v>
      </c>
      <c r="E28" s="26" t="s">
        <v>921</v>
      </c>
      <c r="F28" s="27" t="b">
        <f aca="false">TRUE()</f>
        <v>1</v>
      </c>
      <c r="BQ28" s="1" t="s">
        <v>103</v>
      </c>
      <c r="BR28" s="1" t="s">
        <v>103</v>
      </c>
      <c r="BW28" s="1" t="s">
        <v>138</v>
      </c>
      <c r="BX28" s="1" t="s">
        <v>138</v>
      </c>
      <c r="CH28" s="27" t="b">
        <f aca="false">TRUE()</f>
        <v>1</v>
      </c>
      <c r="CI28" s="27" t="b">
        <f aca="false">TRUE()</f>
        <v>1</v>
      </c>
    </row>
    <row r="29" customFormat="false" ht="15.75" hidden="false" customHeight="false" outlineLevel="0" collapsed="false">
      <c r="BQ29" s="1" t="s">
        <v>103</v>
      </c>
    </row>
  </sheetData>
  <dataValidations count="28">
    <dataValidation allowBlank="true" errorStyle="stop" operator="between" showDropDown="false" showErrorMessage="true" showInputMessage="true" sqref="AD2:AD1029" type="list">
      <formula1>list!$B$25:$E$25</formula1>
      <formula2>0</formula2>
    </dataValidation>
    <dataValidation allowBlank="true" errorStyle="stop" operator="between" showDropDown="false" showErrorMessage="true" showInputMessage="true" sqref="BY2:CI1029" type="list">
      <formula1>list!$B$72:$C$72</formula1>
      <formula2>0</formula2>
    </dataValidation>
    <dataValidation allowBlank="true" errorStyle="stop" operator="between" showDropDown="false" showErrorMessage="true" showInputMessage="true" sqref="BW2:BX1029" type="list">
      <formula1>list!$B$70:$F$70</formula1>
      <formula2>0</formula2>
    </dataValidation>
    <dataValidation allowBlank="true" errorStyle="stop" operator="between" showDropDown="false" showErrorMessage="true" showInputMessage="true" sqref="BV2:BV1029" type="list">
      <formula1>list!$B$69:$C$69</formula1>
      <formula2>0</formula2>
    </dataValidation>
    <dataValidation allowBlank="true" errorStyle="stop" operator="between" showDropDown="false" showErrorMessage="true" showInputMessage="true" sqref="BU2:BU1029" type="list">
      <formula1>list!$B$68:$G$68</formula1>
      <formula2>0</formula2>
    </dataValidation>
    <dataValidation allowBlank="true" errorStyle="stop" operator="between" showDropDown="false" showErrorMessage="true" showInputMessage="true" sqref="BR2:BR1029" type="list">
      <formula1>list!$B$65:$F$65</formula1>
      <formula2>0</formula2>
    </dataValidation>
    <dataValidation allowBlank="true" errorStyle="stop" operator="between" showDropDown="false" showErrorMessage="true" showInputMessage="true" sqref="BQ2:BQ1029" type="list">
      <formula1>list!$B$64:$E$64</formula1>
      <formula2>0</formula2>
    </dataValidation>
    <dataValidation allowBlank="true" errorStyle="stop" operator="between" showDropDown="false" showErrorMessage="true" showInputMessage="true" sqref="BB2:BB1029" type="list">
      <formula1>list!$B$49:$P$49</formula1>
      <formula2>0</formula2>
    </dataValidation>
    <dataValidation allowBlank="true" errorStyle="stop" operator="between" showDropDown="false" showErrorMessage="true" showInputMessage="true" sqref="AX2:BA1029 BC2:BP1029 BS2:BT1029" type="list">
      <formula1>list!$B$50:$C$50</formula1>
      <formula2>0</formula2>
    </dataValidation>
    <dataValidation allowBlank="true" errorStyle="stop" operator="between" showDropDown="false" showErrorMessage="true" showInputMessage="true" sqref="AU2:AU1029 AW2:AW1029" type="list">
      <formula1>list!$B$42:$Z$42</formula1>
      <formula2>0</formula2>
    </dataValidation>
    <dataValidation allowBlank="true" errorStyle="stop" operator="between" showDropDown="false" showErrorMessage="true" showInputMessage="true" sqref="AM2:AN1029" type="list">
      <formula1>list!$B$34:$C$34</formula1>
      <formula2>0</formula2>
    </dataValidation>
    <dataValidation allowBlank="true" errorStyle="stop" operator="between" showDropDown="false" showErrorMessage="true" showInputMessage="true" sqref="AL2:AL1029" type="list">
      <formula1>list!$B$33:$H$33</formula1>
      <formula2>0</formula2>
    </dataValidation>
    <dataValidation allowBlank="true" errorStyle="stop" operator="between" showDropDown="false" showErrorMessage="true" showInputMessage="true" sqref="AF2:AK1029" type="list">
      <formula1>list!$B$27:$C$27</formula1>
      <formula2>0</formula2>
    </dataValidation>
    <dataValidation allowBlank="true" errorStyle="stop" operator="between" showDropDown="false" showErrorMessage="true" showInputMessage="true" sqref="AE2:AE1029" type="list">
      <formula1>list!$B$26:$E$26</formula1>
      <formula2>0</formula2>
    </dataValidation>
    <dataValidation allowBlank="true" errorStyle="stop" operator="between" showDropDown="false" showErrorMessage="true" showInputMessage="true" sqref="Z2:AC1029" type="list">
      <formula1>list!$B$21:$M$21</formula1>
      <formula2>0</formula2>
    </dataValidation>
    <dataValidation allowBlank="true" errorStyle="stop" operator="between" showDropDown="false" showErrorMessage="true" showInputMessage="true" sqref="V2:W1029" type="list">
      <formula1>list!$B$17:$J$17</formula1>
      <formula2>0</formula2>
    </dataValidation>
    <dataValidation allowBlank="true" errorStyle="stop" operator="between" showDropDown="false" showErrorMessage="true" showInputMessage="true" sqref="G2:U1029" type="list">
      <formula1>list!$B$2:$C$2</formula1>
      <formula2>0</formula2>
    </dataValidation>
    <dataValidation allowBlank="true" errorStyle="stop" operator="between" showDropDown="false" showErrorMessage="true" showInputMessage="true" sqref="AO2:AO1029 AQ2:AQ1029" type="list">
      <formula1>list!$B$36:$G$36</formula1>
      <formula2>0</formula2>
    </dataValidation>
    <dataValidation allowBlank="true" errorStyle="stop" operator="between" showDropDown="false" showErrorMessage="true" showInputMessage="true" sqref="AT2:AT1029 AV2:AV1029" type="list">
      <formula1>list!$B$41:$F$41</formula1>
      <formula2>0</formula2>
    </dataValidation>
    <dataValidation allowBlank="true" errorStyle="stop" operator="between" showDropDown="false" showErrorMessage="true" showInputMessage="true" sqref="AS2:AS110" type="list">
      <formula1>list!$B$40:$I$40</formula1>
      <formula2>0</formula2>
    </dataValidation>
    <dataValidation allowBlank="true" errorStyle="stop" operator="between" showDropDown="false" showErrorMessage="true" showInputMessage="true" sqref="X2:Y2 X3:X102" type="list">
      <formula1>list!$B$19:$D$19</formula1>
      <formula2>0</formula2>
    </dataValidation>
    <dataValidation allowBlank="true" errorStyle="stop" operator="between" showDropDown="false" showErrorMessage="true" showInputMessage="true" sqref="Y3:Y154" type="list">
      <formula1>list!$B$20:$I$20</formula1>
      <formula2>0</formula2>
    </dataValidation>
    <dataValidation allowBlank="true" errorStyle="stop" operator="between" showDropDown="false" showErrorMessage="true" showInputMessage="true" sqref="AS123:AS1029" type="list">
      <formula1>list!$B$40:$G$40</formula1>
      <formula2>0</formula2>
    </dataValidation>
    <dataValidation allowBlank="true" errorStyle="stop" operator="between" showDropDown="false" showErrorMessage="true" showInputMessage="true" sqref="Y155:Y1029" type="list">
      <formula1>list!$B$20:$H$20</formula1>
      <formula2>0</formula2>
    </dataValidation>
    <dataValidation allowBlank="true" errorStyle="stop" operator="between" showDropDown="false" showErrorMessage="true" showInputMessage="true" sqref="AP2:AP96 AR2:AR99" type="list">
      <formula1>list!$B$37:$T$37</formula1>
      <formula2>0</formula2>
    </dataValidation>
    <dataValidation allowBlank="true" errorStyle="stop" operator="between" showDropDown="false" showErrorMessage="true" showInputMessage="true" sqref="AP97:AP101" type="list">
      <formula1>list!$B$37:$P$37</formula1>
      <formula2>0</formula2>
    </dataValidation>
    <dataValidation allowBlank="true" errorStyle="stop" operator="between" showDropDown="false" showErrorMessage="true" showInputMessage="true" sqref="X103:X1029" type="list">
      <formula1>list!$B$19:$C$19</formula1>
      <formula2>0</formula2>
    </dataValidation>
    <dataValidation allowBlank="true" errorStyle="stop" operator="between" showDropDown="false" showErrorMessage="true" showInputMessage="true" sqref="AR100:AR1029 AP102:AP1029" type="list">
      <formula1>list!$B$37:$O$37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70C0"/>
    <pageSetUpPr fitToPage="false"/>
  </sheetPr>
  <dimension ref="A1:CI26"/>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G20" activePane="bottomRight" state="frozen"/>
      <selection pane="topLeft" activeCell="A1" activeCellId="0" sqref="A1"/>
      <selection pane="topRight" activeCell="G1" activeCellId="0" sqref="G1"/>
      <selection pane="bottomLeft" activeCell="A20" activeCellId="0" sqref="A20"/>
      <selection pane="bottomRight" activeCell="Y26" activeCellId="0" sqref="Y26"/>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49.5"/>
    <col collapsed="false" customWidth="true" hidden="fals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2" customFormat="false" ht="100.7" hidden="false" customHeight="false" outlineLevel="0" collapsed="false">
      <c r="B2" s="1" t="n">
        <v>1113487</v>
      </c>
      <c r="C2" s="1" t="s">
        <v>873</v>
      </c>
      <c r="D2" s="1" t="n">
        <f aca="false">DATEDIF($C$2, C2, "M")</f>
        <v>0</v>
      </c>
      <c r="E2" s="26" t="s">
        <v>922</v>
      </c>
      <c r="F2" s="27" t="b">
        <f aca="false">TRUE()</f>
        <v>1</v>
      </c>
      <c r="G2" s="27" t="b">
        <f aca="false">TRUE()</f>
        <v>1</v>
      </c>
      <c r="H2" s="27" t="b">
        <f aca="false">TRUE()</f>
        <v>1</v>
      </c>
      <c r="I2" s="27" t="b">
        <f aca="false">TRUE()</f>
        <v>1</v>
      </c>
    </row>
    <row r="3" customFormat="false" ht="114.9" hidden="false" customHeight="false" outlineLevel="0" collapsed="false">
      <c r="B3" s="1" t="n">
        <v>1113487</v>
      </c>
      <c r="C3" s="1" t="s">
        <v>863</v>
      </c>
      <c r="D3" s="1" t="n">
        <f aca="false">DATEDIF($C$2, C3, "M")</f>
        <v>38</v>
      </c>
      <c r="E3" s="26" t="s">
        <v>923</v>
      </c>
      <c r="F3" s="27" t="b">
        <f aca="false">TRUE()</f>
        <v>1</v>
      </c>
      <c r="Z3" s="1" t="s">
        <v>128</v>
      </c>
      <c r="AA3" s="1" t="s">
        <v>128</v>
      </c>
      <c r="AB3" s="1" t="s">
        <v>128</v>
      </c>
      <c r="AC3" s="1" t="s">
        <v>128</v>
      </c>
    </row>
    <row r="4" customFormat="false" ht="214.15" hidden="false" customHeight="false" outlineLevel="0" collapsed="false">
      <c r="B4" s="1" t="n">
        <v>1113487</v>
      </c>
      <c r="C4" s="1" t="s">
        <v>880</v>
      </c>
      <c r="D4" s="1" t="n">
        <f aca="false">DATEDIF($C$2, C4, "M")</f>
        <v>43</v>
      </c>
      <c r="E4" s="26" t="s">
        <v>924</v>
      </c>
      <c r="F4" s="27" t="b">
        <f aca="false">TRUE()</f>
        <v>1</v>
      </c>
      <c r="K4" s="27" t="b">
        <f aca="false">TRUE()</f>
        <v>1</v>
      </c>
      <c r="M4" s="27" t="b">
        <f aca="false">TRUE()</f>
        <v>1</v>
      </c>
      <c r="AA4" s="1" t="s">
        <v>87</v>
      </c>
      <c r="AC4" s="1" t="s">
        <v>87</v>
      </c>
      <c r="AL4" s="1" t="s">
        <v>89</v>
      </c>
      <c r="AO4" s="1" t="s">
        <v>96</v>
      </c>
      <c r="AP4" s="1" t="s">
        <v>91</v>
      </c>
      <c r="AQ4" s="1" t="s">
        <v>96</v>
      </c>
      <c r="AR4" s="1" t="s">
        <v>91</v>
      </c>
      <c r="BC4" s="27" t="b">
        <f aca="false">TRUE()</f>
        <v>1</v>
      </c>
      <c r="BF4" s="27" t="b">
        <f aca="false">TRUE()</f>
        <v>1</v>
      </c>
    </row>
    <row r="5" customFormat="false" ht="129.1" hidden="false" customHeight="false" outlineLevel="0" collapsed="false">
      <c r="B5" s="1" t="n">
        <v>1113487</v>
      </c>
      <c r="C5" s="1" t="s">
        <v>883</v>
      </c>
      <c r="D5" s="1" t="n">
        <f aca="false">DATEDIF($C$2, C5, "M")</f>
        <v>44</v>
      </c>
      <c r="E5" s="26" t="s">
        <v>925</v>
      </c>
      <c r="F5" s="27" t="b">
        <f aca="false">TRUE()</f>
        <v>1</v>
      </c>
      <c r="AM5" s="1" t="b">
        <f aca="false">TRUE()</f>
        <v>1</v>
      </c>
      <c r="AN5" s="27" t="b">
        <f aca="false">FALSE()</f>
        <v>0</v>
      </c>
      <c r="AO5" s="1" t="s">
        <v>96</v>
      </c>
      <c r="AP5" s="1" t="s">
        <v>152</v>
      </c>
      <c r="AQ5" s="1" t="s">
        <v>96</v>
      </c>
      <c r="AR5" s="1" t="s">
        <v>91</v>
      </c>
      <c r="AS5" s="1" t="s">
        <v>570</v>
      </c>
      <c r="BC5" s="27" t="b">
        <f aca="false">TRUE()</f>
        <v>1</v>
      </c>
      <c r="BF5" s="27" t="b">
        <f aca="false">TRUE()</f>
        <v>1</v>
      </c>
    </row>
    <row r="6" customFormat="false" ht="270.85" hidden="false" customHeight="false" outlineLevel="0" collapsed="false">
      <c r="B6" s="1" t="n">
        <v>1113487</v>
      </c>
      <c r="C6" s="1" t="s">
        <v>885</v>
      </c>
      <c r="D6" s="1" t="n">
        <f aca="false">DATEDIF($C$2, C6, "M")</f>
        <v>45</v>
      </c>
      <c r="E6" s="26" t="s">
        <v>926</v>
      </c>
      <c r="F6" s="31" t="b">
        <f aca="false">TRUE()</f>
        <v>1</v>
      </c>
      <c r="Q6" s="27" t="b">
        <f aca="false">TRUE()</f>
        <v>1</v>
      </c>
      <c r="W6" s="1" t="s">
        <v>458</v>
      </c>
      <c r="AM6" s="31" t="b">
        <f aca="false">FALSE()</f>
        <v>0</v>
      </c>
      <c r="AN6" s="27" t="b">
        <f aca="false">TRUE()</f>
        <v>1</v>
      </c>
      <c r="AO6" s="1" t="s">
        <v>96</v>
      </c>
      <c r="AP6" s="1" t="s">
        <v>152</v>
      </c>
      <c r="AQ6" s="1" t="s">
        <v>96</v>
      </c>
      <c r="AR6" s="1" t="s">
        <v>131</v>
      </c>
      <c r="AS6" s="1" t="s">
        <v>451</v>
      </c>
      <c r="BQ6" s="1" t="s">
        <v>119</v>
      </c>
    </row>
    <row r="7" customFormat="false" ht="86.55" hidden="false" customHeight="false" outlineLevel="0" collapsed="false">
      <c r="B7" s="1" t="n">
        <v>1113487</v>
      </c>
      <c r="C7" s="1" t="s">
        <v>887</v>
      </c>
      <c r="D7" s="1" t="n">
        <f aca="false">DATEDIF($C$2, C7, "M")</f>
        <v>47</v>
      </c>
      <c r="E7" s="26" t="s">
        <v>927</v>
      </c>
      <c r="F7" s="31" t="b">
        <f aca="false">TRUE()</f>
        <v>1</v>
      </c>
      <c r="AM7" s="1" t="b">
        <f aca="false">TRUE()</f>
        <v>1</v>
      </c>
      <c r="AN7" s="36" t="b">
        <f aca="false">TRUE()</f>
        <v>1</v>
      </c>
      <c r="AO7" s="1" t="s">
        <v>96</v>
      </c>
      <c r="AP7" s="1" t="s">
        <v>167</v>
      </c>
      <c r="AQ7" s="1" t="s">
        <v>96</v>
      </c>
      <c r="AR7" s="1" t="s">
        <v>650</v>
      </c>
      <c r="BQ7" s="1" t="s">
        <v>135</v>
      </c>
    </row>
    <row r="8" customFormat="false" ht="114.9" hidden="false" customHeight="false" outlineLevel="0" collapsed="false">
      <c r="B8" s="1" t="n">
        <v>1113487</v>
      </c>
      <c r="C8" s="1" t="s">
        <v>655</v>
      </c>
      <c r="D8" s="1" t="n">
        <f aca="false">DATEDIF($C$2, C8, "M")</f>
        <v>48</v>
      </c>
      <c r="E8" s="26" t="s">
        <v>928</v>
      </c>
      <c r="F8" s="1" t="b">
        <f aca="false">TRUE()</f>
        <v>1</v>
      </c>
      <c r="AM8" s="1" t="b">
        <f aca="false">TRUE()</f>
        <v>1</v>
      </c>
      <c r="AN8" s="36" t="b">
        <f aca="false">TRUE()</f>
        <v>1</v>
      </c>
      <c r="AO8" s="1" t="s">
        <v>96</v>
      </c>
      <c r="AP8" s="1" t="s">
        <v>160</v>
      </c>
      <c r="AQ8" s="1" t="s">
        <v>96</v>
      </c>
      <c r="AR8" s="1" t="s">
        <v>160</v>
      </c>
      <c r="BQ8" s="1" t="s">
        <v>119</v>
      </c>
    </row>
    <row r="9" customFormat="false" ht="157.45" hidden="false" customHeight="false" outlineLevel="0" collapsed="false">
      <c r="B9" s="1" t="n">
        <v>1113487</v>
      </c>
      <c r="C9" s="1" t="s">
        <v>657</v>
      </c>
      <c r="D9" s="1" t="n">
        <f aca="false">DATEDIF($C$2, C9, "M")</f>
        <v>49</v>
      </c>
      <c r="E9" s="26" t="s">
        <v>929</v>
      </c>
      <c r="F9" s="1" t="b">
        <f aca="false">TRUE()</f>
        <v>1</v>
      </c>
      <c r="Z9" s="1" t="s">
        <v>193</v>
      </c>
      <c r="AB9" s="1" t="s">
        <v>193</v>
      </c>
      <c r="AE9" s="1" t="s">
        <v>112</v>
      </c>
      <c r="AM9" s="27" t="b">
        <f aca="false">TRUE()</f>
        <v>1</v>
      </c>
      <c r="AN9" s="36" t="b">
        <f aca="false">TRUE()</f>
        <v>1</v>
      </c>
      <c r="AO9" s="1" t="s">
        <v>107</v>
      </c>
      <c r="AP9" s="1" t="s">
        <v>97</v>
      </c>
      <c r="AQ9" s="1" t="s">
        <v>107</v>
      </c>
      <c r="AR9" s="1" t="s">
        <v>164</v>
      </c>
      <c r="AT9" s="1" t="s">
        <v>150</v>
      </c>
      <c r="AU9" s="1" t="s">
        <v>117</v>
      </c>
      <c r="AV9" s="1" t="s">
        <v>150</v>
      </c>
      <c r="AW9" s="1" t="s">
        <v>117</v>
      </c>
      <c r="AY9" s="27" t="b">
        <f aca="false">TRUE()</f>
        <v>1</v>
      </c>
      <c r="BQ9" s="1" t="s">
        <v>135</v>
      </c>
    </row>
    <row r="10" customFormat="false" ht="256.7" hidden="false" customHeight="false" outlineLevel="0" collapsed="false">
      <c r="B10" s="1" t="n">
        <v>1113487</v>
      </c>
      <c r="C10" s="1" t="s">
        <v>891</v>
      </c>
      <c r="D10" s="1" t="n">
        <f aca="false">DATEDIF($C$2, C10, "M")</f>
        <v>51</v>
      </c>
      <c r="E10" s="26" t="s">
        <v>930</v>
      </c>
      <c r="F10" s="1" t="b">
        <f aca="false">TRUE()</f>
        <v>1</v>
      </c>
      <c r="O10" s="27" t="b">
        <f aca="false">TRUE()</f>
        <v>1</v>
      </c>
      <c r="Z10" s="1" t="s">
        <v>128</v>
      </c>
      <c r="AA10" s="1" t="s">
        <v>87</v>
      </c>
      <c r="AB10" s="1" t="s">
        <v>128</v>
      </c>
      <c r="AC10" s="1" t="s">
        <v>87</v>
      </c>
      <c r="AD10" s="1" t="s">
        <v>112</v>
      </c>
      <c r="AE10" s="1" t="s">
        <v>112</v>
      </c>
      <c r="AM10" s="27" t="b">
        <f aca="false">FALSE()</f>
        <v>0</v>
      </c>
      <c r="AN10" s="36" t="b">
        <f aca="false">FALSE()</f>
        <v>0</v>
      </c>
      <c r="AO10" s="1" t="s">
        <v>107</v>
      </c>
      <c r="AP10" s="1" t="s">
        <v>97</v>
      </c>
      <c r="AQ10" s="1" t="s">
        <v>107</v>
      </c>
      <c r="AR10" s="1" t="s">
        <v>164</v>
      </c>
      <c r="AS10" s="26" t="s">
        <v>105</v>
      </c>
      <c r="AT10" s="1" t="s">
        <v>150</v>
      </c>
      <c r="AU10" s="1" t="s">
        <v>117</v>
      </c>
      <c r="AV10" s="1" t="s">
        <v>150</v>
      </c>
      <c r="AW10" s="1" t="s">
        <v>117</v>
      </c>
      <c r="AY10" s="27" t="b">
        <f aca="false">TRUE()</f>
        <v>1</v>
      </c>
      <c r="BQ10" s="1" t="s">
        <v>135</v>
      </c>
      <c r="BR10" s="1" t="s">
        <v>103</v>
      </c>
      <c r="CA10" s="27" t="b">
        <f aca="false">TRUE()</f>
        <v>1</v>
      </c>
      <c r="CD10" s="27" t="b">
        <f aca="false">TRUE()</f>
        <v>1</v>
      </c>
    </row>
    <row r="11" customFormat="false" ht="214.15" hidden="false" customHeight="false" outlineLevel="0" collapsed="false">
      <c r="B11" s="1" t="n">
        <v>1113487</v>
      </c>
      <c r="C11" s="1" t="s">
        <v>893</v>
      </c>
      <c r="D11" s="1" t="n">
        <f aca="false">DATEDIF($C$2, C11, "M")</f>
        <v>53</v>
      </c>
      <c r="E11" s="26" t="s">
        <v>931</v>
      </c>
      <c r="F11" s="1" t="b">
        <f aca="false">TRUE()</f>
        <v>1</v>
      </c>
      <c r="G11" s="27" t="b">
        <f aca="false">TRUE()</f>
        <v>1</v>
      </c>
      <c r="O11" s="27" t="b">
        <f aca="false">TRUE()</f>
        <v>1</v>
      </c>
      <c r="Z11" s="1" t="s">
        <v>87</v>
      </c>
      <c r="AA11" s="1" t="s">
        <v>87</v>
      </c>
      <c r="AB11" s="1" t="s">
        <v>128</v>
      </c>
      <c r="AC11" s="1" t="s">
        <v>128</v>
      </c>
      <c r="AD11" s="1" t="s">
        <v>112</v>
      </c>
      <c r="AE11" s="1" t="s">
        <v>112</v>
      </c>
      <c r="AM11" s="27" t="b">
        <f aca="false">FALSE()</f>
        <v>0</v>
      </c>
      <c r="AN11" s="36" t="b">
        <f aca="false">FALSE()</f>
        <v>0</v>
      </c>
      <c r="AO11" s="1" t="s">
        <v>107</v>
      </c>
      <c r="AP11" s="1" t="s">
        <v>97</v>
      </c>
      <c r="AQ11" s="1" t="s">
        <v>107</v>
      </c>
      <c r="AR11" s="1" t="s">
        <v>164</v>
      </c>
      <c r="AS11" s="26" t="s">
        <v>105</v>
      </c>
      <c r="AT11" s="1" t="s">
        <v>150</v>
      </c>
      <c r="AU11" s="1" t="s">
        <v>117</v>
      </c>
      <c r="AV11" s="1" t="s">
        <v>150</v>
      </c>
      <c r="AW11" s="1" t="s">
        <v>117</v>
      </c>
      <c r="AY11" s="27" t="b">
        <f aca="false">TRUE()</f>
        <v>1</v>
      </c>
      <c r="BQ11" s="1" t="s">
        <v>103</v>
      </c>
      <c r="BR11" s="1" t="s">
        <v>473</v>
      </c>
      <c r="CA11" s="27" t="b">
        <f aca="false">TRUE()</f>
        <v>1</v>
      </c>
      <c r="CD11" s="27" t="b">
        <f aca="false">TRUE()</f>
        <v>1</v>
      </c>
    </row>
    <row r="12" customFormat="false" ht="171.6" hidden="false" customHeight="false" outlineLevel="0" collapsed="false">
      <c r="B12" s="1" t="n">
        <v>1113487</v>
      </c>
      <c r="C12" s="1" t="s">
        <v>895</v>
      </c>
      <c r="D12" s="1" t="n">
        <f aca="false">DATEDIF($C$2, C12, "M")</f>
        <v>56</v>
      </c>
      <c r="E12" s="26" t="s">
        <v>932</v>
      </c>
      <c r="F12" s="1" t="b">
        <f aca="false">TRUE()</f>
        <v>1</v>
      </c>
      <c r="Z12" s="1" t="s">
        <v>87</v>
      </c>
      <c r="AA12" s="1" t="s">
        <v>87</v>
      </c>
      <c r="AB12" s="1" t="s">
        <v>193</v>
      </c>
      <c r="AC12" s="1" t="s">
        <v>193</v>
      </c>
      <c r="AM12" s="31" t="b">
        <f aca="false">TRUE()</f>
        <v>1</v>
      </c>
      <c r="AN12" s="36" t="b">
        <f aca="false">TRUE()</f>
        <v>1</v>
      </c>
      <c r="AO12" s="1" t="s">
        <v>96</v>
      </c>
      <c r="AP12" s="1" t="s">
        <v>131</v>
      </c>
      <c r="AQ12" s="1" t="s">
        <v>96</v>
      </c>
      <c r="AR12" s="1" t="s">
        <v>131</v>
      </c>
      <c r="AS12" s="26"/>
      <c r="AT12" s="1" t="s">
        <v>129</v>
      </c>
      <c r="AV12" s="1" t="s">
        <v>129</v>
      </c>
      <c r="AY12" s="27" t="b">
        <f aca="false">FALSE()</f>
        <v>0</v>
      </c>
      <c r="BQ12" s="1" t="s">
        <v>135</v>
      </c>
      <c r="BR12" s="1" t="s">
        <v>103</v>
      </c>
      <c r="BS12" s="27" t="b">
        <f aca="false">TRUE()</f>
        <v>1</v>
      </c>
    </row>
    <row r="13" customFormat="false" ht="72.35" hidden="false" customHeight="false" outlineLevel="0" collapsed="false">
      <c r="B13" s="1" t="n">
        <v>1113487</v>
      </c>
      <c r="C13" s="1" t="s">
        <v>933</v>
      </c>
      <c r="D13" s="1" t="n">
        <f aca="false">DATEDIF($C$2, C13, "M")</f>
        <v>56</v>
      </c>
      <c r="E13" s="26" t="s">
        <v>934</v>
      </c>
      <c r="F13" s="1" t="b">
        <f aca="false">TRUE()</f>
        <v>1</v>
      </c>
      <c r="AM13" s="1" t="b">
        <f aca="false">FALSE()</f>
        <v>0</v>
      </c>
      <c r="AN13" s="27" t="b">
        <f aca="false">FALSE()</f>
        <v>0</v>
      </c>
      <c r="AO13" s="1" t="s">
        <v>96</v>
      </c>
      <c r="AP13" s="1" t="s">
        <v>131</v>
      </c>
      <c r="AQ13" s="1" t="s">
        <v>96</v>
      </c>
      <c r="AR13" s="1" t="s">
        <v>131</v>
      </c>
      <c r="BT13" s="27" t="b">
        <f aca="false">TRUE()</f>
        <v>1</v>
      </c>
      <c r="BU13" s="26" t="s">
        <v>153</v>
      </c>
      <c r="BV13" s="27" t="b">
        <f aca="false">TRUE()</f>
        <v>1</v>
      </c>
    </row>
    <row r="14" customFormat="false" ht="199.95" hidden="false" customHeight="false" outlineLevel="0" collapsed="false">
      <c r="B14" s="1" t="n">
        <v>1113487</v>
      </c>
      <c r="C14" s="1" t="s">
        <v>897</v>
      </c>
      <c r="D14" s="1" t="n">
        <f aca="false">DATEDIF($C$2, C14, "M")</f>
        <v>57</v>
      </c>
      <c r="E14" s="26" t="s">
        <v>935</v>
      </c>
      <c r="F14" s="1" t="b">
        <f aca="false">TRUE()</f>
        <v>1</v>
      </c>
      <c r="Z14" s="1" t="s">
        <v>87</v>
      </c>
      <c r="AA14" s="1" t="s">
        <v>87</v>
      </c>
      <c r="AB14" s="1" t="s">
        <v>128</v>
      </c>
      <c r="AC14" s="1" t="s">
        <v>128</v>
      </c>
      <c r="AD14" s="1" t="s">
        <v>112</v>
      </c>
      <c r="AE14" s="1" t="s">
        <v>112</v>
      </c>
      <c r="AM14" s="27" t="b">
        <f aca="false">TRUE()</f>
        <v>1</v>
      </c>
      <c r="AN14" s="27" t="b">
        <f aca="false">TRUE()</f>
        <v>1</v>
      </c>
      <c r="AO14" s="1" t="s">
        <v>96</v>
      </c>
      <c r="AP14" s="1" t="s">
        <v>94</v>
      </c>
      <c r="AQ14" s="1" t="s">
        <v>96</v>
      </c>
      <c r="AR14" s="1" t="s">
        <v>152</v>
      </c>
      <c r="AX14" s="27" t="b">
        <f aca="false">FALSE()</f>
        <v>0</v>
      </c>
      <c r="AY14" s="27" t="b">
        <f aca="false">FALSE()</f>
        <v>0</v>
      </c>
      <c r="AZ14" s="27" t="b">
        <f aca="false">FALSE()</f>
        <v>0</v>
      </c>
      <c r="BQ14" s="1" t="s">
        <v>135</v>
      </c>
      <c r="BR14" s="1" t="s">
        <v>108</v>
      </c>
      <c r="BV14" s="27" t="b">
        <f aca="false">TRUE()</f>
        <v>1</v>
      </c>
    </row>
    <row r="15" customFormat="false" ht="214.15" hidden="false" customHeight="false" outlineLevel="0" collapsed="false">
      <c r="B15" s="1" t="n">
        <v>1113487</v>
      </c>
      <c r="C15" s="1" t="s">
        <v>899</v>
      </c>
      <c r="D15" s="1" t="n">
        <f aca="false">DATEDIF($C$2, C15, "M")</f>
        <v>59</v>
      </c>
      <c r="E15" s="26" t="s">
        <v>936</v>
      </c>
      <c r="F15" s="1" t="b">
        <f aca="false">TRUE()</f>
        <v>1</v>
      </c>
      <c r="Z15" s="1" t="s">
        <v>87</v>
      </c>
      <c r="AA15" s="1" t="s">
        <v>87</v>
      </c>
      <c r="AB15" s="1" t="s">
        <v>128</v>
      </c>
      <c r="AC15" s="1" t="s">
        <v>128</v>
      </c>
      <c r="AD15" s="1" t="s">
        <v>112</v>
      </c>
      <c r="AE15" s="1" t="s">
        <v>112</v>
      </c>
      <c r="AM15" s="27" t="b">
        <f aca="false">TRUE()</f>
        <v>1</v>
      </c>
      <c r="AN15" s="27" t="b">
        <f aca="false">TRUE()</f>
        <v>1</v>
      </c>
      <c r="AO15" s="1" t="s">
        <v>96</v>
      </c>
      <c r="AP15" s="1" t="s">
        <v>97</v>
      </c>
      <c r="AQ15" s="1" t="s">
        <v>96</v>
      </c>
      <c r="AR15" s="1" t="s">
        <v>97</v>
      </c>
      <c r="AX15" s="27" t="b">
        <f aca="false">FALSE()</f>
        <v>0</v>
      </c>
      <c r="AY15" s="27" t="b">
        <f aca="false">FALSE()</f>
        <v>0</v>
      </c>
      <c r="AZ15" s="27" t="b">
        <f aca="false">FALSE()</f>
        <v>0</v>
      </c>
      <c r="BQ15" s="1" t="s">
        <v>135</v>
      </c>
      <c r="BR15" s="1" t="s">
        <v>108</v>
      </c>
    </row>
    <row r="16" customFormat="false" ht="256.7" hidden="false" customHeight="false" outlineLevel="0" collapsed="false">
      <c r="B16" s="1" t="n">
        <v>1113487</v>
      </c>
      <c r="C16" s="1" t="s">
        <v>901</v>
      </c>
      <c r="D16" s="1" t="n">
        <f aca="false">DATEDIF($C$2, C16, "M")</f>
        <v>62</v>
      </c>
      <c r="E16" s="26" t="s">
        <v>937</v>
      </c>
      <c r="F16" s="1" t="b">
        <f aca="false">TRUE()</f>
        <v>1</v>
      </c>
      <c r="Z16" s="1" t="s">
        <v>87</v>
      </c>
      <c r="AA16" s="1" t="s">
        <v>87</v>
      </c>
      <c r="AB16" s="1" t="s">
        <v>128</v>
      </c>
      <c r="AC16" s="1" t="s">
        <v>128</v>
      </c>
      <c r="AD16" s="1" t="s">
        <v>112</v>
      </c>
      <c r="AE16" s="1" t="s">
        <v>112</v>
      </c>
      <c r="AM16" s="27" t="b">
        <f aca="false">TRUE()</f>
        <v>1</v>
      </c>
      <c r="AN16" s="27" t="b">
        <f aca="false">TRUE()</f>
        <v>1</v>
      </c>
      <c r="AO16" s="1" t="s">
        <v>107</v>
      </c>
      <c r="AP16" s="1" t="s">
        <v>160</v>
      </c>
      <c r="AQ16" s="1" t="s">
        <v>107</v>
      </c>
      <c r="AR16" s="1" t="s">
        <v>160</v>
      </c>
      <c r="AS16" s="26" t="s">
        <v>105</v>
      </c>
      <c r="AT16" s="1" t="s">
        <v>133</v>
      </c>
      <c r="AU16" s="1" t="s">
        <v>206</v>
      </c>
      <c r="AV16" s="1" t="s">
        <v>150</v>
      </c>
      <c r="AW16" s="1" t="s">
        <v>206</v>
      </c>
      <c r="AX16" s="27" t="b">
        <f aca="false">TRUE()</f>
        <v>1</v>
      </c>
      <c r="AY16" s="27" t="b">
        <f aca="false">TRUE()</f>
        <v>1</v>
      </c>
      <c r="BQ16" s="1" t="s">
        <v>620</v>
      </c>
      <c r="BR16" s="1" t="s">
        <v>108</v>
      </c>
      <c r="BV16" s="27" t="b">
        <f aca="false">TRUE()</f>
        <v>1</v>
      </c>
    </row>
    <row r="17" customFormat="false" ht="58.2" hidden="false" customHeight="false" outlineLevel="0" collapsed="false">
      <c r="B17" s="1" t="n">
        <v>1113487</v>
      </c>
      <c r="C17" s="1" t="s">
        <v>688</v>
      </c>
      <c r="D17" s="1" t="n">
        <f aca="false">DATEDIF($C$2, C17, "M")</f>
        <v>63</v>
      </c>
      <c r="E17" s="26" t="s">
        <v>938</v>
      </c>
      <c r="F17" s="1" t="b">
        <f aca="false">TRUE()</f>
        <v>1</v>
      </c>
      <c r="Z17" s="1" t="s">
        <v>128</v>
      </c>
      <c r="AA17" s="1" t="s">
        <v>128</v>
      </c>
      <c r="AB17" s="1" t="s">
        <v>128</v>
      </c>
      <c r="AC17" s="1" t="s">
        <v>128</v>
      </c>
    </row>
    <row r="18" customFormat="false" ht="214.15" hidden="false" customHeight="false" outlineLevel="0" collapsed="false">
      <c r="B18" s="1" t="n">
        <v>1113487</v>
      </c>
      <c r="C18" s="1" t="s">
        <v>690</v>
      </c>
      <c r="D18" s="1" t="n">
        <f aca="false">DATEDIF($C$2, C18, "M")</f>
        <v>63</v>
      </c>
      <c r="E18" s="26" t="s">
        <v>939</v>
      </c>
      <c r="F18" s="1" t="b">
        <f aca="false">TRUE()</f>
        <v>1</v>
      </c>
      <c r="Q18" s="31" t="b">
        <f aca="false">TRUE()</f>
        <v>1</v>
      </c>
      <c r="Z18" s="1" t="s">
        <v>87</v>
      </c>
      <c r="AA18" s="1" t="s">
        <v>87</v>
      </c>
      <c r="AB18" s="1" t="s">
        <v>128</v>
      </c>
      <c r="AC18" s="1" t="s">
        <v>128</v>
      </c>
      <c r="AD18" s="1" t="s">
        <v>112</v>
      </c>
      <c r="AE18" s="1" t="s">
        <v>112</v>
      </c>
      <c r="AM18" s="27" t="b">
        <f aca="false">FALSE()</f>
        <v>0</v>
      </c>
      <c r="AN18" s="27" t="b">
        <f aca="false">FALSE()</f>
        <v>0</v>
      </c>
      <c r="AO18" s="1" t="s">
        <v>107</v>
      </c>
      <c r="AP18" s="1" t="s">
        <v>160</v>
      </c>
      <c r="AQ18" s="1" t="s">
        <v>107</v>
      </c>
      <c r="AR18" s="1" t="s">
        <v>160</v>
      </c>
      <c r="AS18" s="26" t="s">
        <v>105</v>
      </c>
      <c r="AT18" s="1" t="s">
        <v>133</v>
      </c>
      <c r="AU18" s="1" t="s">
        <v>206</v>
      </c>
      <c r="AV18" s="1" t="s">
        <v>150</v>
      </c>
      <c r="AW18" s="1" t="s">
        <v>206</v>
      </c>
      <c r="AX18" s="27" t="b">
        <f aca="false">TRUE()</f>
        <v>1</v>
      </c>
      <c r="AY18" s="27" t="b">
        <f aca="false">TRUE()</f>
        <v>1</v>
      </c>
      <c r="BQ18" s="1" t="s">
        <v>135</v>
      </c>
      <c r="BR18" s="1" t="s">
        <v>103</v>
      </c>
      <c r="BY18" s="27" t="b">
        <f aca="false">TRUE()</f>
        <v>1</v>
      </c>
      <c r="BZ18" s="27" t="b">
        <f aca="false">TRUE()</f>
        <v>1</v>
      </c>
    </row>
    <row r="19" customFormat="false" ht="214.15" hidden="false" customHeight="false" outlineLevel="0" collapsed="false">
      <c r="B19" s="1" t="n">
        <v>1113487</v>
      </c>
      <c r="C19" s="1" t="s">
        <v>940</v>
      </c>
      <c r="D19" s="1" t="n">
        <f aca="false">DATEDIF($C$2, C19, "M")</f>
        <v>64</v>
      </c>
      <c r="E19" s="26" t="s">
        <v>941</v>
      </c>
      <c r="F19" s="1" t="b">
        <f aca="false">TRUE()</f>
        <v>1</v>
      </c>
      <c r="Z19" s="1" t="s">
        <v>87</v>
      </c>
      <c r="AA19" s="1" t="s">
        <v>87</v>
      </c>
      <c r="AB19" s="1" t="s">
        <v>87</v>
      </c>
      <c r="AC19" s="1" t="s">
        <v>87</v>
      </c>
      <c r="AD19" s="1" t="s">
        <v>112</v>
      </c>
      <c r="AE19" s="1" t="s">
        <v>112</v>
      </c>
      <c r="AM19" s="27" t="b">
        <f aca="false">FALSE()</f>
        <v>0</v>
      </c>
      <c r="AN19" s="27" t="b">
        <f aca="false">FALSE()</f>
        <v>0</v>
      </c>
      <c r="AO19" s="1" t="s">
        <v>107</v>
      </c>
      <c r="AP19" s="1" t="s">
        <v>160</v>
      </c>
      <c r="AQ19" s="1" t="s">
        <v>107</v>
      </c>
      <c r="AR19" s="1" t="s">
        <v>160</v>
      </c>
      <c r="AS19" s="26" t="s">
        <v>105</v>
      </c>
      <c r="AT19" s="1" t="s">
        <v>150</v>
      </c>
      <c r="AV19" s="1" t="s">
        <v>150</v>
      </c>
      <c r="AX19" s="27" t="b">
        <f aca="false">FALSE()</f>
        <v>0</v>
      </c>
      <c r="AY19" s="27" t="b">
        <f aca="false">TRUE()</f>
        <v>1</v>
      </c>
      <c r="BQ19" s="1" t="s">
        <v>135</v>
      </c>
      <c r="BR19" s="1" t="s">
        <v>103</v>
      </c>
      <c r="BY19" s="27" t="b">
        <f aca="false">TRUE()</f>
        <v>1</v>
      </c>
      <c r="BZ19" s="27" t="b">
        <f aca="false">TRUE()</f>
        <v>1</v>
      </c>
    </row>
    <row r="20" customFormat="false" ht="86.55" hidden="false" customHeight="false" outlineLevel="0" collapsed="false">
      <c r="B20" s="1" t="n">
        <v>1113487</v>
      </c>
      <c r="C20" s="1" t="s">
        <v>942</v>
      </c>
      <c r="D20" s="1" t="n">
        <f aca="false">DATEDIF($C$2, C20, "M")</f>
        <v>64</v>
      </c>
      <c r="E20" s="26" t="s">
        <v>943</v>
      </c>
      <c r="F20" s="1" t="b">
        <f aca="false">TRUE()</f>
        <v>1</v>
      </c>
      <c r="BT20" s="1" t="b">
        <f aca="false">TRUE()</f>
        <v>1</v>
      </c>
      <c r="BU20" s="26" t="s">
        <v>153</v>
      </c>
      <c r="BV20" s="27" t="b">
        <f aca="false">TRUE()</f>
        <v>1</v>
      </c>
    </row>
    <row r="21" customFormat="false" ht="242.5" hidden="false" customHeight="false" outlineLevel="0" collapsed="false">
      <c r="B21" s="1" t="n">
        <v>1113487</v>
      </c>
      <c r="C21" s="1" t="s">
        <v>944</v>
      </c>
      <c r="D21" s="1" t="n">
        <f aca="false">DATEDIF($C$2, C21, "M")</f>
        <v>65</v>
      </c>
      <c r="E21" s="26" t="s">
        <v>945</v>
      </c>
      <c r="F21" s="1" t="b">
        <f aca="false">TRUE()</f>
        <v>1</v>
      </c>
      <c r="Z21" s="1" t="s">
        <v>87</v>
      </c>
      <c r="AA21" s="1" t="s">
        <v>87</v>
      </c>
      <c r="AB21" s="1" t="s">
        <v>87</v>
      </c>
      <c r="AC21" s="1" t="s">
        <v>87</v>
      </c>
      <c r="AD21" s="1" t="s">
        <v>112</v>
      </c>
      <c r="AE21" s="1" t="s">
        <v>112</v>
      </c>
      <c r="AM21" s="27" t="b">
        <f aca="false">TRUE()</f>
        <v>1</v>
      </c>
      <c r="AN21" s="27" t="b">
        <f aca="false">TRUE()</f>
        <v>1</v>
      </c>
      <c r="AO21" s="1" t="s">
        <v>107</v>
      </c>
      <c r="AP21" s="1" t="s">
        <v>97</v>
      </c>
      <c r="AQ21" s="1" t="s">
        <v>107</v>
      </c>
      <c r="AR21" s="1" t="s">
        <v>97</v>
      </c>
      <c r="AS21" s="26" t="s">
        <v>105</v>
      </c>
      <c r="AT21" s="1" t="s">
        <v>150</v>
      </c>
      <c r="AV21" s="1" t="s">
        <v>150</v>
      </c>
      <c r="AY21" s="27" t="b">
        <f aca="false">TRUE()</f>
        <v>1</v>
      </c>
      <c r="BQ21" s="1" t="s">
        <v>135</v>
      </c>
      <c r="BR21" s="1" t="s">
        <v>103</v>
      </c>
    </row>
    <row r="22" customFormat="false" ht="242.5" hidden="false" customHeight="false" outlineLevel="0" collapsed="false">
      <c r="B22" s="1" t="n">
        <v>1113487</v>
      </c>
      <c r="C22" s="1" t="s">
        <v>946</v>
      </c>
      <c r="D22" s="1" t="n">
        <f aca="false">DATEDIF($C$2, C22, "M")</f>
        <v>66</v>
      </c>
      <c r="E22" s="26" t="s">
        <v>947</v>
      </c>
      <c r="F22" s="1" t="b">
        <f aca="false">TRUE()</f>
        <v>1</v>
      </c>
      <c r="BQ22" s="1" t="s">
        <v>119</v>
      </c>
      <c r="BR22" s="1" t="s">
        <v>108</v>
      </c>
      <c r="CF22" s="27" t="b">
        <f aca="false">TRUE()</f>
        <v>1</v>
      </c>
      <c r="CG22" s="27" t="b">
        <f aca="false">TRUE()</f>
        <v>1</v>
      </c>
    </row>
    <row r="23" customFormat="false" ht="29.85" hidden="false" customHeight="false" outlineLevel="0" collapsed="false">
      <c r="B23" s="1" t="n">
        <v>1113487</v>
      </c>
      <c r="C23" s="1" t="s">
        <v>948</v>
      </c>
      <c r="D23" s="1" t="n">
        <f aca="false">DATEDIF($C$2, C23, "M")</f>
        <v>66</v>
      </c>
      <c r="E23" s="26" t="s">
        <v>949</v>
      </c>
    </row>
    <row r="24" customFormat="false" ht="199.95" hidden="false" customHeight="false" outlineLevel="0" collapsed="false">
      <c r="B24" s="1" t="n">
        <v>1113487</v>
      </c>
      <c r="C24" s="1" t="s">
        <v>950</v>
      </c>
      <c r="D24" s="1" t="n">
        <f aca="false">DATEDIF($C$2, C24, "M")</f>
        <v>66</v>
      </c>
      <c r="E24" s="26" t="s">
        <v>951</v>
      </c>
      <c r="F24" s="1" t="b">
        <f aca="false">TRUE()</f>
        <v>1</v>
      </c>
      <c r="G24" s="1" t="b">
        <f aca="false">TRUE()</f>
        <v>1</v>
      </c>
      <c r="H24" s="1" t="b">
        <f aca="false">TRUE()</f>
        <v>1</v>
      </c>
      <c r="I24" s="1" t="b">
        <f aca="false">TRUE()</f>
        <v>1</v>
      </c>
      <c r="BW24" s="1" t="s">
        <v>138</v>
      </c>
      <c r="BX24" s="1" t="s">
        <v>138</v>
      </c>
    </row>
    <row r="25" customFormat="false" ht="199.95" hidden="false" customHeight="false" outlineLevel="0" collapsed="false">
      <c r="B25" s="1" t="n">
        <v>1113487</v>
      </c>
      <c r="C25" s="1" t="s">
        <v>952</v>
      </c>
      <c r="D25" s="1" t="n">
        <f aca="false">DATEDIF($C$2, C25, "M")</f>
        <v>67</v>
      </c>
      <c r="E25" s="26" t="s">
        <v>953</v>
      </c>
      <c r="F25" s="31" t="b">
        <f aca="false">TRUE()</f>
        <v>1</v>
      </c>
      <c r="BQ25" s="1" t="s">
        <v>103</v>
      </c>
      <c r="BR25" s="1" t="s">
        <v>103</v>
      </c>
      <c r="CH25" s="27" t="b">
        <f aca="false">TRUE()</f>
        <v>1</v>
      </c>
      <c r="CI25" s="27" t="b">
        <f aca="false">FALSE()</f>
        <v>0</v>
      </c>
    </row>
    <row r="26" customFormat="false" ht="72.35" hidden="false" customHeight="false" outlineLevel="0" collapsed="false">
      <c r="B26" s="1" t="n">
        <v>1113487</v>
      </c>
      <c r="C26" s="1" t="s">
        <v>920</v>
      </c>
      <c r="D26" s="1" t="n">
        <f aca="false">DATEDIF($C$2, C26, "M")</f>
        <v>70</v>
      </c>
      <c r="E26" s="26" t="s">
        <v>954</v>
      </c>
      <c r="F26" s="31" t="b">
        <f aca="false">TRUE()</f>
        <v>1</v>
      </c>
      <c r="CH26" s="1" t="b">
        <f aca="false">TRUE()</f>
        <v>1</v>
      </c>
      <c r="CI26" s="27" t="b">
        <f aca="false">FALSE()</f>
        <v>0</v>
      </c>
    </row>
  </sheetData>
  <dataValidations count="28">
    <dataValidation allowBlank="true" errorStyle="stop" operator="between" showDropDown="false" showErrorMessage="true" showInputMessage="true" sqref="AD2:AD20 AE19 AD21:AE21 AD22:AD1026" type="list">
      <formula1>list!$B$25:$E$25</formula1>
      <formula2>0</formula2>
    </dataValidation>
    <dataValidation allowBlank="true" errorStyle="stop" operator="between" showDropDown="false" showErrorMessage="true" showInputMessage="true" sqref="BY2:CI1026" type="list">
      <formula1>list!$B$72:$C$72</formula1>
      <formula2>0</formula2>
    </dataValidation>
    <dataValidation allowBlank="true" errorStyle="stop" operator="between" showDropDown="false" showErrorMessage="true" showInputMessage="true" sqref="BW2:BX1026" type="list">
      <formula1>list!$B$70:$F$70</formula1>
      <formula2>0</formula2>
    </dataValidation>
    <dataValidation allowBlank="true" errorStyle="stop" operator="between" showDropDown="false" showErrorMessage="true" showInputMessage="true" sqref="BV2:BV1026" type="list">
      <formula1>list!$B$69:$C$69</formula1>
      <formula2>0</formula2>
    </dataValidation>
    <dataValidation allowBlank="true" errorStyle="stop" operator="between" showDropDown="false" showErrorMessage="true" showInputMessage="true" sqref="BU2:BU1026" type="list">
      <formula1>list!$B$68:$G$68</formula1>
      <formula2>0</formula2>
    </dataValidation>
    <dataValidation allowBlank="true" errorStyle="stop" operator="between" showDropDown="false" showErrorMessage="true" showInputMessage="true" sqref="BR2:BR1026" type="list">
      <formula1>list!$B$65:$F$65</formula1>
      <formula2>0</formula2>
    </dataValidation>
    <dataValidation allowBlank="true" errorStyle="stop" operator="between" showDropDown="false" showErrorMessage="true" showInputMessage="true" sqref="BQ2:BQ1026" type="list">
      <formula1>list!$B$64:$E$64</formula1>
      <formula2>0</formula2>
    </dataValidation>
    <dataValidation allowBlank="true" errorStyle="stop" operator="between" showDropDown="false" showErrorMessage="true" showInputMessage="true" sqref="BB2:BB1026" type="list">
      <formula1>list!$B$49:$P$49</formula1>
      <formula2>0</formula2>
    </dataValidation>
    <dataValidation allowBlank="true" errorStyle="stop" operator="between" showDropDown="false" showErrorMessage="true" showInputMessage="true" sqref="AX2:BA1026 BC2:BP1026 BS2:BT1026" type="list">
      <formula1>list!$B$50:$C$50</formula1>
      <formula2>0</formula2>
    </dataValidation>
    <dataValidation allowBlank="true" errorStyle="stop" operator="between" showDropDown="false" showErrorMessage="true" showInputMessage="true" sqref="AU2:AU1026 AW2:AW1026" type="list">
      <formula1>list!$B$42:$Z$42</formula1>
      <formula2>0</formula2>
    </dataValidation>
    <dataValidation allowBlank="true" errorStyle="stop" operator="between" showDropDown="false" showErrorMessage="true" showInputMessage="true" sqref="AM2:AN1026" type="list">
      <formula1>list!$B$34:$C$34</formula1>
      <formula2>0</formula2>
    </dataValidation>
    <dataValidation allowBlank="true" errorStyle="stop" operator="between" showDropDown="false" showErrorMessage="true" showInputMessage="true" sqref="AL2:AL1026" type="list">
      <formula1>list!$B$33:$H$33</formula1>
      <formula2>0</formula2>
    </dataValidation>
    <dataValidation allowBlank="true" errorStyle="stop" operator="between" showDropDown="false" showErrorMessage="true" showInputMessage="true" sqref="AF2:AK1026" type="list">
      <formula1>list!$B$27:$C$27</formula1>
      <formula2>0</formula2>
    </dataValidation>
    <dataValidation allowBlank="true" errorStyle="stop" operator="between" showDropDown="false" showErrorMessage="true" showInputMessage="true" sqref="AE2:AE18 AE20 AE22:AE1026" type="list">
      <formula1>list!$B$26:$E$26</formula1>
      <formula2>0</formula2>
    </dataValidation>
    <dataValidation allowBlank="true" errorStyle="stop" operator="between" showDropDown="false" showErrorMessage="true" showInputMessage="true" sqref="Z2:AC1026" type="list">
      <formula1>list!$B$21:$M$21</formula1>
      <formula2>0</formula2>
    </dataValidation>
    <dataValidation allowBlank="true" errorStyle="stop" operator="between" showDropDown="false" showErrorMessage="true" showInputMessage="true" sqref="V2:W1026" type="list">
      <formula1>list!$B$17:$J$17</formula1>
      <formula2>0</formula2>
    </dataValidation>
    <dataValidation allowBlank="true" errorStyle="stop" operator="between" showDropDown="false" showErrorMessage="true" showInputMessage="true" sqref="G2:U1026" type="list">
      <formula1>list!$B$2:$C$2</formula1>
      <formula2>0</formula2>
    </dataValidation>
    <dataValidation allowBlank="true" errorStyle="stop" operator="between" showDropDown="false" showErrorMessage="true" showInputMessage="true" sqref="AO2:AO1026 AQ2:AQ1026" type="list">
      <formula1>list!$B$36:$G$36</formula1>
      <formula2>0</formula2>
    </dataValidation>
    <dataValidation allowBlank="true" errorStyle="stop" operator="between" showDropDown="false" showErrorMessage="true" showInputMessage="true" sqref="AT2:AT1026 AV2:AV1026" type="list">
      <formula1>list!$B$41:$F$41</formula1>
      <formula2>0</formula2>
    </dataValidation>
    <dataValidation allowBlank="true" errorStyle="stop" operator="between" showDropDown="false" showErrorMessage="true" showInputMessage="true" sqref="AS2:AS102" type="list">
      <formula1>list!$B$40:$I$40</formula1>
      <formula2>0</formula2>
    </dataValidation>
    <dataValidation allowBlank="true" errorStyle="stop" operator="between" showDropDown="false" showErrorMessage="true" showInputMessage="true" sqref="X2:Y2 X3:X94" type="list">
      <formula1>list!$B$19:$D$19</formula1>
      <formula2>0</formula2>
    </dataValidation>
    <dataValidation allowBlank="true" errorStyle="stop" operator="between" showDropDown="false" showErrorMessage="true" showInputMessage="true" sqref="Y3:Y146" type="list">
      <formula1>list!$B$20:$I$20</formula1>
      <formula2>0</formula2>
    </dataValidation>
    <dataValidation allowBlank="true" errorStyle="stop" operator="between" showDropDown="false" showErrorMessage="true" showInputMessage="true" sqref="AP2:AP88 AR2:AR91" type="list">
      <formula1>list!$B$37:$T$37</formula1>
      <formula2>0</formula2>
    </dataValidation>
    <dataValidation allowBlank="true" errorStyle="stop" operator="between" showDropDown="false" showErrorMessage="true" showInputMessage="true" sqref="AR92:AR1026 AP94:AP1026" type="list">
      <formula1>list!$B$37:$O$37</formula1>
      <formula2>0</formula2>
    </dataValidation>
    <dataValidation allowBlank="true" errorStyle="stop" operator="between" showDropDown="false" showErrorMessage="true" showInputMessage="true" sqref="AS115:AS1026" type="list">
      <formula1>list!$B$40:$G$40</formula1>
      <formula2>0</formula2>
    </dataValidation>
    <dataValidation allowBlank="true" errorStyle="stop" operator="between" showDropDown="false" showErrorMessage="true" showInputMessage="true" sqref="Y147:Y1026" type="list">
      <formula1>list!$B$20:$H$20</formula1>
      <formula2>0</formula2>
    </dataValidation>
    <dataValidation allowBlank="true" errorStyle="stop" operator="between" showDropDown="false" showErrorMessage="true" showInputMessage="true" sqref="X95:X1026" type="list">
      <formula1>list!$B$19:$C$19</formula1>
      <formula2>0</formula2>
    </dataValidation>
    <dataValidation allowBlank="true" errorStyle="stop" operator="between" showDropDown="false" showErrorMessage="true" showInputMessage="true" sqref="AP89:AP93" type="list">
      <formula1>list!$B$37:$P$37</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I7"/>
  <sheetViews>
    <sheetView showFormulas="false" showGridLines="true" showRowColHeaders="true" showZeros="true" rightToLeft="false" tabSelected="false" showOutlineSymbols="true" defaultGridColor="true" view="normal" topLeftCell="A1" colorId="64" zoomScale="42" zoomScaleNormal="42" zoomScalePageLayoutView="100" workbookViewId="0">
      <pane xSplit="6" ySplit="1" topLeftCell="AB2" activePane="bottomRight" state="frozen"/>
      <selection pane="topLeft" activeCell="A1" activeCellId="0" sqref="A1"/>
      <selection pane="topRight" activeCell="AB1" activeCellId="0" sqref="AB1"/>
      <selection pane="bottomLeft" activeCell="A2" activeCellId="0" sqref="A2"/>
      <selection pane="bottomRight" activeCell="AB20" activeCellId="0" sqref="AB20"/>
    </sheetView>
  </sheetViews>
  <sheetFormatPr defaultColWidth="10.83984375" defaultRowHeight="15.75" zeroHeight="false" outlineLevelRow="0" outlineLevelCol="0"/>
  <cols>
    <col collapsed="false" customWidth="true" hidden="false" outlineLevel="0" max="1" min="1" style="1" width="16"/>
    <col collapsed="false" customWidth="true" hidden="false" outlineLevel="0" max="2" min="2" style="1" width="19.5"/>
    <col collapsed="false" customWidth="true" hidden="false" outlineLevel="0" max="3" min="3" style="1" width="13.5"/>
    <col collapsed="false" customWidth="true" hidden="false" outlineLevel="0" max="4" min="4" style="1" width="15.16"/>
    <col collapsed="false" customWidth="true" hidden="false" outlineLevel="0" max="5" min="5" style="1" width="20.66"/>
    <col collapsed="false" customWidth="true" hidden="true" outlineLevel="0" max="6" min="6" style="1" width="20.66"/>
    <col collapsed="false" customWidth="true" hidden="false" outlineLevel="0" max="7" min="7" style="1" width="16"/>
    <col collapsed="false" customWidth="true" hidden="false" outlineLevel="0" max="8" min="8" style="1" width="19.5"/>
    <col collapsed="false" customWidth="true" hidden="false" outlineLevel="0" max="9" min="9" style="1" width="13.5"/>
    <col collapsed="false" customWidth="true" hidden="false" outlineLevel="0" max="10" min="10" style="1" width="15.16"/>
    <col collapsed="false" customWidth="true" hidden="false" outlineLevel="0" max="11" min="11" style="1" width="20.66"/>
    <col collapsed="false" customWidth="true" hidden="false" outlineLevel="0" max="12" min="12" style="1" width="21.66"/>
    <col collapsed="false" customWidth="true" hidden="false" outlineLevel="0" max="13" min="13" style="1" width="42"/>
    <col collapsed="false" customWidth="true" hidden="false" outlineLevel="0" max="14" min="14" style="1" width="21.16"/>
    <col collapsed="false" customWidth="true" hidden="false" outlineLevel="0" max="15" min="15" style="1" width="23.83"/>
    <col collapsed="false" customWidth="true" hidden="false" outlineLevel="0" max="16" min="16" style="1" width="21.16"/>
    <col collapsed="false" customWidth="true" hidden="false" outlineLevel="0" max="17" min="17" style="1" width="9"/>
    <col collapsed="false" customWidth="true" hidden="false" outlineLevel="0" max="18" min="18" style="1" width="19.83"/>
    <col collapsed="false" customWidth="true" hidden="false" outlineLevel="0" max="19" min="19" style="1" width="9"/>
    <col collapsed="false" customWidth="true" hidden="false" outlineLevel="0" max="20" min="20" style="1" width="15.33"/>
    <col collapsed="false" customWidth="true" hidden="false" outlineLevel="0" max="21" min="21" style="1" width="13"/>
    <col collapsed="false" customWidth="true" hidden="false" outlineLevel="0" max="22" min="22" style="1" width="21.34"/>
    <col collapsed="false" customWidth="true" hidden="false" outlineLevel="0" max="23" min="23" style="1" width="18.16"/>
    <col collapsed="false" customWidth="true" hidden="false" outlineLevel="0" max="24" min="24" style="1" width="14.84"/>
    <col collapsed="false" customWidth="true" hidden="false" outlineLevel="0" max="25" min="25" style="1" width="12.66"/>
    <col collapsed="false" customWidth="true" hidden="false" outlineLevel="0" max="26" min="26" style="1" width="17.5"/>
    <col collapsed="false" customWidth="true" hidden="false" outlineLevel="0" max="27" min="27" style="1" width="19.5"/>
    <col collapsed="false" customWidth="true" hidden="false" outlineLevel="0" max="28" min="28" style="1" width="15.84"/>
    <col collapsed="false" customWidth="true" hidden="false" outlineLevel="0" max="29" min="29" style="1" width="14"/>
    <col collapsed="false" customWidth="true" hidden="false" outlineLevel="0" max="30" min="30" style="1" width="23"/>
    <col collapsed="false" customWidth="true" hidden="false" outlineLevel="0" max="31" min="31" style="1" width="20.33"/>
    <col collapsed="false" customWidth="true" hidden="false" outlineLevel="0" max="32" min="32" style="1" width="32"/>
    <col collapsed="false" customWidth="true" hidden="false" outlineLevel="0" max="33" min="33" style="1" width="48.33"/>
    <col collapsed="false" customWidth="true" hidden="false" outlineLevel="0" max="34" min="34" style="1" width="15"/>
    <col collapsed="false" customWidth="true" hidden="false" outlineLevel="0" max="35" min="35" style="1" width="19.83"/>
    <col collapsed="false" customWidth="true" hidden="false" outlineLevel="0" max="36" min="36" style="1" width="23.83"/>
    <col collapsed="false" customWidth="true" hidden="false" outlineLevel="0" max="37" min="37" style="1" width="24"/>
    <col collapsed="false" customWidth="true" hidden="false" outlineLevel="0" max="38" min="38" style="1" width="40.66"/>
    <col collapsed="false" customWidth="true" hidden="false" outlineLevel="0" max="39" min="39" style="1" width="35.5"/>
    <col collapsed="false" customWidth="true" hidden="false" outlineLevel="0" max="40" min="40" style="1" width="29"/>
    <col collapsed="false" customWidth="true" hidden="false" outlineLevel="0" max="41" min="41" style="1" width="18.5"/>
    <col collapsed="false" customWidth="true" hidden="false" outlineLevel="0" max="42" min="42" style="1" width="16.16"/>
    <col collapsed="false" customWidth="true" hidden="false" outlineLevel="0" max="43" min="43" style="1" width="18.33"/>
    <col collapsed="false" customWidth="true" hidden="false" outlineLevel="0" max="44" min="44" style="1" width="17.67"/>
    <col collapsed="false" customWidth="true" hidden="false" outlineLevel="0" max="45" min="45" style="1" width="19.66"/>
    <col collapsed="false" customWidth="true" hidden="false" outlineLevel="0" max="46" min="46" style="1" width="19.5"/>
    <col collapsed="false" customWidth="true" hidden="false" outlineLevel="0" max="47" min="47" style="1" width="15.84"/>
    <col collapsed="false" customWidth="true" hidden="false" outlineLevel="0" max="48" min="48" style="1" width="19.83"/>
    <col collapsed="false" customWidth="true" hidden="false" outlineLevel="0" max="49" min="49" style="1" width="18"/>
    <col collapsed="false" customWidth="false" hidden="false" outlineLevel="0" max="50" min="50" style="1" width="10.83"/>
    <col collapsed="false" customWidth="true" hidden="false" outlineLevel="0" max="53" min="51" style="1" width="9"/>
    <col collapsed="false" customWidth="true" hidden="false" outlineLevel="0" max="54" min="54" style="1" width="18.33"/>
    <col collapsed="false" customWidth="true" hidden="false" outlineLevel="0" max="56" min="55" style="1" width="9"/>
    <col collapsed="false" customWidth="true" hidden="false" outlineLevel="0" max="57" min="57" style="1" width="19.33"/>
    <col collapsed="false" customWidth="true" hidden="false" outlineLevel="0" max="58" min="58" style="1" width="16.16"/>
    <col collapsed="false" customWidth="true" hidden="false" outlineLevel="0" max="61" min="59" style="1" width="9"/>
    <col collapsed="false" customWidth="true" hidden="false" outlineLevel="0" max="62" min="62" style="1" width="21.34"/>
    <col collapsed="false" customWidth="true" hidden="false" outlineLevel="0" max="63" min="63" style="1" width="21.16"/>
    <col collapsed="false" customWidth="true" hidden="false" outlineLevel="0" max="65" min="64" style="1" width="9"/>
    <col collapsed="false" customWidth="true" hidden="false" outlineLevel="0" max="66" min="66" style="1" width="18.5"/>
    <col collapsed="false" customWidth="true" hidden="false" outlineLevel="0" max="67" min="67" style="1" width="15.84"/>
    <col collapsed="false" customWidth="true" hidden="false" outlineLevel="0" max="68" min="68" style="1" width="21"/>
    <col collapsed="false" customWidth="true" hidden="false" outlineLevel="0" max="69" min="69" style="1" width="16.16"/>
    <col collapsed="false" customWidth="true" hidden="false" outlineLevel="0" max="70" min="70" style="1" width="18.5"/>
    <col collapsed="false" customWidth="true" hidden="false" outlineLevel="0" max="71" min="71" style="1" width="20.66"/>
    <col collapsed="false" customWidth="true" hidden="false" outlineLevel="0" max="72" min="72" style="1" width="18.83"/>
    <col collapsed="false" customWidth="true" hidden="false" outlineLevel="0" max="73" min="73" style="1" width="20.66"/>
    <col collapsed="false" customWidth="true" hidden="false" outlineLevel="0" max="74" min="74" style="1" width="17.5"/>
    <col collapsed="false" customWidth="true" hidden="false" outlineLevel="0" max="75" min="75" style="1" width="15.84"/>
    <col collapsed="false" customWidth="true" hidden="false" outlineLevel="0" max="76" min="76" style="1" width="13"/>
    <col collapsed="false" customWidth="true" hidden="false" outlineLevel="0" max="77" min="77" style="1" width="16.5"/>
    <col collapsed="false" customWidth="true" hidden="false" outlineLevel="0" max="78" min="78" style="1" width="17"/>
    <col collapsed="false" customWidth="true" hidden="false" outlineLevel="0" max="79" min="79" style="1" width="20.83"/>
    <col collapsed="false" customWidth="true" hidden="false" outlineLevel="0" max="80" min="80" style="1" width="20.33"/>
    <col collapsed="false" customWidth="true" hidden="false" outlineLevel="0" max="81" min="81" style="1" width="19.5"/>
    <col collapsed="false" customWidth="true" hidden="false" outlineLevel="0" max="82" min="82" style="1" width="20.83"/>
    <col collapsed="false" customWidth="true" hidden="false" outlineLevel="0" max="83" min="83" style="1" width="17.16"/>
    <col collapsed="false" customWidth="true" hidden="false" outlineLevel="0" max="84" min="84" style="1" width="15"/>
    <col collapsed="false" customWidth="true" hidden="false" outlineLevel="0" max="85" min="85" style="1" width="13.66"/>
    <col collapsed="false" customWidth="true" hidden="false" outlineLevel="0" max="86" min="86" style="1" width="31.33"/>
    <col collapsed="false" customWidth="false" hidden="false" outlineLevel="0" max="1024" min="87" style="1" width="10.83"/>
  </cols>
  <sheetData>
    <row r="1" s="7" customFormat="true" ht="150.75" hidden="false" customHeight="true" outlineLevel="0" collapsed="false">
      <c r="A1" s="2" t="s">
        <v>0</v>
      </c>
      <c r="B1" s="2" t="s">
        <v>1</v>
      </c>
      <c r="C1" s="2" t="s">
        <v>2</v>
      </c>
      <c r="D1" s="3" t="s">
        <v>3</v>
      </c>
      <c r="E1" s="3" t="s">
        <v>4</v>
      </c>
      <c r="F1" s="3"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c r="Z1" s="4" t="s">
        <v>25</v>
      </c>
      <c r="AA1" s="4" t="s">
        <v>26</v>
      </c>
      <c r="AB1" s="4" t="s">
        <v>27</v>
      </c>
      <c r="AC1" s="4" t="s">
        <v>28</v>
      </c>
      <c r="AD1" s="4" t="s">
        <v>29</v>
      </c>
      <c r="AE1" s="4" t="s">
        <v>30</v>
      </c>
      <c r="AF1" s="4" t="s">
        <v>31</v>
      </c>
      <c r="AG1" s="4" t="s">
        <v>32</v>
      </c>
      <c r="AH1" s="4" t="s">
        <v>33</v>
      </c>
      <c r="AI1" s="4" t="s">
        <v>34</v>
      </c>
      <c r="AJ1" s="4" t="s">
        <v>35</v>
      </c>
      <c r="AK1" s="4" t="s">
        <v>36</v>
      </c>
      <c r="AL1" s="4" t="s">
        <v>37</v>
      </c>
      <c r="AM1" s="4" t="s">
        <v>38</v>
      </c>
      <c r="AN1" s="4" t="s">
        <v>39</v>
      </c>
      <c r="AO1" s="4" t="s">
        <v>40</v>
      </c>
      <c r="AP1" s="4" t="s">
        <v>41</v>
      </c>
      <c r="AQ1" s="4" t="s">
        <v>42</v>
      </c>
      <c r="AR1" s="4" t="s">
        <v>43</v>
      </c>
      <c r="AS1" s="5" t="s">
        <v>44</v>
      </c>
      <c r="AT1" s="4" t="s">
        <v>45</v>
      </c>
      <c r="AU1" s="4" t="s">
        <v>46</v>
      </c>
      <c r="AV1" s="4" t="s">
        <v>47</v>
      </c>
      <c r="AW1" s="4" t="s">
        <v>48</v>
      </c>
      <c r="AX1" s="4" t="s">
        <v>49</v>
      </c>
      <c r="AY1" s="4" t="s">
        <v>50</v>
      </c>
      <c r="AZ1" s="4" t="s">
        <v>51</v>
      </c>
      <c r="BA1" s="4" t="s">
        <v>52</v>
      </c>
      <c r="BB1" s="4" t="s">
        <v>53</v>
      </c>
      <c r="BC1" s="4" t="s">
        <v>54</v>
      </c>
      <c r="BD1" s="4" t="s">
        <v>55</v>
      </c>
      <c r="BE1" s="4" t="s">
        <v>56</v>
      </c>
      <c r="BF1" s="4" t="s">
        <v>57</v>
      </c>
      <c r="BG1" s="4" t="s">
        <v>58</v>
      </c>
      <c r="BH1" s="4" t="s">
        <v>59</v>
      </c>
      <c r="BI1" s="4" t="s">
        <v>18</v>
      </c>
      <c r="BJ1" s="4" t="s">
        <v>60</v>
      </c>
      <c r="BK1" s="4" t="s">
        <v>61</v>
      </c>
      <c r="BL1" s="4" t="s">
        <v>62</v>
      </c>
      <c r="BM1" s="4" t="s">
        <v>63</v>
      </c>
      <c r="BN1" s="4" t="s">
        <v>64</v>
      </c>
      <c r="BO1" s="4" t="s">
        <v>65</v>
      </c>
      <c r="BP1" s="4" t="s">
        <v>66</v>
      </c>
      <c r="BQ1" s="4" t="s">
        <v>67</v>
      </c>
      <c r="BR1" s="4" t="s">
        <v>68</v>
      </c>
      <c r="BS1" s="4" t="s">
        <v>69</v>
      </c>
      <c r="BT1" s="4" t="s">
        <v>70</v>
      </c>
      <c r="BU1" s="4" t="s">
        <v>71</v>
      </c>
      <c r="BV1" s="4" t="s">
        <v>72</v>
      </c>
      <c r="BW1" s="4" t="s">
        <v>73</v>
      </c>
      <c r="BX1" s="4" t="s">
        <v>74</v>
      </c>
      <c r="BY1" s="4" t="s">
        <v>75</v>
      </c>
      <c r="BZ1" s="4" t="s">
        <v>76</v>
      </c>
      <c r="CA1" s="6" t="s">
        <v>77</v>
      </c>
      <c r="CB1" s="6" t="s">
        <v>78</v>
      </c>
      <c r="CC1" s="6" t="s">
        <v>79</v>
      </c>
      <c r="CD1" s="6" t="s">
        <v>80</v>
      </c>
      <c r="CE1" s="6" t="s">
        <v>81</v>
      </c>
      <c r="CF1" s="6" t="s">
        <v>82</v>
      </c>
      <c r="CG1" s="6" t="s">
        <v>83</v>
      </c>
      <c r="CH1" s="6" t="s">
        <v>84</v>
      </c>
      <c r="CI1" s="6" t="s">
        <v>85</v>
      </c>
    </row>
    <row r="7" customFormat="false" ht="15.75" hidden="false" customHeight="false" outlineLevel="0" collapsed="false">
      <c r="AN7" s="8"/>
    </row>
  </sheetData>
  <dataValidations count="23">
    <dataValidation allowBlank="true" errorStyle="stop" operator="between" showDropDown="false" showErrorMessage="true" showInputMessage="true" sqref="AD2:AD1001" type="list">
      <formula1>list!$B$25:$E$25</formula1>
      <formula2>0</formula2>
    </dataValidation>
    <dataValidation allowBlank="true" errorStyle="stop" operator="between" showDropDown="false" showErrorMessage="true" showInputMessage="true" sqref="BY2:CI1001" type="list">
      <formula1>list!$B$72:$C$72</formula1>
      <formula2>0</formula2>
    </dataValidation>
    <dataValidation allowBlank="true" errorStyle="stop" operator="between" showDropDown="false" showErrorMessage="true" showInputMessage="true" sqref="BW2:BX1001" type="list">
      <formula1>list!$B$70:$F$70</formula1>
      <formula2>0</formula2>
    </dataValidation>
    <dataValidation allowBlank="true" errorStyle="stop" operator="between" showDropDown="false" showErrorMessage="true" showInputMessage="true" sqref="BV2:BV1001" type="list">
      <formula1>list!$B$69:$C$69</formula1>
      <formula2>0</formula2>
    </dataValidation>
    <dataValidation allowBlank="true" errorStyle="stop" operator="between" showDropDown="false" showErrorMessage="true" showInputMessage="true" sqref="BU2:BU1001" type="list">
      <formula1>list!$B$68:$G$68</formula1>
      <formula2>0</formula2>
    </dataValidation>
    <dataValidation allowBlank="true" errorStyle="stop" operator="between" showDropDown="false" showErrorMessage="true" showInputMessage="true" sqref="BR2:BR1001" type="list">
      <formula1>list!$B$65:$F$65</formula1>
      <formula2>0</formula2>
    </dataValidation>
    <dataValidation allowBlank="true" errorStyle="stop" operator="between" showDropDown="false" showErrorMessage="true" showInputMessage="true" sqref="BQ2:BQ1001" type="list">
      <formula1>list!$B$64:$E$64</formula1>
      <formula2>0</formula2>
    </dataValidation>
    <dataValidation allowBlank="true" errorStyle="stop" operator="between" showDropDown="false" showErrorMessage="true" showInputMessage="true" sqref="BB2:BB1001" type="list">
      <formula1>list!$B$49:$P$49</formula1>
      <formula2>0</formula2>
    </dataValidation>
    <dataValidation allowBlank="true" errorStyle="stop" operator="between" showDropDown="false" showErrorMessage="true" showInputMessage="true" sqref="AX2:BA1001 BC2:BP1001 BS2:BT1001" type="list">
      <formula1>list!$B$50:$C$50</formula1>
      <formula2>0</formula2>
    </dataValidation>
    <dataValidation allowBlank="true" errorStyle="stop" operator="between" showDropDown="false" showErrorMessage="true" showInputMessage="true" sqref="AU2:AU1001 AW2:AW1001" type="list">
      <formula1>list!$B$42:$Z$42</formula1>
      <formula2>0</formula2>
    </dataValidation>
    <dataValidation allowBlank="true" errorStyle="stop" operator="between" showDropDown="false" showErrorMessage="true" showInputMessage="true" sqref="AM2:AN1001" type="list">
      <formula1>list!$B$34:$C$34</formula1>
      <formula2>0</formula2>
    </dataValidation>
    <dataValidation allowBlank="true" errorStyle="stop" operator="between" showDropDown="false" showErrorMessage="true" showInputMessage="true" sqref="AL2:AL1001" type="list">
      <formula1>list!$B$33:$H$33</formula1>
      <formula2>0</formula2>
    </dataValidation>
    <dataValidation allowBlank="true" errorStyle="stop" operator="between" showDropDown="false" showErrorMessage="true" showInputMessage="true" sqref="AF2:AK1001" type="list">
      <formula1>list!$B$27:$C$27</formula1>
      <formula2>0</formula2>
    </dataValidation>
    <dataValidation allowBlank="true" errorStyle="stop" operator="between" showDropDown="false" showErrorMessage="true" showInputMessage="true" sqref="AE2:AE1001" type="list">
      <formula1>list!$B$26:$E$26</formula1>
      <formula2>0</formula2>
    </dataValidation>
    <dataValidation allowBlank="true" errorStyle="stop" operator="between" showDropDown="false" showErrorMessage="true" showInputMessage="true" sqref="Z2:AC1001" type="list">
      <formula1>list!$B$21:$M$21</formula1>
      <formula2>0</formula2>
    </dataValidation>
    <dataValidation allowBlank="true" errorStyle="stop" operator="between" showDropDown="false" showErrorMessage="true" showInputMessage="true" sqref="V2:W1001" type="list">
      <formula1>list!$B$17:$J$17</formula1>
      <formula2>0</formula2>
    </dataValidation>
    <dataValidation allowBlank="true" errorStyle="stop" operator="between" showDropDown="false" showErrorMessage="true" showInputMessage="true" sqref="G2:U1001" type="list">
      <formula1>list!$B$2:$C$2</formula1>
      <formula2>0</formula2>
    </dataValidation>
    <dataValidation allowBlank="true" errorStyle="stop" operator="between" showDropDown="false" showErrorMessage="true" showInputMessage="true" sqref="AO2:AO1001 AQ2:AQ1001" type="list">
      <formula1>list!$B$36:$G$36</formula1>
      <formula2>0</formula2>
    </dataValidation>
    <dataValidation allowBlank="true" errorStyle="stop" operator="between" showDropDown="false" showErrorMessage="true" showInputMessage="true" sqref="AT2:AT1001 AV2:AV1001" type="list">
      <formula1>list!$B$41:$F$41</formula1>
      <formula2>0</formula2>
    </dataValidation>
    <dataValidation allowBlank="true" errorStyle="stop" operator="between" showDropDown="false" showErrorMessage="true" showInputMessage="true" sqref="AP2:AP1001 AR2:AR1001" type="list">
      <formula1>list!$B$37:$O$37</formula1>
      <formula2>0</formula2>
    </dataValidation>
    <dataValidation allowBlank="true" errorStyle="stop" operator="between" showDropDown="false" showErrorMessage="true" showInputMessage="true" sqref="X2:X1001" type="list">
      <formula1>list!$B$19:$C$19</formula1>
      <formula2>0</formula2>
    </dataValidation>
    <dataValidation allowBlank="true" errorStyle="stop" operator="between" showDropDown="false" showErrorMessage="true" showInputMessage="true" sqref="AS2:AS1001" type="list">
      <formula1>list!$B$40:$G$40</formula1>
      <formula2>0</formula2>
    </dataValidation>
    <dataValidation allowBlank="true" errorStyle="stop" operator="between" showDropDown="false" showErrorMessage="true" showInputMessage="true" sqref="Y2:Y1001" type="list">
      <formula1>list!$B$20:$H$20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H82"/>
  <sheetViews>
    <sheetView showFormulas="false" showGridLines="true" showRowColHeaders="true" showZeros="true" rightToLeft="false" tabSelected="false" showOutlineSymbols="true" defaultGridColor="true" view="normal" topLeftCell="A60" colorId="64" zoomScale="42" zoomScaleNormal="42" zoomScalePageLayoutView="100" workbookViewId="0">
      <selection pane="topLeft" activeCell="G72" activeCellId="0" sqref="G72"/>
    </sheetView>
  </sheetViews>
  <sheetFormatPr defaultColWidth="11.0390625" defaultRowHeight="15.75" zeroHeight="false" outlineLevelRow="0" outlineLevelCol="0"/>
  <cols>
    <col collapsed="false" customWidth="true" hidden="false" outlineLevel="0" max="1" min="1" style="0" width="51"/>
    <col collapsed="false" customWidth="true" hidden="false" outlineLevel="0" max="2" min="2" style="0" width="48.16"/>
    <col collapsed="false" customWidth="true" hidden="false" outlineLevel="0" max="3" min="3" style="0" width="44.33"/>
    <col collapsed="false" customWidth="true" hidden="false" outlineLevel="0" max="4" min="4" style="0" width="40.83"/>
    <col collapsed="false" customWidth="true" hidden="false" outlineLevel="0" max="5" min="5" style="0" width="42"/>
    <col collapsed="false" customWidth="true" hidden="false" outlineLevel="0" max="6" min="6" style="0" width="34.5"/>
    <col collapsed="false" customWidth="true" hidden="false" outlineLevel="0" max="7" min="7" style="0" width="30.84"/>
    <col collapsed="false" customWidth="true" hidden="false" outlineLevel="0" max="8" min="8" style="0" width="41.5"/>
    <col collapsed="false" customWidth="true" hidden="false" outlineLevel="0" max="11" min="9" style="0" width="33.83"/>
    <col collapsed="false" customWidth="true" hidden="false" outlineLevel="0" max="12" min="12" style="0" width="40.66"/>
    <col collapsed="false" customWidth="true" hidden="false" outlineLevel="0" max="13" min="13" style="0" width="36.16"/>
    <col collapsed="false" customWidth="true" hidden="false" outlineLevel="0" max="14" min="14" style="0" width="36.5"/>
    <col collapsed="false" customWidth="true" hidden="false" outlineLevel="0" max="15" min="15" style="0" width="29.5"/>
    <col collapsed="false" customWidth="true" hidden="false" outlineLevel="0" max="16" min="16" style="0" width="55.5"/>
    <col collapsed="false" customWidth="true" hidden="false" outlineLevel="0" max="17" min="17" style="0" width="15.16"/>
    <col collapsed="false" customWidth="true" hidden="false" outlineLevel="0" max="19" min="18" style="0" width="12.16"/>
    <col collapsed="false" customWidth="true" hidden="false" outlineLevel="0" max="20" min="20" style="0" width="12.66"/>
    <col collapsed="false" customWidth="true" hidden="false" outlineLevel="0" max="21" min="21" style="0" width="17.33"/>
  </cols>
  <sheetData>
    <row r="1" customFormat="false" ht="24.75" hidden="false" customHeight="false" outlineLevel="0" collapsed="false">
      <c r="A1" s="74" t="s">
        <v>955</v>
      </c>
      <c r="B1" s="75"/>
      <c r="C1" s="75"/>
      <c r="D1" s="75"/>
      <c r="E1" s="75"/>
      <c r="F1" s="75"/>
      <c r="G1" s="75"/>
      <c r="H1" s="75"/>
      <c r="I1" s="75"/>
      <c r="J1" s="75"/>
      <c r="K1" s="75"/>
      <c r="L1" s="75"/>
      <c r="M1" s="75"/>
      <c r="N1" s="75"/>
      <c r="O1" s="75"/>
      <c r="P1" s="75"/>
      <c r="Q1" s="59"/>
      <c r="R1" s="59"/>
      <c r="S1" s="59"/>
      <c r="T1" s="59"/>
      <c r="U1" s="59"/>
      <c r="V1" s="59"/>
      <c r="W1" s="59"/>
      <c r="X1" s="59"/>
      <c r="Y1" s="59"/>
      <c r="Z1" s="59"/>
      <c r="AA1" s="59"/>
      <c r="AB1" s="59"/>
      <c r="AC1" s="59"/>
      <c r="AD1" s="59"/>
      <c r="AE1" s="59"/>
      <c r="AF1" s="59"/>
      <c r="AG1" s="59"/>
      <c r="AH1" s="59"/>
    </row>
    <row r="2" customFormat="false" ht="24.75" hidden="false" customHeight="false" outlineLevel="0" collapsed="false">
      <c r="A2" s="74" t="s">
        <v>6</v>
      </c>
      <c r="B2" s="76" t="b">
        <f aca="false">TRUE()</f>
        <v>1</v>
      </c>
      <c r="C2" s="76" t="b">
        <f aca="false">FALSE()</f>
        <v>0</v>
      </c>
      <c r="D2" s="75"/>
      <c r="E2" s="75"/>
      <c r="F2" s="75"/>
      <c r="G2" s="75"/>
      <c r="H2" s="75"/>
      <c r="I2" s="75"/>
      <c r="J2" s="75"/>
      <c r="K2" s="75"/>
      <c r="L2" s="75"/>
      <c r="M2" s="75"/>
      <c r="N2" s="75"/>
      <c r="O2" s="75"/>
      <c r="P2" s="75"/>
      <c r="Q2" s="59"/>
      <c r="R2" s="59"/>
      <c r="S2" s="59"/>
      <c r="T2" s="59"/>
      <c r="U2" s="59"/>
      <c r="V2" s="59"/>
      <c r="W2" s="59"/>
      <c r="X2" s="59"/>
      <c r="Y2" s="59"/>
      <c r="Z2" s="59"/>
      <c r="AA2" s="59"/>
      <c r="AB2" s="59"/>
      <c r="AC2" s="59"/>
      <c r="AD2" s="59"/>
      <c r="AE2" s="59"/>
      <c r="AF2" s="59"/>
      <c r="AG2" s="59"/>
      <c r="AH2" s="59"/>
    </row>
    <row r="3" customFormat="false" ht="24.75" hidden="false" customHeight="false" outlineLevel="0" collapsed="false">
      <c r="A3" s="74" t="s">
        <v>7</v>
      </c>
      <c r="B3" s="76" t="b">
        <f aca="false">TRUE()</f>
        <v>1</v>
      </c>
      <c r="C3" s="76" t="b">
        <f aca="false">FALSE()</f>
        <v>0</v>
      </c>
      <c r="D3" s="75"/>
      <c r="E3" s="75"/>
      <c r="F3" s="75"/>
      <c r="G3" s="75"/>
      <c r="H3" s="75"/>
      <c r="I3" s="75"/>
      <c r="J3" s="75"/>
      <c r="K3" s="75"/>
      <c r="L3" s="75"/>
      <c r="M3" s="75"/>
      <c r="N3" s="75"/>
      <c r="O3" s="75"/>
      <c r="P3" s="75"/>
      <c r="Q3" s="59"/>
      <c r="R3" s="59"/>
      <c r="S3" s="59"/>
      <c r="T3" s="59"/>
      <c r="U3" s="59"/>
      <c r="V3" s="59"/>
      <c r="W3" s="59"/>
      <c r="X3" s="59"/>
      <c r="Y3" s="59"/>
      <c r="Z3" s="59"/>
      <c r="AA3" s="59"/>
      <c r="AB3" s="59"/>
      <c r="AC3" s="59"/>
      <c r="AD3" s="59"/>
      <c r="AE3" s="59"/>
      <c r="AF3" s="59"/>
      <c r="AG3" s="59"/>
      <c r="AH3" s="59"/>
    </row>
    <row r="4" customFormat="false" ht="24.75" hidden="false" customHeight="false" outlineLevel="0" collapsed="false">
      <c r="A4" s="74" t="s">
        <v>8</v>
      </c>
      <c r="B4" s="76" t="b">
        <f aca="false">TRUE()</f>
        <v>1</v>
      </c>
      <c r="C4" s="76" t="b">
        <f aca="false">FALSE()</f>
        <v>0</v>
      </c>
      <c r="D4" s="75"/>
      <c r="E4" s="75"/>
      <c r="F4" s="75"/>
      <c r="G4" s="75"/>
      <c r="H4" s="75"/>
      <c r="I4" s="75"/>
      <c r="J4" s="75"/>
      <c r="K4" s="75"/>
      <c r="L4" s="75"/>
      <c r="M4" s="75"/>
      <c r="N4" s="75"/>
      <c r="O4" s="75"/>
      <c r="P4" s="75"/>
      <c r="Q4" s="59"/>
      <c r="R4" s="59"/>
      <c r="S4" s="59"/>
      <c r="T4" s="59"/>
      <c r="U4" s="59"/>
      <c r="V4" s="59"/>
      <c r="W4" s="59"/>
      <c r="X4" s="59"/>
      <c r="Y4" s="59"/>
      <c r="Z4" s="59"/>
      <c r="AA4" s="59"/>
      <c r="AB4" s="59"/>
      <c r="AC4" s="59"/>
      <c r="AD4" s="59"/>
      <c r="AE4" s="59"/>
      <c r="AF4" s="59"/>
      <c r="AG4" s="59"/>
      <c r="AH4" s="59"/>
    </row>
    <row r="5" customFormat="false" ht="24.75" hidden="false" customHeight="false" outlineLevel="0" collapsed="false">
      <c r="A5" s="74" t="s">
        <v>9</v>
      </c>
      <c r="B5" s="76" t="b">
        <f aca="false">TRUE()</f>
        <v>1</v>
      </c>
      <c r="C5" s="76" t="b">
        <f aca="false">FALSE()</f>
        <v>0</v>
      </c>
      <c r="D5" s="75"/>
      <c r="E5" s="75"/>
      <c r="F5" s="75"/>
      <c r="G5" s="75"/>
      <c r="H5" s="75"/>
      <c r="I5" s="75"/>
      <c r="J5" s="75"/>
      <c r="K5" s="75"/>
      <c r="L5" s="75"/>
      <c r="M5" s="75"/>
      <c r="N5" s="75"/>
      <c r="O5" s="75"/>
      <c r="P5" s="75"/>
      <c r="Q5" s="59"/>
      <c r="R5" s="59"/>
      <c r="S5" s="59"/>
      <c r="T5" s="59"/>
      <c r="U5" s="59"/>
      <c r="V5" s="59"/>
      <c r="W5" s="59"/>
      <c r="X5" s="59"/>
      <c r="Y5" s="59"/>
      <c r="Z5" s="59"/>
      <c r="AA5" s="59"/>
      <c r="AB5" s="59"/>
      <c r="AC5" s="59"/>
      <c r="AD5" s="59"/>
      <c r="AE5" s="59"/>
      <c r="AF5" s="59"/>
      <c r="AG5" s="59"/>
      <c r="AH5" s="59"/>
    </row>
    <row r="6" customFormat="false" ht="24.75" hidden="false" customHeight="false" outlineLevel="0" collapsed="false">
      <c r="A6" s="74" t="s">
        <v>10</v>
      </c>
      <c r="B6" s="76" t="b">
        <f aca="false">TRUE()</f>
        <v>1</v>
      </c>
      <c r="C6" s="76" t="b">
        <f aca="false">FALSE()</f>
        <v>0</v>
      </c>
      <c r="D6" s="75"/>
      <c r="E6" s="75"/>
      <c r="F6" s="75"/>
      <c r="G6" s="75"/>
      <c r="H6" s="75"/>
      <c r="I6" s="75"/>
      <c r="J6" s="75"/>
      <c r="K6" s="75"/>
      <c r="L6" s="75"/>
      <c r="M6" s="75"/>
      <c r="N6" s="75"/>
      <c r="O6" s="75"/>
      <c r="P6" s="75"/>
      <c r="Q6" s="59"/>
      <c r="R6" s="59"/>
      <c r="S6" s="59"/>
      <c r="T6" s="59"/>
      <c r="U6" s="59"/>
      <c r="V6" s="59"/>
      <c r="W6" s="59"/>
      <c r="X6" s="59"/>
      <c r="Y6" s="59"/>
      <c r="Z6" s="59"/>
      <c r="AA6" s="59"/>
      <c r="AB6" s="59"/>
      <c r="AC6" s="59"/>
      <c r="AD6" s="59"/>
      <c r="AE6" s="59"/>
      <c r="AF6" s="59"/>
      <c r="AG6" s="59"/>
      <c r="AH6" s="59"/>
    </row>
    <row r="7" customFormat="false" ht="24.75" hidden="false" customHeight="false" outlineLevel="0" collapsed="false">
      <c r="A7" s="74" t="s">
        <v>11</v>
      </c>
      <c r="B7" s="76" t="b">
        <f aca="false">TRUE()</f>
        <v>1</v>
      </c>
      <c r="C7" s="76" t="b">
        <f aca="false">FALSE()</f>
        <v>0</v>
      </c>
      <c r="D7" s="75"/>
      <c r="E7" s="75"/>
      <c r="F7" s="75"/>
      <c r="G7" s="75"/>
      <c r="H7" s="75"/>
      <c r="I7" s="75"/>
      <c r="J7" s="75"/>
      <c r="K7" s="75"/>
      <c r="L7" s="75"/>
      <c r="M7" s="75"/>
      <c r="N7" s="75"/>
      <c r="O7" s="75"/>
      <c r="P7" s="75"/>
      <c r="Q7" s="59"/>
      <c r="R7" s="59"/>
      <c r="S7" s="59"/>
      <c r="T7" s="59"/>
      <c r="U7" s="59"/>
      <c r="V7" s="59"/>
      <c r="W7" s="59"/>
      <c r="X7" s="59"/>
      <c r="Y7" s="59"/>
      <c r="Z7" s="59"/>
      <c r="AA7" s="59"/>
      <c r="AB7" s="59"/>
      <c r="AC7" s="59"/>
      <c r="AD7" s="59"/>
      <c r="AE7" s="59"/>
      <c r="AF7" s="59"/>
      <c r="AG7" s="59"/>
      <c r="AH7" s="59"/>
    </row>
    <row r="8" customFormat="false" ht="24.75" hidden="false" customHeight="false" outlineLevel="0" collapsed="false">
      <c r="A8" s="74" t="s">
        <v>12</v>
      </c>
      <c r="B8" s="76" t="b">
        <f aca="false">TRUE()</f>
        <v>1</v>
      </c>
      <c r="C8" s="76" t="b">
        <f aca="false">FALSE()</f>
        <v>0</v>
      </c>
      <c r="D8" s="75"/>
      <c r="E8" s="75"/>
      <c r="F8" s="75"/>
      <c r="G8" s="75"/>
      <c r="H8" s="75"/>
      <c r="I8" s="75"/>
      <c r="J8" s="75"/>
      <c r="K8" s="75"/>
      <c r="L8" s="75"/>
      <c r="M8" s="75"/>
      <c r="N8" s="75"/>
      <c r="O8" s="75"/>
      <c r="P8" s="75"/>
      <c r="Q8" s="59"/>
      <c r="R8" s="59"/>
      <c r="S8" s="59"/>
      <c r="T8" s="59"/>
      <c r="U8" s="59"/>
      <c r="V8" s="59"/>
      <c r="W8" s="59"/>
      <c r="X8" s="59"/>
      <c r="Y8" s="59"/>
      <c r="Z8" s="59"/>
      <c r="AA8" s="59"/>
      <c r="AB8" s="59"/>
      <c r="AC8" s="59"/>
      <c r="AD8" s="59"/>
      <c r="AE8" s="59"/>
      <c r="AF8" s="59"/>
      <c r="AG8" s="59"/>
      <c r="AH8" s="59"/>
    </row>
    <row r="9" customFormat="false" ht="24.75" hidden="false" customHeight="false" outlineLevel="0" collapsed="false">
      <c r="A9" s="74" t="s">
        <v>13</v>
      </c>
      <c r="B9" s="76" t="b">
        <f aca="false">TRUE()</f>
        <v>1</v>
      </c>
      <c r="C9" s="76" t="b">
        <f aca="false">FALSE()</f>
        <v>0</v>
      </c>
      <c r="D9" s="75"/>
      <c r="E9" s="75"/>
      <c r="F9" s="75"/>
      <c r="G9" s="75"/>
      <c r="H9" s="75"/>
      <c r="I9" s="75"/>
      <c r="J9" s="75"/>
      <c r="K9" s="75"/>
      <c r="L9" s="75"/>
      <c r="M9" s="75"/>
      <c r="N9" s="75"/>
      <c r="O9" s="75"/>
      <c r="P9" s="75"/>
      <c r="Q9" s="59"/>
      <c r="R9" s="59"/>
      <c r="S9" s="59"/>
      <c r="T9" s="59"/>
      <c r="U9" s="59"/>
      <c r="V9" s="59"/>
      <c r="W9" s="59"/>
      <c r="X9" s="59"/>
      <c r="Y9" s="59"/>
      <c r="Z9" s="59"/>
      <c r="AA9" s="59"/>
      <c r="AB9" s="59"/>
      <c r="AC9" s="59"/>
      <c r="AD9" s="59"/>
      <c r="AE9" s="59"/>
      <c r="AF9" s="59"/>
      <c r="AG9" s="59"/>
      <c r="AH9" s="59"/>
    </row>
    <row r="10" customFormat="false" ht="24.75" hidden="false" customHeight="false" outlineLevel="0" collapsed="false">
      <c r="A10" s="74" t="s">
        <v>14</v>
      </c>
      <c r="B10" s="76" t="b">
        <f aca="false">TRUE()</f>
        <v>1</v>
      </c>
      <c r="C10" s="76" t="b">
        <f aca="false">FALSE()</f>
        <v>0</v>
      </c>
      <c r="D10" s="75"/>
      <c r="E10" s="75"/>
      <c r="F10" s="75"/>
      <c r="G10" s="75"/>
      <c r="H10" s="75"/>
      <c r="I10" s="75"/>
      <c r="J10" s="75"/>
      <c r="K10" s="75"/>
      <c r="L10" s="75"/>
      <c r="M10" s="75"/>
      <c r="N10" s="75"/>
      <c r="O10" s="75"/>
      <c r="P10" s="75"/>
      <c r="Q10" s="59"/>
      <c r="R10" s="59"/>
      <c r="S10" s="59"/>
      <c r="T10" s="59"/>
      <c r="U10" s="59"/>
      <c r="V10" s="59"/>
      <c r="W10" s="59"/>
      <c r="X10" s="59"/>
      <c r="Y10" s="59"/>
      <c r="Z10" s="59"/>
      <c r="AA10" s="59"/>
      <c r="AB10" s="59"/>
      <c r="AC10" s="59"/>
      <c r="AD10" s="59"/>
      <c r="AE10" s="59"/>
      <c r="AF10" s="59"/>
      <c r="AG10" s="59"/>
      <c r="AH10" s="59"/>
    </row>
    <row r="11" customFormat="false" ht="24.75" hidden="false" customHeight="false" outlineLevel="0" collapsed="false">
      <c r="A11" s="74" t="s">
        <v>15</v>
      </c>
      <c r="B11" s="76" t="b">
        <f aca="false">TRUE()</f>
        <v>1</v>
      </c>
      <c r="C11" s="76" t="b">
        <f aca="false">FALSE()</f>
        <v>0</v>
      </c>
      <c r="D11" s="75"/>
      <c r="E11" s="75"/>
      <c r="F11" s="75"/>
      <c r="G11" s="75"/>
      <c r="H11" s="75"/>
      <c r="I11" s="75"/>
      <c r="J11" s="75"/>
      <c r="K11" s="75"/>
      <c r="L11" s="75"/>
      <c r="M11" s="75"/>
      <c r="N11" s="75"/>
      <c r="O11" s="75"/>
      <c r="P11" s="75"/>
      <c r="Q11" s="59"/>
      <c r="R11" s="59"/>
      <c r="S11" s="59"/>
      <c r="T11" s="59"/>
      <c r="U11" s="59"/>
      <c r="V11" s="59"/>
      <c r="W11" s="59"/>
      <c r="X11" s="59"/>
      <c r="Y11" s="59"/>
      <c r="Z11" s="59"/>
      <c r="AA11" s="59"/>
      <c r="AB11" s="59"/>
      <c r="AC11" s="59"/>
      <c r="AD11" s="59"/>
      <c r="AE11" s="59"/>
      <c r="AF11" s="59"/>
      <c r="AG11" s="59"/>
      <c r="AH11" s="59"/>
    </row>
    <row r="12" customFormat="false" ht="24.75" hidden="false" customHeight="false" outlineLevel="0" collapsed="false">
      <c r="A12" s="74" t="s">
        <v>16</v>
      </c>
      <c r="B12" s="76" t="b">
        <f aca="false">TRUE()</f>
        <v>1</v>
      </c>
      <c r="C12" s="76" t="b">
        <f aca="false">FALSE()</f>
        <v>0</v>
      </c>
      <c r="D12" s="75"/>
      <c r="E12" s="75"/>
      <c r="F12" s="75"/>
      <c r="G12" s="75"/>
      <c r="H12" s="75"/>
      <c r="I12" s="75"/>
      <c r="J12" s="75"/>
      <c r="K12" s="75"/>
      <c r="L12" s="75"/>
      <c r="M12" s="75"/>
      <c r="N12" s="75"/>
      <c r="O12" s="75"/>
      <c r="P12" s="75"/>
      <c r="Q12" s="59"/>
      <c r="R12" s="59"/>
      <c r="S12" s="59"/>
      <c r="T12" s="59"/>
      <c r="U12" s="59"/>
      <c r="V12" s="59"/>
      <c r="W12" s="59"/>
      <c r="X12" s="59"/>
      <c r="Y12" s="59"/>
      <c r="Z12" s="59"/>
      <c r="AA12" s="59"/>
      <c r="AB12" s="59"/>
      <c r="AC12" s="59"/>
      <c r="AD12" s="59"/>
      <c r="AE12" s="59"/>
      <c r="AF12" s="59"/>
      <c r="AG12" s="59"/>
      <c r="AH12" s="59"/>
    </row>
    <row r="13" customFormat="false" ht="24.75" hidden="false" customHeight="false" outlineLevel="0" collapsed="false">
      <c r="A13" s="74" t="s">
        <v>17</v>
      </c>
      <c r="B13" s="76" t="b">
        <f aca="false">TRUE()</f>
        <v>1</v>
      </c>
      <c r="C13" s="76" t="b">
        <f aca="false">FALSE()</f>
        <v>0</v>
      </c>
      <c r="D13" s="75"/>
      <c r="E13" s="75"/>
      <c r="F13" s="75"/>
      <c r="G13" s="75"/>
      <c r="H13" s="75"/>
      <c r="I13" s="75"/>
      <c r="J13" s="75"/>
      <c r="K13" s="75"/>
      <c r="L13" s="75"/>
      <c r="M13" s="75"/>
      <c r="N13" s="75"/>
      <c r="O13" s="75"/>
      <c r="P13" s="75"/>
      <c r="Q13" s="59"/>
      <c r="R13" s="59"/>
      <c r="S13" s="59"/>
      <c r="T13" s="59"/>
      <c r="U13" s="59"/>
      <c r="V13" s="59"/>
      <c r="W13" s="59"/>
      <c r="X13" s="59"/>
      <c r="Y13" s="59"/>
      <c r="Z13" s="59"/>
      <c r="AA13" s="59"/>
      <c r="AB13" s="59"/>
      <c r="AC13" s="59"/>
      <c r="AD13" s="59"/>
      <c r="AE13" s="59"/>
      <c r="AF13" s="59"/>
      <c r="AG13" s="59"/>
      <c r="AH13" s="59"/>
    </row>
    <row r="14" customFormat="false" ht="24.75" hidden="false" customHeight="false" outlineLevel="0" collapsed="false">
      <c r="A14" s="74" t="s">
        <v>18</v>
      </c>
      <c r="B14" s="76" t="b">
        <f aca="false">TRUE()</f>
        <v>1</v>
      </c>
      <c r="C14" s="76" t="b">
        <f aca="false">FALSE()</f>
        <v>0</v>
      </c>
      <c r="D14" s="75"/>
      <c r="E14" s="75"/>
      <c r="F14" s="75"/>
      <c r="G14" s="75"/>
      <c r="H14" s="75"/>
      <c r="I14" s="75"/>
      <c r="J14" s="75"/>
      <c r="K14" s="75"/>
      <c r="L14" s="75"/>
      <c r="M14" s="75"/>
      <c r="N14" s="75"/>
      <c r="O14" s="75"/>
      <c r="P14" s="75"/>
      <c r="Q14" s="59"/>
      <c r="R14" s="59"/>
      <c r="S14" s="59"/>
      <c r="T14" s="59"/>
      <c r="U14" s="59"/>
      <c r="V14" s="59"/>
      <c r="W14" s="59"/>
      <c r="X14" s="59"/>
      <c r="Y14" s="59"/>
      <c r="Z14" s="59"/>
      <c r="AA14" s="59"/>
      <c r="AB14" s="59"/>
      <c r="AC14" s="59"/>
      <c r="AD14" s="59"/>
      <c r="AE14" s="59"/>
      <c r="AF14" s="59"/>
      <c r="AG14" s="59"/>
      <c r="AH14" s="59"/>
    </row>
    <row r="15" customFormat="false" ht="24.75" hidden="false" customHeight="false" outlineLevel="0" collapsed="false">
      <c r="A15" s="74" t="s">
        <v>19</v>
      </c>
      <c r="B15" s="76" t="b">
        <f aca="false">TRUE()</f>
        <v>1</v>
      </c>
      <c r="C15" s="76" t="b">
        <f aca="false">FALSE()</f>
        <v>0</v>
      </c>
      <c r="D15" s="75"/>
      <c r="E15" s="75"/>
      <c r="F15" s="75"/>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row>
    <row r="16" customFormat="false" ht="24.75" hidden="false" customHeight="false" outlineLevel="0" collapsed="false">
      <c r="A16" s="74" t="s">
        <v>20</v>
      </c>
      <c r="B16" s="76" t="b">
        <f aca="false">TRUE()</f>
        <v>1</v>
      </c>
      <c r="C16" s="76" t="b">
        <f aca="false">FALSE()</f>
        <v>0</v>
      </c>
      <c r="D16" s="75"/>
      <c r="E16" s="75"/>
      <c r="F16" s="75"/>
      <c r="G16" s="75"/>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row>
    <row r="17" customFormat="false" ht="24.75" hidden="false" customHeight="false" outlineLevel="0" collapsed="false">
      <c r="A17" s="74" t="s">
        <v>21</v>
      </c>
      <c r="B17" s="75" t="s">
        <v>956</v>
      </c>
      <c r="C17" s="75" t="s">
        <v>957</v>
      </c>
      <c r="D17" s="75" t="s">
        <v>958</v>
      </c>
      <c r="E17" s="75" t="s">
        <v>615</v>
      </c>
      <c r="F17" s="75" t="s">
        <v>959</v>
      </c>
      <c r="G17" s="75" t="s">
        <v>960</v>
      </c>
      <c r="H17" s="75" t="s">
        <v>961</v>
      </c>
      <c r="I17" s="75" t="s">
        <v>163</v>
      </c>
      <c r="J17" s="75" t="s">
        <v>458</v>
      </c>
      <c r="K17" s="75"/>
      <c r="M17" s="75"/>
      <c r="N17" s="75"/>
      <c r="O17" s="75"/>
      <c r="P17" s="75"/>
      <c r="Q17" s="75"/>
      <c r="R17" s="75"/>
      <c r="S17" s="75"/>
      <c r="T17" s="75"/>
      <c r="U17" s="75"/>
      <c r="V17" s="75"/>
      <c r="W17" s="75"/>
      <c r="X17" s="75"/>
      <c r="Y17" s="75"/>
      <c r="Z17" s="75"/>
      <c r="AA17" s="75"/>
      <c r="AB17" s="75"/>
      <c r="AC17" s="75"/>
      <c r="AD17" s="75"/>
      <c r="AE17" s="75"/>
      <c r="AF17" s="75"/>
      <c r="AG17" s="75"/>
      <c r="AH17" s="75"/>
    </row>
    <row r="18" customFormat="false" ht="24.75" hidden="false" customHeight="false" outlineLevel="0" collapsed="false">
      <c r="A18" s="74" t="s">
        <v>22</v>
      </c>
      <c r="B18" s="75" t="s">
        <v>956</v>
      </c>
      <c r="C18" s="75" t="s">
        <v>957</v>
      </c>
      <c r="D18" s="75" t="s">
        <v>958</v>
      </c>
      <c r="E18" s="75" t="s">
        <v>615</v>
      </c>
      <c r="F18" s="75" t="s">
        <v>959</v>
      </c>
      <c r="G18" s="75" t="s">
        <v>960</v>
      </c>
      <c r="H18" s="75" t="s">
        <v>961</v>
      </c>
      <c r="I18" s="75" t="s">
        <v>163</v>
      </c>
      <c r="J18" s="75" t="s">
        <v>458</v>
      </c>
      <c r="K18" s="75"/>
      <c r="L18" s="75"/>
      <c r="M18" s="75"/>
      <c r="N18" s="75"/>
      <c r="O18" s="75"/>
      <c r="P18" s="75"/>
      <c r="Q18" s="75"/>
      <c r="R18" s="75"/>
      <c r="S18" s="75"/>
      <c r="T18" s="75"/>
      <c r="U18" s="75"/>
      <c r="V18" s="75"/>
      <c r="W18" s="75"/>
      <c r="X18" s="75"/>
      <c r="Y18" s="75"/>
      <c r="Z18" s="75"/>
      <c r="AA18" s="75"/>
      <c r="AB18" s="75"/>
      <c r="AC18" s="75"/>
      <c r="AD18" s="75"/>
      <c r="AE18" s="75"/>
      <c r="AF18" s="75"/>
      <c r="AG18" s="75"/>
      <c r="AH18" s="75"/>
    </row>
    <row r="19" customFormat="false" ht="24.75" hidden="false" customHeight="false" outlineLevel="0" collapsed="false">
      <c r="A19" s="74" t="s">
        <v>23</v>
      </c>
      <c r="B19" s="75" t="s">
        <v>180</v>
      </c>
      <c r="C19" s="75" t="s">
        <v>251</v>
      </c>
      <c r="D19" s="76" t="b">
        <f aca="false">FALSE()</f>
        <v>0</v>
      </c>
      <c r="E19" s="75"/>
      <c r="F19" s="75"/>
      <c r="G19" s="75"/>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row>
    <row r="20" customFormat="false" ht="24.75" hidden="false" customHeight="false" outlineLevel="0" collapsed="false">
      <c r="A20" s="74" t="s">
        <v>24</v>
      </c>
      <c r="B20" s="75" t="s">
        <v>828</v>
      </c>
      <c r="C20" s="75" t="s">
        <v>502</v>
      </c>
      <c r="D20" s="75" t="s">
        <v>962</v>
      </c>
      <c r="E20" s="75" t="s">
        <v>963</v>
      </c>
      <c r="F20" s="75" t="s">
        <v>964</v>
      </c>
      <c r="G20" s="75" t="s">
        <v>965</v>
      </c>
      <c r="H20" s="75" t="s">
        <v>966</v>
      </c>
      <c r="I20" s="75" t="s">
        <v>178</v>
      </c>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row>
    <row r="21" customFormat="false" ht="24.75" hidden="false" customHeight="false" outlineLevel="0" collapsed="false">
      <c r="A21" s="74" t="s">
        <v>25</v>
      </c>
      <c r="B21" s="75" t="s">
        <v>193</v>
      </c>
      <c r="C21" s="75" t="s">
        <v>281</v>
      </c>
      <c r="D21" s="75" t="s">
        <v>967</v>
      </c>
      <c r="E21" s="75" t="s">
        <v>181</v>
      </c>
      <c r="F21" s="75" t="s">
        <v>128</v>
      </c>
      <c r="G21" s="75" t="s">
        <v>87</v>
      </c>
      <c r="H21" s="75" t="s">
        <v>110</v>
      </c>
      <c r="I21" s="75" t="s">
        <v>111</v>
      </c>
      <c r="J21" s="75" t="s">
        <v>967</v>
      </c>
      <c r="K21" s="75"/>
      <c r="L21" s="75" t="s">
        <v>968</v>
      </c>
      <c r="M21" s="75" t="s">
        <v>115</v>
      </c>
      <c r="N21" s="75"/>
      <c r="O21" s="75"/>
      <c r="P21" s="75"/>
      <c r="Q21" s="59"/>
      <c r="R21" s="59"/>
      <c r="S21" s="59"/>
      <c r="T21" s="59"/>
      <c r="U21" s="59"/>
      <c r="V21" s="59"/>
      <c r="W21" s="59"/>
      <c r="X21" s="59"/>
      <c r="Y21" s="59"/>
      <c r="Z21" s="59"/>
      <c r="AA21" s="59"/>
      <c r="AB21" s="59"/>
      <c r="AC21" s="59"/>
      <c r="AD21" s="59"/>
      <c r="AE21" s="59"/>
      <c r="AF21" s="59"/>
      <c r="AG21" s="59"/>
      <c r="AH21" s="59"/>
    </row>
    <row r="22" customFormat="false" ht="24.75" hidden="false" customHeight="false" outlineLevel="0" collapsed="false">
      <c r="A22" s="74" t="s">
        <v>26</v>
      </c>
      <c r="B22" s="75" t="s">
        <v>193</v>
      </c>
      <c r="C22" s="75" t="s">
        <v>281</v>
      </c>
      <c r="D22" s="75" t="s">
        <v>967</v>
      </c>
      <c r="E22" s="75" t="s">
        <v>181</v>
      </c>
      <c r="F22" s="75" t="s">
        <v>128</v>
      </c>
      <c r="G22" s="75" t="s">
        <v>87</v>
      </c>
      <c r="H22" s="75" t="s">
        <v>110</v>
      </c>
      <c r="I22" s="75" t="s">
        <v>111</v>
      </c>
      <c r="J22" s="75" t="s">
        <v>967</v>
      </c>
      <c r="K22" s="75"/>
      <c r="L22" s="75" t="s">
        <v>968</v>
      </c>
      <c r="M22" s="75" t="s">
        <v>115</v>
      </c>
      <c r="N22" s="75"/>
      <c r="O22" s="75"/>
      <c r="P22" s="75"/>
      <c r="Q22" s="59"/>
      <c r="R22" s="59"/>
      <c r="S22" s="59"/>
      <c r="T22" s="59"/>
      <c r="U22" s="59"/>
      <c r="V22" s="59"/>
      <c r="W22" s="59"/>
      <c r="X22" s="59"/>
      <c r="Y22" s="59"/>
      <c r="Z22" s="59"/>
      <c r="AA22" s="59"/>
      <c r="AB22" s="59"/>
      <c r="AC22" s="59"/>
      <c r="AD22" s="59"/>
      <c r="AE22" s="59"/>
      <c r="AF22" s="59"/>
      <c r="AG22" s="59"/>
      <c r="AH22" s="59"/>
    </row>
    <row r="23" customFormat="false" ht="24.75" hidden="false" customHeight="false" outlineLevel="0" collapsed="false">
      <c r="A23" s="74" t="s">
        <v>27</v>
      </c>
      <c r="B23" s="75" t="s">
        <v>193</v>
      </c>
      <c r="C23" s="75" t="s">
        <v>281</v>
      </c>
      <c r="D23" s="75" t="s">
        <v>967</v>
      </c>
      <c r="E23" s="75" t="s">
        <v>181</v>
      </c>
      <c r="F23" s="75" t="s">
        <v>128</v>
      </c>
      <c r="G23" s="75" t="s">
        <v>87</v>
      </c>
      <c r="H23" s="75" t="s">
        <v>110</v>
      </c>
      <c r="I23" s="75" t="s">
        <v>111</v>
      </c>
      <c r="J23" s="75" t="s">
        <v>967</v>
      </c>
      <c r="K23" s="75"/>
      <c r="L23" s="75" t="s">
        <v>968</v>
      </c>
      <c r="M23" s="75" t="s">
        <v>115</v>
      </c>
      <c r="N23" s="75"/>
      <c r="O23" s="75"/>
      <c r="P23" s="75"/>
      <c r="Q23" s="59"/>
      <c r="R23" s="59"/>
      <c r="S23" s="59"/>
      <c r="T23" s="59"/>
      <c r="U23" s="59"/>
      <c r="V23" s="59"/>
      <c r="W23" s="59"/>
      <c r="X23" s="59"/>
      <c r="Y23" s="59"/>
      <c r="Z23" s="59"/>
      <c r="AA23" s="59"/>
      <c r="AB23" s="59"/>
      <c r="AC23" s="59"/>
      <c r="AD23" s="59"/>
      <c r="AE23" s="59"/>
      <c r="AF23" s="59"/>
      <c r="AG23" s="59"/>
      <c r="AH23" s="59"/>
    </row>
    <row r="24" customFormat="false" ht="24.75" hidden="false" customHeight="false" outlineLevel="0" collapsed="false">
      <c r="A24" s="74" t="s">
        <v>28</v>
      </c>
      <c r="B24" s="75" t="s">
        <v>193</v>
      </c>
      <c r="C24" s="75" t="s">
        <v>281</v>
      </c>
      <c r="D24" s="75" t="s">
        <v>967</v>
      </c>
      <c r="E24" s="75" t="s">
        <v>181</v>
      </c>
      <c r="F24" s="75" t="s">
        <v>128</v>
      </c>
      <c r="G24" s="75" t="s">
        <v>87</v>
      </c>
      <c r="H24" s="75" t="s">
        <v>110</v>
      </c>
      <c r="I24" s="75" t="s">
        <v>111</v>
      </c>
      <c r="J24" s="75" t="s">
        <v>967</v>
      </c>
      <c r="K24" s="75"/>
      <c r="L24" s="75" t="s">
        <v>968</v>
      </c>
      <c r="M24" s="75" t="s">
        <v>115</v>
      </c>
      <c r="N24" s="75"/>
      <c r="O24" s="75"/>
      <c r="P24" s="75"/>
      <c r="Q24" s="59"/>
      <c r="R24" s="59"/>
      <c r="S24" s="59"/>
      <c r="T24" s="59"/>
      <c r="U24" s="59"/>
      <c r="V24" s="59"/>
      <c r="W24" s="59"/>
      <c r="X24" s="59"/>
      <c r="Y24" s="59"/>
      <c r="Z24" s="59"/>
      <c r="AA24" s="59"/>
      <c r="AB24" s="59"/>
      <c r="AC24" s="59"/>
      <c r="AD24" s="59"/>
      <c r="AE24" s="59"/>
      <c r="AF24" s="59"/>
      <c r="AG24" s="59"/>
      <c r="AH24" s="59"/>
    </row>
    <row r="25" customFormat="false" ht="24.75" hidden="false" customHeight="false" outlineLevel="0" collapsed="false">
      <c r="A25" s="74" t="s">
        <v>29</v>
      </c>
      <c r="B25" s="75" t="s">
        <v>969</v>
      </c>
      <c r="C25" s="75" t="s">
        <v>182</v>
      </c>
      <c r="D25" s="75" t="s">
        <v>100</v>
      </c>
      <c r="E25" s="75" t="s">
        <v>112</v>
      </c>
      <c r="F25" s="75"/>
      <c r="G25" s="75"/>
      <c r="H25" s="75"/>
      <c r="I25" s="75"/>
      <c r="J25" s="75"/>
      <c r="K25" s="75"/>
      <c r="L25" s="75"/>
      <c r="M25" s="75"/>
      <c r="N25" s="75"/>
      <c r="O25" s="75"/>
      <c r="P25" s="75"/>
      <c r="Q25" s="59"/>
      <c r="R25" s="59"/>
      <c r="S25" s="59"/>
      <c r="T25" s="59"/>
      <c r="U25" s="59"/>
      <c r="V25" s="59"/>
      <c r="W25" s="59"/>
      <c r="X25" s="59"/>
      <c r="Y25" s="59"/>
      <c r="Z25" s="59"/>
      <c r="AA25" s="59"/>
      <c r="AB25" s="59"/>
      <c r="AC25" s="59"/>
      <c r="AD25" s="59"/>
      <c r="AE25" s="59"/>
      <c r="AF25" s="59"/>
      <c r="AG25" s="59"/>
      <c r="AH25" s="59"/>
    </row>
    <row r="26" customFormat="false" ht="24.75" hidden="false" customHeight="false" outlineLevel="0" collapsed="false">
      <c r="A26" s="74" t="s">
        <v>30</v>
      </c>
      <c r="B26" s="75" t="s">
        <v>970</v>
      </c>
      <c r="C26" s="75" t="s">
        <v>113</v>
      </c>
      <c r="D26" s="75" t="s">
        <v>100</v>
      </c>
      <c r="E26" s="75" t="s">
        <v>112</v>
      </c>
      <c r="F26" s="75"/>
      <c r="G26" s="75"/>
      <c r="H26" s="75"/>
      <c r="I26" s="75"/>
      <c r="J26" s="75"/>
      <c r="K26" s="75"/>
      <c r="L26" s="75"/>
      <c r="M26" s="75"/>
      <c r="N26" s="75"/>
      <c r="O26" s="75"/>
      <c r="P26" s="75"/>
      <c r="Q26" s="59"/>
      <c r="R26" s="59"/>
      <c r="S26" s="59"/>
      <c r="T26" s="59"/>
      <c r="U26" s="59"/>
      <c r="V26" s="59"/>
      <c r="W26" s="59"/>
      <c r="X26" s="59"/>
      <c r="Y26" s="59"/>
      <c r="Z26" s="59"/>
      <c r="AA26" s="59"/>
      <c r="AB26" s="59"/>
      <c r="AC26" s="59"/>
      <c r="AD26" s="59"/>
      <c r="AE26" s="59"/>
      <c r="AF26" s="59"/>
      <c r="AG26" s="59"/>
      <c r="AH26" s="59"/>
    </row>
    <row r="27" customFormat="false" ht="24.75" hidden="false" customHeight="false" outlineLevel="0" collapsed="false">
      <c r="A27" s="74" t="s">
        <v>31</v>
      </c>
      <c r="B27" s="76" t="b">
        <f aca="false">TRUE()</f>
        <v>1</v>
      </c>
      <c r="C27" s="76" t="b">
        <f aca="false">FALSE()</f>
        <v>0</v>
      </c>
      <c r="D27" s="75"/>
      <c r="E27" s="75"/>
      <c r="F27" s="75"/>
      <c r="G27" s="75"/>
      <c r="H27" s="75"/>
      <c r="I27" s="75"/>
      <c r="J27" s="75"/>
      <c r="K27" s="75"/>
      <c r="L27" s="75"/>
      <c r="M27" s="75"/>
      <c r="N27" s="75"/>
      <c r="O27" s="75"/>
      <c r="P27" s="75"/>
      <c r="Q27" s="59"/>
      <c r="R27" s="59"/>
      <c r="S27" s="59"/>
      <c r="T27" s="59"/>
      <c r="U27" s="59"/>
      <c r="V27" s="59"/>
      <c r="W27" s="59"/>
      <c r="X27" s="59"/>
      <c r="Y27" s="59"/>
      <c r="Z27" s="59"/>
      <c r="AA27" s="59"/>
      <c r="AB27" s="59"/>
      <c r="AC27" s="59"/>
      <c r="AD27" s="59"/>
      <c r="AE27" s="59"/>
      <c r="AF27" s="59"/>
      <c r="AG27" s="59"/>
      <c r="AH27" s="59"/>
    </row>
    <row r="28" customFormat="false" ht="24.75" hidden="false" customHeight="false" outlineLevel="0" collapsed="false">
      <c r="A28" s="74" t="s">
        <v>32</v>
      </c>
      <c r="B28" s="76" t="b">
        <f aca="false">TRUE()</f>
        <v>1</v>
      </c>
      <c r="C28" s="76" t="b">
        <f aca="false">FALSE()</f>
        <v>0</v>
      </c>
      <c r="D28" s="75"/>
      <c r="E28" s="75"/>
      <c r="F28" s="75"/>
      <c r="G28" s="75"/>
      <c r="H28" s="75"/>
      <c r="I28" s="75"/>
      <c r="J28" s="75"/>
      <c r="K28" s="75"/>
      <c r="L28" s="75"/>
      <c r="M28" s="75"/>
      <c r="N28" s="75"/>
      <c r="O28" s="75"/>
      <c r="P28" s="75"/>
      <c r="Q28" s="59"/>
      <c r="R28" s="59"/>
      <c r="S28" s="59"/>
      <c r="T28" s="59"/>
      <c r="U28" s="59"/>
      <c r="V28" s="59"/>
      <c r="W28" s="59"/>
      <c r="X28" s="59"/>
      <c r="Y28" s="59"/>
      <c r="Z28" s="59"/>
      <c r="AA28" s="59"/>
      <c r="AB28" s="59"/>
      <c r="AC28" s="59"/>
      <c r="AD28" s="59"/>
      <c r="AE28" s="59"/>
      <c r="AF28" s="59"/>
      <c r="AG28" s="59"/>
      <c r="AH28" s="59"/>
    </row>
    <row r="29" customFormat="false" ht="24.75" hidden="false" customHeight="false" outlineLevel="0" collapsed="false">
      <c r="A29" s="74" t="s">
        <v>33</v>
      </c>
      <c r="B29" s="76" t="b">
        <f aca="false">TRUE()</f>
        <v>1</v>
      </c>
      <c r="C29" s="76" t="b">
        <f aca="false">FALSE()</f>
        <v>0</v>
      </c>
      <c r="D29" s="75"/>
      <c r="E29" s="75"/>
      <c r="F29" s="75"/>
      <c r="G29" s="75"/>
      <c r="H29" s="75"/>
      <c r="I29" s="75"/>
      <c r="J29" s="75"/>
      <c r="K29" s="75"/>
      <c r="L29" s="75"/>
      <c r="M29" s="75"/>
      <c r="N29" s="75"/>
      <c r="O29" s="75"/>
      <c r="P29" s="75"/>
      <c r="Q29" s="59"/>
      <c r="R29" s="59"/>
      <c r="S29" s="59"/>
      <c r="T29" s="59"/>
      <c r="U29" s="59"/>
      <c r="V29" s="59"/>
      <c r="W29" s="59"/>
      <c r="X29" s="59"/>
      <c r="Y29" s="59"/>
      <c r="Z29" s="59"/>
      <c r="AA29" s="59"/>
      <c r="AB29" s="59"/>
      <c r="AC29" s="59"/>
      <c r="AD29" s="59"/>
      <c r="AE29" s="59"/>
      <c r="AF29" s="59"/>
      <c r="AG29" s="59"/>
      <c r="AH29" s="59"/>
    </row>
    <row r="30" customFormat="false" ht="24.75" hidden="false" customHeight="false" outlineLevel="0" collapsed="false">
      <c r="A30" s="74" t="s">
        <v>34</v>
      </c>
      <c r="B30" s="76" t="b">
        <f aca="false">TRUE()</f>
        <v>1</v>
      </c>
      <c r="C30" s="76" t="b">
        <f aca="false">FALSE()</f>
        <v>0</v>
      </c>
      <c r="D30" s="75"/>
      <c r="E30" s="75"/>
      <c r="F30" s="75"/>
      <c r="G30" s="75"/>
      <c r="H30" s="75"/>
      <c r="I30" s="75"/>
      <c r="J30" s="75"/>
      <c r="K30" s="75"/>
      <c r="L30" s="75"/>
      <c r="M30" s="75"/>
      <c r="N30" s="75"/>
      <c r="O30" s="75"/>
      <c r="P30" s="75"/>
      <c r="Q30" s="59"/>
      <c r="R30" s="59"/>
      <c r="S30" s="59"/>
      <c r="T30" s="59"/>
      <c r="U30" s="59"/>
      <c r="V30" s="59"/>
      <c r="W30" s="59"/>
      <c r="X30" s="59"/>
      <c r="Y30" s="59"/>
      <c r="Z30" s="59"/>
      <c r="AA30" s="59"/>
      <c r="AB30" s="59"/>
      <c r="AC30" s="59"/>
      <c r="AD30" s="59"/>
      <c r="AE30" s="59"/>
      <c r="AF30" s="59"/>
      <c r="AG30" s="59"/>
      <c r="AH30" s="59"/>
    </row>
    <row r="31" customFormat="false" ht="24.75" hidden="false" customHeight="false" outlineLevel="0" collapsed="false">
      <c r="A31" s="74" t="s">
        <v>35</v>
      </c>
      <c r="B31" s="76" t="b">
        <f aca="false">TRUE()</f>
        <v>1</v>
      </c>
      <c r="C31" s="76" t="b">
        <f aca="false">FALSE()</f>
        <v>0</v>
      </c>
      <c r="D31" s="75"/>
      <c r="E31" s="75"/>
      <c r="F31" s="75"/>
      <c r="G31" s="75"/>
      <c r="H31" s="75"/>
      <c r="I31" s="75"/>
      <c r="J31" s="75"/>
      <c r="K31" s="75"/>
      <c r="L31" s="75"/>
      <c r="M31" s="75"/>
      <c r="N31" s="75"/>
      <c r="O31" s="75"/>
      <c r="P31" s="75"/>
      <c r="Q31" s="59"/>
      <c r="R31" s="59"/>
      <c r="S31" s="59"/>
      <c r="T31" s="59"/>
      <c r="U31" s="59"/>
      <c r="V31" s="59"/>
      <c r="W31" s="59"/>
      <c r="X31" s="59"/>
      <c r="Y31" s="59"/>
      <c r="Z31" s="59"/>
      <c r="AA31" s="59"/>
      <c r="AB31" s="59"/>
      <c r="AC31" s="59"/>
      <c r="AD31" s="59"/>
      <c r="AE31" s="59"/>
      <c r="AF31" s="59"/>
      <c r="AG31" s="59"/>
      <c r="AH31" s="59"/>
    </row>
    <row r="32" customFormat="false" ht="24.75" hidden="false" customHeight="false" outlineLevel="0" collapsed="false">
      <c r="A32" s="74" t="s">
        <v>36</v>
      </c>
      <c r="B32" s="76" t="b">
        <f aca="false">TRUE()</f>
        <v>1</v>
      </c>
      <c r="C32" s="76" t="b">
        <f aca="false">FALSE()</f>
        <v>0</v>
      </c>
      <c r="D32" s="75"/>
      <c r="E32" s="75"/>
      <c r="F32" s="75"/>
      <c r="G32" s="75"/>
      <c r="H32" s="75"/>
      <c r="I32" s="75"/>
      <c r="J32" s="75"/>
      <c r="K32" s="75"/>
      <c r="L32" s="75"/>
      <c r="M32" s="75"/>
      <c r="N32" s="75"/>
      <c r="O32" s="75"/>
      <c r="P32" s="75"/>
      <c r="Q32" s="59"/>
      <c r="R32" s="59"/>
      <c r="S32" s="59"/>
      <c r="T32" s="59"/>
      <c r="U32" s="59"/>
      <c r="V32" s="59"/>
      <c r="W32" s="59"/>
      <c r="X32" s="59"/>
      <c r="Y32" s="59"/>
      <c r="Z32" s="59"/>
      <c r="AA32" s="59"/>
      <c r="AB32" s="59"/>
      <c r="AC32" s="59"/>
      <c r="AD32" s="59"/>
      <c r="AE32" s="59"/>
      <c r="AF32" s="59"/>
      <c r="AG32" s="59"/>
      <c r="AH32" s="59"/>
    </row>
    <row r="33" customFormat="false" ht="24.75" hidden="false" customHeight="false" outlineLevel="0" collapsed="false">
      <c r="A33" s="74" t="s">
        <v>37</v>
      </c>
      <c r="B33" s="75" t="s">
        <v>971</v>
      </c>
      <c r="C33" s="75" t="s">
        <v>89</v>
      </c>
      <c r="D33" s="75" t="s">
        <v>149</v>
      </c>
      <c r="E33" s="75" t="s">
        <v>230</v>
      </c>
      <c r="F33" s="75" t="s">
        <v>972</v>
      </c>
      <c r="G33" s="75" t="s">
        <v>882</v>
      </c>
      <c r="H33" s="75" t="s">
        <v>973</v>
      </c>
      <c r="I33" s="77" t="s">
        <v>635</v>
      </c>
      <c r="L33" s="75"/>
      <c r="M33" s="75"/>
      <c r="N33" s="75"/>
      <c r="O33" s="75"/>
      <c r="P33" s="75"/>
      <c r="Q33" s="59"/>
      <c r="R33" s="59"/>
      <c r="S33" s="59"/>
      <c r="T33" s="59"/>
      <c r="U33" s="59"/>
      <c r="V33" s="59"/>
      <c r="W33" s="59"/>
      <c r="X33" s="59"/>
      <c r="Y33" s="59"/>
      <c r="Z33" s="59"/>
      <c r="AA33" s="59"/>
      <c r="AB33" s="59"/>
      <c r="AC33" s="59"/>
      <c r="AD33" s="59"/>
      <c r="AE33" s="59"/>
      <c r="AF33" s="59"/>
      <c r="AG33" s="59"/>
      <c r="AH33" s="59"/>
    </row>
    <row r="34" customFormat="false" ht="24.75" hidden="false" customHeight="false" outlineLevel="0" collapsed="false">
      <c r="A34" s="74" t="s">
        <v>38</v>
      </c>
      <c r="B34" s="76" t="b">
        <f aca="false">TRUE()</f>
        <v>1</v>
      </c>
      <c r="C34" s="76" t="b">
        <f aca="false">FALSE()</f>
        <v>0</v>
      </c>
      <c r="D34" s="75"/>
      <c r="E34" s="75"/>
      <c r="F34" s="75"/>
      <c r="G34" s="75"/>
      <c r="H34" s="75"/>
      <c r="L34" s="75"/>
      <c r="M34" s="75"/>
      <c r="N34" s="75"/>
      <c r="O34" s="75"/>
      <c r="P34" s="75"/>
      <c r="Q34" s="59"/>
      <c r="R34" s="59"/>
      <c r="S34" s="59"/>
      <c r="T34" s="59"/>
      <c r="U34" s="59"/>
      <c r="V34" s="59"/>
      <c r="W34" s="59"/>
      <c r="X34" s="59"/>
      <c r="Y34" s="59"/>
      <c r="Z34" s="59"/>
      <c r="AA34" s="59"/>
      <c r="AB34" s="59"/>
      <c r="AC34" s="59"/>
      <c r="AD34" s="59"/>
      <c r="AE34" s="59"/>
      <c r="AF34" s="59"/>
      <c r="AG34" s="59"/>
      <c r="AH34" s="59"/>
    </row>
    <row r="35" customFormat="false" ht="24.75" hidden="false" customHeight="false" outlineLevel="0" collapsed="false">
      <c r="A35" s="74" t="s">
        <v>39</v>
      </c>
      <c r="B35" s="76" t="b">
        <f aca="false">TRUE()</f>
        <v>1</v>
      </c>
      <c r="C35" s="76" t="b">
        <f aca="false">FALSE()</f>
        <v>0</v>
      </c>
      <c r="D35" s="75"/>
      <c r="E35" s="75"/>
      <c r="F35" s="75"/>
      <c r="G35" s="75"/>
      <c r="H35" s="75"/>
      <c r="L35" s="75"/>
      <c r="M35" s="75"/>
      <c r="N35" s="75"/>
      <c r="O35" s="75"/>
      <c r="P35" s="75"/>
      <c r="Q35" s="59"/>
      <c r="R35" s="59"/>
      <c r="S35" s="59"/>
      <c r="T35" s="59"/>
      <c r="U35" s="59"/>
      <c r="V35" s="59"/>
      <c r="W35" s="59"/>
      <c r="X35" s="59"/>
      <c r="Y35" s="59"/>
      <c r="Z35" s="59"/>
      <c r="AA35" s="59"/>
      <c r="AB35" s="59"/>
      <c r="AC35" s="59"/>
      <c r="AD35" s="59"/>
      <c r="AE35" s="59"/>
      <c r="AF35" s="59"/>
      <c r="AG35" s="59"/>
      <c r="AH35" s="59"/>
    </row>
    <row r="36" customFormat="false" ht="24.75" hidden="false" customHeight="false" outlineLevel="0" collapsed="false">
      <c r="A36" s="74" t="s">
        <v>40</v>
      </c>
      <c r="B36" s="75" t="s">
        <v>96</v>
      </c>
      <c r="C36" s="75" t="s">
        <v>101</v>
      </c>
      <c r="D36" s="75" t="s">
        <v>107</v>
      </c>
      <c r="E36" s="75" t="s">
        <v>122</v>
      </c>
      <c r="F36" s="75" t="s">
        <v>974</v>
      </c>
      <c r="G36" s="75" t="s">
        <v>90</v>
      </c>
      <c r="H36" s="75"/>
      <c r="I36" s="75"/>
      <c r="J36" s="75"/>
      <c r="K36" s="75"/>
      <c r="L36" s="75"/>
      <c r="M36" s="75"/>
      <c r="N36" s="75"/>
      <c r="O36" s="75"/>
      <c r="Q36" s="59"/>
      <c r="R36" s="59"/>
      <c r="S36" s="59"/>
      <c r="T36" s="59"/>
      <c r="U36" s="59"/>
      <c r="V36" s="59"/>
      <c r="W36" s="59"/>
      <c r="X36" s="59"/>
      <c r="Y36" s="59"/>
      <c r="Z36" s="59"/>
      <c r="AA36" s="59"/>
      <c r="AB36" s="59"/>
      <c r="AC36" s="59"/>
      <c r="AD36" s="59"/>
      <c r="AE36" s="59"/>
      <c r="AF36" s="59"/>
      <c r="AG36" s="59"/>
      <c r="AH36" s="59"/>
    </row>
    <row r="37" customFormat="false" ht="45.75" hidden="false" customHeight="false" outlineLevel="0" collapsed="false">
      <c r="A37" s="74" t="s">
        <v>41</v>
      </c>
      <c r="B37" s="75" t="s">
        <v>739</v>
      </c>
      <c r="C37" s="75" t="s">
        <v>565</v>
      </c>
      <c r="D37" s="75" t="s">
        <v>91</v>
      </c>
      <c r="E37" s="75" t="s">
        <v>131</v>
      </c>
      <c r="F37" s="75" t="s">
        <v>152</v>
      </c>
      <c r="G37" s="75" t="s">
        <v>367</v>
      </c>
      <c r="H37" s="75" t="s">
        <v>267</v>
      </c>
      <c r="I37" s="75" t="s">
        <v>94</v>
      </c>
      <c r="J37" s="75" t="s">
        <v>164</v>
      </c>
      <c r="K37" s="75" t="s">
        <v>160</v>
      </c>
      <c r="L37" s="75" t="s">
        <v>97</v>
      </c>
      <c r="M37" s="75" t="s">
        <v>217</v>
      </c>
      <c r="N37" s="75" t="s">
        <v>975</v>
      </c>
      <c r="O37" s="75" t="s">
        <v>90</v>
      </c>
      <c r="P37" s="75" t="s">
        <v>155</v>
      </c>
      <c r="Q37" s="78" t="s">
        <v>167</v>
      </c>
      <c r="R37" s="59" t="s">
        <v>650</v>
      </c>
      <c r="S37" s="59" t="s">
        <v>663</v>
      </c>
      <c r="T37" s="59" t="s">
        <v>345</v>
      </c>
      <c r="U37" s="59"/>
      <c r="V37" s="59"/>
      <c r="W37" s="59"/>
      <c r="X37" s="59"/>
      <c r="Y37" s="59"/>
      <c r="Z37" s="59"/>
      <c r="AA37" s="59"/>
      <c r="AB37" s="59"/>
      <c r="AC37" s="59"/>
      <c r="AD37" s="59"/>
      <c r="AE37" s="59"/>
      <c r="AF37" s="59"/>
      <c r="AG37" s="59"/>
      <c r="AH37" s="59"/>
    </row>
    <row r="38" customFormat="false" ht="24.75" hidden="false" customHeight="false" outlineLevel="0" collapsed="false">
      <c r="A38" s="74" t="s">
        <v>42</v>
      </c>
      <c r="B38" s="75" t="s">
        <v>96</v>
      </c>
      <c r="C38" s="75" t="s">
        <v>101</v>
      </c>
      <c r="D38" s="75" t="s">
        <v>107</v>
      </c>
      <c r="E38" s="75" t="s">
        <v>122</v>
      </c>
      <c r="F38" s="75" t="s">
        <v>974</v>
      </c>
      <c r="G38" s="75" t="s">
        <v>90</v>
      </c>
      <c r="H38" s="75"/>
      <c r="I38" s="75"/>
      <c r="J38" s="75"/>
      <c r="K38" s="75"/>
      <c r="L38" s="75"/>
      <c r="M38" s="75"/>
      <c r="N38" s="75"/>
      <c r="O38" s="75"/>
      <c r="Q38" s="59"/>
      <c r="R38" s="59"/>
      <c r="S38" s="59"/>
      <c r="T38" s="59"/>
      <c r="U38" s="59"/>
      <c r="V38" s="59"/>
      <c r="W38" s="59"/>
      <c r="X38" s="59"/>
      <c r="Y38" s="59"/>
      <c r="Z38" s="59"/>
      <c r="AA38" s="59"/>
      <c r="AB38" s="59"/>
      <c r="AC38" s="59"/>
      <c r="AD38" s="59"/>
      <c r="AE38" s="59"/>
      <c r="AF38" s="59"/>
      <c r="AG38" s="59"/>
      <c r="AH38" s="59"/>
    </row>
    <row r="39" customFormat="false" ht="45.75" hidden="false" customHeight="false" outlineLevel="0" collapsed="false">
      <c r="A39" s="74" t="s">
        <v>43</v>
      </c>
      <c r="B39" s="75" t="s">
        <v>739</v>
      </c>
      <c r="C39" s="75" t="s">
        <v>565</v>
      </c>
      <c r="D39" s="75" t="s">
        <v>91</v>
      </c>
      <c r="E39" s="75" t="s">
        <v>131</v>
      </c>
      <c r="F39" s="75" t="s">
        <v>152</v>
      </c>
      <c r="G39" s="75" t="s">
        <v>367</v>
      </c>
      <c r="H39" s="75" t="s">
        <v>267</v>
      </c>
      <c r="I39" s="75" t="s">
        <v>94</v>
      </c>
      <c r="J39" s="75" t="s">
        <v>164</v>
      </c>
      <c r="K39" s="75" t="s">
        <v>160</v>
      </c>
      <c r="L39" s="75" t="s">
        <v>97</v>
      </c>
      <c r="M39" s="75" t="s">
        <v>217</v>
      </c>
      <c r="N39" s="75" t="s">
        <v>975</v>
      </c>
      <c r="O39" s="75" t="s">
        <v>90</v>
      </c>
      <c r="P39" s="75" t="s">
        <v>155</v>
      </c>
      <c r="Q39" s="78" t="s">
        <v>167</v>
      </c>
      <c r="R39" s="59" t="s">
        <v>650</v>
      </c>
      <c r="S39" s="59" t="s">
        <v>663</v>
      </c>
      <c r="T39" s="59" t="s">
        <v>345</v>
      </c>
      <c r="U39" s="59"/>
      <c r="V39" s="59"/>
      <c r="W39" s="59"/>
      <c r="X39" s="59"/>
      <c r="Y39" s="59"/>
      <c r="Z39" s="59"/>
      <c r="AA39" s="59"/>
      <c r="AB39" s="59"/>
      <c r="AC39" s="59"/>
      <c r="AD39" s="59"/>
      <c r="AE39" s="59"/>
      <c r="AF39" s="59"/>
      <c r="AG39" s="59"/>
      <c r="AH39" s="59"/>
    </row>
    <row r="40" customFormat="false" ht="24.75" hidden="false" customHeight="false" outlineLevel="0" collapsed="false">
      <c r="A40" s="79" t="s">
        <v>44</v>
      </c>
      <c r="B40" s="80" t="s">
        <v>168</v>
      </c>
      <c r="C40" s="80" t="s">
        <v>102</v>
      </c>
      <c r="D40" s="81" t="s">
        <v>132</v>
      </c>
      <c r="E40" s="81" t="s">
        <v>406</v>
      </c>
      <c r="F40" s="75" t="s">
        <v>570</v>
      </c>
      <c r="G40" s="75" t="s">
        <v>451</v>
      </c>
      <c r="H40" s="75" t="s">
        <v>213</v>
      </c>
      <c r="I40" s="75" t="s">
        <v>105</v>
      </c>
      <c r="J40" s="75"/>
      <c r="K40" s="75"/>
      <c r="L40" s="75"/>
      <c r="M40" s="75"/>
      <c r="N40" s="75"/>
      <c r="O40" s="75"/>
      <c r="P40" s="75"/>
      <c r="Q40" s="59"/>
      <c r="R40" s="59"/>
      <c r="S40" s="59"/>
      <c r="T40" s="59"/>
      <c r="U40" s="59"/>
      <c r="V40" s="59"/>
      <c r="W40" s="59"/>
      <c r="X40" s="59"/>
      <c r="Y40" s="59"/>
      <c r="Z40" s="59"/>
      <c r="AA40" s="59"/>
      <c r="AB40" s="59"/>
      <c r="AC40" s="59"/>
      <c r="AD40" s="59"/>
      <c r="AE40" s="59"/>
      <c r="AF40" s="59"/>
      <c r="AG40" s="59"/>
      <c r="AH40" s="59"/>
    </row>
    <row r="41" customFormat="false" ht="24.75" hidden="false" customHeight="false" outlineLevel="0" collapsed="false">
      <c r="A41" s="74" t="s">
        <v>45</v>
      </c>
      <c r="B41" s="75" t="s">
        <v>129</v>
      </c>
      <c r="C41" s="75" t="s">
        <v>133</v>
      </c>
      <c r="D41" s="75" t="s">
        <v>150</v>
      </c>
      <c r="E41" s="75" t="s">
        <v>116</v>
      </c>
      <c r="F41" s="75" t="s">
        <v>384</v>
      </c>
      <c r="G41" s="75"/>
      <c r="H41" s="75"/>
      <c r="I41" s="75"/>
      <c r="J41" s="75"/>
      <c r="K41" s="75"/>
      <c r="L41" s="75"/>
      <c r="M41" s="75"/>
      <c r="N41" s="75"/>
      <c r="O41" s="75"/>
      <c r="P41" s="75"/>
      <c r="Q41" s="59"/>
      <c r="R41" s="59"/>
      <c r="S41" s="59"/>
      <c r="T41" s="59"/>
      <c r="U41" s="59"/>
      <c r="V41" s="59"/>
      <c r="W41" s="59"/>
      <c r="X41" s="59"/>
      <c r="Y41" s="59"/>
      <c r="Z41" s="59"/>
      <c r="AA41" s="59"/>
      <c r="AB41" s="59"/>
      <c r="AC41" s="59"/>
      <c r="AD41" s="59"/>
      <c r="AE41" s="59"/>
      <c r="AF41" s="59"/>
      <c r="AG41" s="59"/>
      <c r="AH41" s="59"/>
    </row>
    <row r="42" customFormat="false" ht="24.75" hidden="false" customHeight="false" outlineLevel="0" collapsed="false">
      <c r="A42" s="74" t="s">
        <v>46</v>
      </c>
      <c r="B42" s="75" t="s">
        <v>976</v>
      </c>
      <c r="C42" s="75" t="s">
        <v>387</v>
      </c>
      <c r="D42" s="75" t="s">
        <v>977</v>
      </c>
      <c r="E42" s="75" t="s">
        <v>701</v>
      </c>
      <c r="F42" s="75" t="s">
        <v>978</v>
      </c>
      <c r="G42" s="75" t="s">
        <v>979</v>
      </c>
      <c r="H42" s="75" t="s">
        <v>980</v>
      </c>
      <c r="I42" s="75" t="s">
        <v>981</v>
      </c>
      <c r="J42" s="75" t="s">
        <v>982</v>
      </c>
      <c r="K42" s="75"/>
      <c r="L42" s="75" t="s">
        <v>983</v>
      </c>
      <c r="M42" s="75" t="s">
        <v>984</v>
      </c>
      <c r="N42" s="75" t="s">
        <v>985</v>
      </c>
      <c r="O42" s="75" t="s">
        <v>854</v>
      </c>
      <c r="P42" s="75" t="s">
        <v>239</v>
      </c>
      <c r="Q42" s="75" t="s">
        <v>986</v>
      </c>
      <c r="R42" s="75" t="s">
        <v>987</v>
      </c>
      <c r="S42" s="75" t="s">
        <v>206</v>
      </c>
      <c r="T42" s="75" t="s">
        <v>117</v>
      </c>
      <c r="U42" s="75" t="s">
        <v>988</v>
      </c>
      <c r="V42" s="75" t="s">
        <v>989</v>
      </c>
      <c r="W42" s="75" t="s">
        <v>268</v>
      </c>
      <c r="X42" s="75" t="s">
        <v>416</v>
      </c>
      <c r="Y42" s="75" t="s">
        <v>990</v>
      </c>
      <c r="Z42" s="75" t="s">
        <v>991</v>
      </c>
      <c r="AA42" s="59"/>
      <c r="AB42" s="59"/>
      <c r="AC42" s="59"/>
      <c r="AD42" s="59"/>
      <c r="AE42" s="59"/>
      <c r="AF42" s="59"/>
      <c r="AG42" s="59"/>
      <c r="AH42" s="59"/>
    </row>
    <row r="43" customFormat="false" ht="24.75" hidden="false" customHeight="false" outlineLevel="0" collapsed="false">
      <c r="A43" s="74" t="s">
        <v>47</v>
      </c>
      <c r="B43" s="75" t="s">
        <v>129</v>
      </c>
      <c r="C43" s="75" t="s">
        <v>133</v>
      </c>
      <c r="D43" s="75" t="s">
        <v>150</v>
      </c>
      <c r="E43" s="75" t="s">
        <v>116</v>
      </c>
      <c r="F43" s="75" t="s">
        <v>384</v>
      </c>
      <c r="G43" s="75"/>
      <c r="H43" s="75"/>
      <c r="I43" s="75"/>
      <c r="J43" s="75"/>
      <c r="K43" s="75"/>
      <c r="L43" s="75"/>
      <c r="M43" s="75"/>
      <c r="N43" s="75"/>
      <c r="O43" s="75"/>
      <c r="P43" s="75"/>
      <c r="Q43" s="59"/>
      <c r="R43" s="59"/>
      <c r="S43" s="59"/>
      <c r="T43" s="59"/>
      <c r="U43" s="59"/>
      <c r="V43" s="59"/>
      <c r="W43" s="59"/>
      <c r="X43" s="59"/>
      <c r="Y43" s="59"/>
      <c r="Z43" s="59"/>
      <c r="AA43" s="59"/>
      <c r="AB43" s="59"/>
      <c r="AC43" s="59"/>
      <c r="AD43" s="59"/>
      <c r="AE43" s="59"/>
      <c r="AF43" s="59"/>
      <c r="AG43" s="59"/>
      <c r="AH43" s="59"/>
    </row>
    <row r="44" customFormat="false" ht="24.75" hidden="false" customHeight="false" outlineLevel="0" collapsed="false">
      <c r="A44" s="74" t="s">
        <v>48</v>
      </c>
      <c r="B44" s="75" t="s">
        <v>976</v>
      </c>
      <c r="C44" s="75" t="s">
        <v>387</v>
      </c>
      <c r="D44" s="75" t="s">
        <v>977</v>
      </c>
      <c r="E44" s="75" t="s">
        <v>701</v>
      </c>
      <c r="F44" s="75" t="s">
        <v>978</v>
      </c>
      <c r="G44" s="75" t="s">
        <v>979</v>
      </c>
      <c r="H44" s="75" t="s">
        <v>980</v>
      </c>
      <c r="I44" s="75" t="s">
        <v>981</v>
      </c>
      <c r="J44" s="75" t="s">
        <v>982</v>
      </c>
      <c r="K44" s="75"/>
      <c r="L44" s="75" t="s">
        <v>983</v>
      </c>
      <c r="M44" s="75" t="s">
        <v>984</v>
      </c>
      <c r="N44" s="75" t="s">
        <v>985</v>
      </c>
      <c r="O44" s="75" t="s">
        <v>854</v>
      </c>
      <c r="P44" s="75" t="s">
        <v>239</v>
      </c>
      <c r="Q44" s="75" t="s">
        <v>986</v>
      </c>
      <c r="R44" s="75" t="s">
        <v>987</v>
      </c>
      <c r="S44" s="75" t="s">
        <v>206</v>
      </c>
      <c r="T44" s="75" t="s">
        <v>117</v>
      </c>
      <c r="U44" s="75" t="s">
        <v>988</v>
      </c>
      <c r="V44" s="75" t="s">
        <v>989</v>
      </c>
      <c r="W44" s="75" t="s">
        <v>268</v>
      </c>
      <c r="X44" s="75" t="s">
        <v>416</v>
      </c>
      <c r="Y44" s="75" t="s">
        <v>990</v>
      </c>
      <c r="Z44" s="75" t="s">
        <v>991</v>
      </c>
      <c r="AA44" s="59"/>
      <c r="AB44" s="59"/>
      <c r="AC44" s="59"/>
      <c r="AD44" s="59"/>
      <c r="AE44" s="59"/>
      <c r="AF44" s="59"/>
      <c r="AG44" s="59"/>
      <c r="AH44" s="59"/>
    </row>
    <row r="45" customFormat="false" ht="24.75" hidden="false" customHeight="false" outlineLevel="0" collapsed="false">
      <c r="A45" s="74" t="s">
        <v>49</v>
      </c>
      <c r="B45" s="82" t="b">
        <f aca="false">TRUE()</f>
        <v>1</v>
      </c>
      <c r="C45" s="82" t="b">
        <f aca="false">FALSE()</f>
        <v>0</v>
      </c>
      <c r="D45" s="75"/>
      <c r="E45" s="75"/>
      <c r="F45" s="75"/>
      <c r="G45" s="75"/>
      <c r="H45" s="75"/>
      <c r="I45" s="75"/>
      <c r="J45" s="75"/>
      <c r="K45" s="75"/>
      <c r="L45" s="75"/>
      <c r="M45" s="75"/>
      <c r="N45" s="75"/>
      <c r="O45" s="75"/>
      <c r="P45" s="75"/>
      <c r="Q45" s="75"/>
      <c r="R45" s="75"/>
      <c r="S45" s="75"/>
      <c r="T45" s="75"/>
      <c r="U45" s="75"/>
      <c r="V45" s="75"/>
      <c r="W45" s="75"/>
      <c r="X45" s="75"/>
      <c r="Y45" s="75"/>
      <c r="Z45" s="75"/>
      <c r="AA45" s="59"/>
      <c r="AB45" s="59"/>
      <c r="AC45" s="59"/>
      <c r="AD45" s="59"/>
      <c r="AE45" s="59"/>
      <c r="AF45" s="59"/>
      <c r="AG45" s="59"/>
      <c r="AH45" s="59"/>
    </row>
    <row r="46" customFormat="false" ht="24.75" hidden="false" customHeight="false" outlineLevel="0" collapsed="false">
      <c r="A46" s="74" t="s">
        <v>50</v>
      </c>
      <c r="B46" s="82" t="b">
        <f aca="false">TRUE()</f>
        <v>1</v>
      </c>
      <c r="C46" s="82" t="b">
        <f aca="false">FALSE()</f>
        <v>0</v>
      </c>
      <c r="D46" s="75"/>
      <c r="E46" s="75"/>
      <c r="F46" s="75"/>
      <c r="G46" s="75"/>
      <c r="H46" s="75"/>
      <c r="I46" s="75"/>
      <c r="J46" s="75"/>
      <c r="K46" s="75"/>
      <c r="L46" s="75"/>
      <c r="M46" s="75"/>
      <c r="N46" s="75"/>
      <c r="O46" s="75"/>
      <c r="P46" s="75"/>
      <c r="Q46" s="75"/>
      <c r="R46" s="75"/>
      <c r="S46" s="75"/>
      <c r="T46" s="75"/>
      <c r="U46" s="75"/>
      <c r="V46" s="75"/>
      <c r="W46" s="75"/>
      <c r="X46" s="75"/>
      <c r="Y46" s="75"/>
      <c r="Z46" s="75"/>
      <c r="AA46" s="59"/>
      <c r="AB46" s="59"/>
      <c r="AC46" s="59"/>
      <c r="AD46" s="59"/>
      <c r="AE46" s="59"/>
      <c r="AF46" s="59"/>
      <c r="AG46" s="59"/>
      <c r="AH46" s="59"/>
    </row>
    <row r="47" customFormat="false" ht="24.75" hidden="false" customHeight="false" outlineLevel="0" collapsed="false">
      <c r="A47" s="74" t="s">
        <v>51</v>
      </c>
      <c r="B47" s="82" t="b">
        <f aca="false">TRUE()</f>
        <v>1</v>
      </c>
      <c r="C47" s="82" t="b">
        <f aca="false">FALSE()</f>
        <v>0</v>
      </c>
      <c r="D47" s="75"/>
      <c r="E47" s="75"/>
      <c r="F47" s="75"/>
      <c r="G47" s="75"/>
      <c r="H47" s="75"/>
      <c r="I47" s="75"/>
      <c r="J47" s="75"/>
      <c r="K47" s="75"/>
      <c r="L47" s="75"/>
      <c r="M47" s="75"/>
      <c r="N47" s="75"/>
      <c r="O47" s="75"/>
      <c r="P47" s="75"/>
      <c r="Q47" s="75"/>
      <c r="R47" s="75"/>
      <c r="S47" s="75"/>
      <c r="T47" s="75"/>
      <c r="U47" s="75"/>
      <c r="V47" s="75"/>
      <c r="W47" s="75"/>
      <c r="X47" s="75"/>
      <c r="Y47" s="75"/>
      <c r="Z47" s="75"/>
      <c r="AA47" s="59"/>
      <c r="AB47" s="59"/>
      <c r="AC47" s="59"/>
      <c r="AD47" s="59"/>
      <c r="AE47" s="59"/>
      <c r="AF47" s="59"/>
      <c r="AG47" s="59"/>
      <c r="AH47" s="59"/>
    </row>
    <row r="48" customFormat="false" ht="24.75" hidden="false" customHeight="false" outlineLevel="0" collapsed="false">
      <c r="A48" s="74" t="s">
        <v>52</v>
      </c>
      <c r="B48" s="82" t="b">
        <f aca="false">TRUE()</f>
        <v>1</v>
      </c>
      <c r="C48" s="82" t="b">
        <f aca="false">FALSE()</f>
        <v>0</v>
      </c>
      <c r="D48" s="75"/>
      <c r="E48" s="75"/>
      <c r="F48" s="75"/>
      <c r="G48" s="75"/>
      <c r="H48" s="75"/>
      <c r="I48" s="75"/>
      <c r="J48" s="75"/>
      <c r="K48" s="75"/>
      <c r="L48" s="75"/>
      <c r="M48" s="75"/>
      <c r="N48" s="75"/>
      <c r="O48" s="75"/>
      <c r="P48" s="75"/>
      <c r="Q48" s="75"/>
      <c r="R48" s="75"/>
      <c r="S48" s="75"/>
      <c r="T48" s="75"/>
      <c r="U48" s="75"/>
      <c r="V48" s="75"/>
      <c r="W48" s="75"/>
      <c r="X48" s="75"/>
      <c r="Y48" s="75"/>
      <c r="Z48" s="75"/>
      <c r="AA48" s="59"/>
      <c r="AB48" s="59"/>
      <c r="AC48" s="59"/>
      <c r="AD48" s="59"/>
      <c r="AE48" s="59"/>
      <c r="AF48" s="59"/>
      <c r="AG48" s="59"/>
      <c r="AH48" s="59"/>
    </row>
    <row r="49" customFormat="false" ht="24.75" hidden="false" customHeight="false" outlineLevel="0" collapsed="false">
      <c r="A49" s="74" t="s">
        <v>53</v>
      </c>
      <c r="B49" s="83" t="s">
        <v>214</v>
      </c>
      <c r="C49" s="75" t="s">
        <v>992</v>
      </c>
      <c r="D49" s="75" t="s">
        <v>993</v>
      </c>
      <c r="E49" s="75" t="s">
        <v>994</v>
      </c>
      <c r="F49" s="75" t="s">
        <v>265</v>
      </c>
      <c r="G49" s="75" t="s">
        <v>189</v>
      </c>
      <c r="H49" s="75" t="s">
        <v>995</v>
      </c>
      <c r="I49" s="75" t="s">
        <v>996</v>
      </c>
      <c r="J49" s="75" t="s">
        <v>997</v>
      </c>
      <c r="K49" s="75"/>
      <c r="L49" s="75" t="s">
        <v>998</v>
      </c>
      <c r="M49" s="75" t="s">
        <v>716</v>
      </c>
      <c r="N49" s="75" t="s">
        <v>90</v>
      </c>
      <c r="O49" s="75" t="s">
        <v>999</v>
      </c>
      <c r="P49" s="75" t="s">
        <v>1000</v>
      </c>
      <c r="V49" s="59"/>
      <c r="W49" s="59"/>
      <c r="X49" s="59"/>
      <c r="Y49" s="59"/>
      <c r="Z49" s="59"/>
      <c r="AA49" s="59"/>
      <c r="AB49" s="59"/>
      <c r="AC49" s="59"/>
      <c r="AD49" s="59"/>
      <c r="AE49" s="59"/>
      <c r="AF49" s="59"/>
      <c r="AG49" s="59"/>
      <c r="AH49" s="59"/>
    </row>
    <row r="50" customFormat="false" ht="24.75" hidden="false" customHeight="false" outlineLevel="0" collapsed="false">
      <c r="A50" s="74" t="s">
        <v>54</v>
      </c>
      <c r="B50" s="82" t="b">
        <f aca="false">TRUE()</f>
        <v>1</v>
      </c>
      <c r="C50" s="82" t="b">
        <f aca="false">FALSE()</f>
        <v>0</v>
      </c>
      <c r="D50" s="78"/>
      <c r="E50" s="78"/>
      <c r="F50" s="75"/>
      <c r="G50" s="75"/>
      <c r="H50" s="75"/>
      <c r="I50" s="75"/>
      <c r="J50" s="75"/>
      <c r="K50" s="75"/>
      <c r="L50" s="75"/>
      <c r="M50" s="75"/>
      <c r="N50" s="75"/>
      <c r="O50" s="75"/>
      <c r="P50" s="75"/>
      <c r="Q50" s="59"/>
      <c r="R50" s="59"/>
      <c r="S50" s="59"/>
      <c r="T50" s="59"/>
      <c r="U50" s="59"/>
      <c r="V50" s="59"/>
      <c r="W50" s="59"/>
      <c r="X50" s="59"/>
      <c r="Y50" s="59"/>
      <c r="Z50" s="59"/>
      <c r="AA50" s="59"/>
      <c r="AB50" s="59"/>
      <c r="AC50" s="59"/>
      <c r="AD50" s="59"/>
      <c r="AE50" s="59"/>
      <c r="AF50" s="59"/>
      <c r="AG50" s="59"/>
      <c r="AH50" s="59"/>
    </row>
    <row r="51" customFormat="false" ht="24.75" hidden="false" customHeight="false" outlineLevel="0" collapsed="false">
      <c r="A51" s="74" t="s">
        <v>55</v>
      </c>
      <c r="B51" s="82" t="b">
        <f aca="false">TRUE()</f>
        <v>1</v>
      </c>
      <c r="C51" s="82" t="b">
        <f aca="false">FALSE()</f>
        <v>0</v>
      </c>
      <c r="D51" s="78"/>
      <c r="E51" s="78"/>
      <c r="F51" s="75"/>
      <c r="G51" s="75"/>
      <c r="H51" s="75"/>
      <c r="I51" s="75"/>
      <c r="J51" s="75"/>
      <c r="K51" s="75"/>
      <c r="L51" s="75"/>
      <c r="M51" s="75"/>
      <c r="N51" s="75"/>
      <c r="O51" s="75"/>
      <c r="P51" s="75"/>
      <c r="Q51" s="59"/>
      <c r="R51" s="59"/>
      <c r="S51" s="59"/>
      <c r="T51" s="59"/>
      <c r="U51" s="59"/>
      <c r="V51" s="59"/>
      <c r="W51" s="59"/>
      <c r="X51" s="59"/>
      <c r="Y51" s="59"/>
      <c r="Z51" s="59"/>
      <c r="AA51" s="59"/>
      <c r="AB51" s="59"/>
      <c r="AC51" s="59"/>
      <c r="AD51" s="59"/>
      <c r="AE51" s="59"/>
      <c r="AF51" s="59"/>
      <c r="AG51" s="59"/>
      <c r="AH51" s="59"/>
    </row>
    <row r="52" customFormat="false" ht="24.75" hidden="false" customHeight="false" outlineLevel="0" collapsed="false">
      <c r="A52" s="74" t="s">
        <v>56</v>
      </c>
      <c r="B52" s="82" t="b">
        <f aca="false">TRUE()</f>
        <v>1</v>
      </c>
      <c r="C52" s="82" t="b">
        <f aca="false">FALSE()</f>
        <v>0</v>
      </c>
      <c r="D52" s="78"/>
      <c r="E52" s="78"/>
      <c r="F52" s="75"/>
      <c r="G52" s="75"/>
      <c r="H52" s="75"/>
      <c r="I52" s="75"/>
      <c r="J52" s="75"/>
      <c r="K52" s="75"/>
      <c r="L52" s="75"/>
      <c r="M52" s="75"/>
      <c r="N52" s="75"/>
      <c r="O52" s="75"/>
      <c r="P52" s="75"/>
      <c r="Q52" s="59"/>
      <c r="R52" s="59"/>
      <c r="S52" s="59"/>
      <c r="T52" s="59"/>
      <c r="U52" s="59"/>
      <c r="V52" s="59"/>
      <c r="W52" s="59"/>
      <c r="X52" s="59"/>
      <c r="Y52" s="59"/>
      <c r="Z52" s="59"/>
      <c r="AA52" s="59"/>
      <c r="AB52" s="59"/>
      <c r="AC52" s="59"/>
      <c r="AD52" s="59"/>
      <c r="AE52" s="59"/>
      <c r="AF52" s="59"/>
      <c r="AG52" s="59"/>
      <c r="AH52" s="59"/>
    </row>
    <row r="53" customFormat="false" ht="24.75" hidden="false" customHeight="false" outlineLevel="0" collapsed="false">
      <c r="A53" s="74" t="s">
        <v>57</v>
      </c>
      <c r="B53" s="82" t="b">
        <f aca="false">TRUE()</f>
        <v>1</v>
      </c>
      <c r="C53" s="82" t="b">
        <f aca="false">FALSE()</f>
        <v>0</v>
      </c>
      <c r="D53" s="78"/>
      <c r="E53" s="78"/>
      <c r="F53" s="75"/>
      <c r="G53" s="75"/>
      <c r="H53" s="75"/>
      <c r="I53" s="75"/>
      <c r="J53" s="75"/>
      <c r="K53" s="75"/>
      <c r="L53" s="75"/>
      <c r="M53" s="75"/>
      <c r="N53" s="75"/>
      <c r="O53" s="75"/>
      <c r="P53" s="75"/>
      <c r="Q53" s="59"/>
      <c r="R53" s="59"/>
      <c r="S53" s="59"/>
      <c r="T53" s="59"/>
      <c r="U53" s="59"/>
      <c r="V53" s="59"/>
      <c r="W53" s="59"/>
      <c r="X53" s="59"/>
      <c r="Y53" s="59"/>
      <c r="Z53" s="59"/>
      <c r="AA53" s="59"/>
      <c r="AB53" s="59"/>
      <c r="AC53" s="59"/>
      <c r="AD53" s="59"/>
      <c r="AE53" s="59"/>
      <c r="AF53" s="59"/>
      <c r="AG53" s="59"/>
      <c r="AH53" s="59"/>
    </row>
    <row r="54" customFormat="false" ht="24.75" hidden="false" customHeight="false" outlineLevel="0" collapsed="false">
      <c r="A54" s="74" t="s">
        <v>58</v>
      </c>
      <c r="B54" s="82" t="b">
        <f aca="false">TRUE()</f>
        <v>1</v>
      </c>
      <c r="C54" s="82" t="b">
        <f aca="false">FALSE()</f>
        <v>0</v>
      </c>
      <c r="D54" s="78"/>
      <c r="E54" s="78"/>
      <c r="F54" s="75"/>
      <c r="G54" s="75"/>
      <c r="H54" s="75"/>
      <c r="I54" s="75"/>
      <c r="J54" s="75"/>
      <c r="K54" s="75"/>
      <c r="L54" s="75"/>
      <c r="M54" s="75"/>
      <c r="N54" s="75"/>
      <c r="O54" s="75"/>
      <c r="P54" s="75"/>
      <c r="Q54" s="59"/>
      <c r="R54" s="59"/>
      <c r="S54" s="59"/>
      <c r="T54" s="59"/>
      <c r="U54" s="59"/>
      <c r="V54" s="59"/>
      <c r="W54" s="59"/>
      <c r="X54" s="59"/>
      <c r="Y54" s="59"/>
      <c r="Z54" s="59"/>
      <c r="AA54" s="59"/>
      <c r="AB54" s="59"/>
      <c r="AC54" s="59"/>
      <c r="AD54" s="59"/>
      <c r="AE54" s="59"/>
      <c r="AF54" s="59"/>
      <c r="AG54" s="59"/>
      <c r="AH54" s="59"/>
    </row>
    <row r="55" customFormat="false" ht="24.75" hidden="false" customHeight="false" outlineLevel="0" collapsed="false">
      <c r="A55" s="74" t="s">
        <v>59</v>
      </c>
      <c r="B55" s="82" t="b">
        <f aca="false">TRUE()</f>
        <v>1</v>
      </c>
      <c r="C55" s="82" t="b">
        <f aca="false">FALSE()</f>
        <v>0</v>
      </c>
      <c r="D55" s="78"/>
      <c r="E55" s="78"/>
      <c r="F55" s="75"/>
      <c r="G55" s="75"/>
      <c r="H55" s="75"/>
      <c r="I55" s="75"/>
      <c r="J55" s="75"/>
      <c r="K55" s="75"/>
      <c r="L55" s="75"/>
      <c r="M55" s="75"/>
      <c r="N55" s="75"/>
      <c r="O55" s="75"/>
      <c r="P55" s="75"/>
      <c r="Q55" s="59"/>
      <c r="R55" s="59"/>
      <c r="S55" s="59"/>
      <c r="T55" s="59"/>
      <c r="U55" s="59"/>
      <c r="V55" s="59"/>
      <c r="W55" s="59"/>
      <c r="X55" s="59"/>
      <c r="Y55" s="59"/>
      <c r="Z55" s="59"/>
      <c r="AA55" s="59"/>
      <c r="AB55" s="59"/>
      <c r="AC55" s="59"/>
      <c r="AD55" s="59"/>
      <c r="AE55" s="59"/>
      <c r="AF55" s="59"/>
      <c r="AG55" s="59"/>
      <c r="AH55" s="59"/>
    </row>
    <row r="56" customFormat="false" ht="24.75" hidden="false" customHeight="false" outlineLevel="0" collapsed="false">
      <c r="A56" s="74" t="s">
        <v>18</v>
      </c>
      <c r="B56" s="82" t="b">
        <f aca="false">TRUE()</f>
        <v>1</v>
      </c>
      <c r="C56" s="82" t="b">
        <f aca="false">FALSE()</f>
        <v>0</v>
      </c>
      <c r="D56" s="78"/>
      <c r="E56" s="78"/>
      <c r="F56" s="75"/>
      <c r="G56" s="75"/>
      <c r="H56" s="75"/>
      <c r="I56" s="75"/>
      <c r="J56" s="75"/>
      <c r="K56" s="75"/>
      <c r="L56" s="75"/>
      <c r="M56" s="75"/>
      <c r="N56" s="75"/>
      <c r="O56" s="75"/>
      <c r="P56" s="75"/>
      <c r="Q56" s="59"/>
      <c r="R56" s="59"/>
      <c r="S56" s="59"/>
      <c r="T56" s="59"/>
      <c r="U56" s="59"/>
      <c r="V56" s="59"/>
      <c r="W56" s="59"/>
      <c r="X56" s="59"/>
      <c r="Y56" s="59"/>
      <c r="Z56" s="59"/>
      <c r="AA56" s="59"/>
      <c r="AB56" s="59"/>
      <c r="AC56" s="59"/>
      <c r="AD56" s="59"/>
      <c r="AE56" s="59"/>
      <c r="AF56" s="59"/>
      <c r="AG56" s="59"/>
      <c r="AH56" s="59"/>
    </row>
    <row r="57" customFormat="false" ht="24.75" hidden="false" customHeight="false" outlineLevel="0" collapsed="false">
      <c r="A57" s="74" t="s">
        <v>60</v>
      </c>
      <c r="B57" s="82" t="b">
        <f aca="false">TRUE()</f>
        <v>1</v>
      </c>
      <c r="C57" s="82" t="b">
        <f aca="false">FALSE()</f>
        <v>0</v>
      </c>
      <c r="D57" s="78"/>
      <c r="E57" s="78"/>
      <c r="F57" s="75"/>
      <c r="G57" s="75"/>
      <c r="H57" s="75"/>
      <c r="I57" s="75"/>
      <c r="J57" s="75"/>
      <c r="K57" s="75"/>
      <c r="L57" s="75"/>
      <c r="M57" s="75"/>
      <c r="N57" s="75"/>
      <c r="O57" s="75"/>
      <c r="P57" s="75"/>
      <c r="Q57" s="59"/>
      <c r="R57" s="59"/>
      <c r="S57" s="59"/>
      <c r="T57" s="59"/>
      <c r="U57" s="59"/>
      <c r="V57" s="59"/>
      <c r="W57" s="59"/>
      <c r="X57" s="59"/>
      <c r="Y57" s="59"/>
      <c r="Z57" s="59"/>
      <c r="AA57" s="59"/>
      <c r="AB57" s="59"/>
      <c r="AC57" s="59"/>
      <c r="AD57" s="59"/>
      <c r="AE57" s="59"/>
      <c r="AF57" s="59"/>
      <c r="AG57" s="59"/>
      <c r="AH57" s="59"/>
    </row>
    <row r="58" customFormat="false" ht="24.75" hidden="false" customHeight="false" outlineLevel="0" collapsed="false">
      <c r="A58" s="74" t="s">
        <v>61</v>
      </c>
      <c r="B58" s="82" t="b">
        <f aca="false">TRUE()</f>
        <v>1</v>
      </c>
      <c r="C58" s="82" t="b">
        <f aca="false">FALSE()</f>
        <v>0</v>
      </c>
      <c r="D58" s="78"/>
      <c r="E58" s="78"/>
      <c r="F58" s="75"/>
      <c r="G58" s="75"/>
      <c r="H58" s="75"/>
      <c r="I58" s="75"/>
      <c r="J58" s="75"/>
      <c r="K58" s="75"/>
      <c r="L58" s="75"/>
      <c r="M58" s="75"/>
      <c r="N58" s="75"/>
      <c r="O58" s="75"/>
      <c r="P58" s="75"/>
      <c r="Q58" s="59"/>
      <c r="R58" s="59"/>
      <c r="S58" s="59"/>
      <c r="T58" s="59"/>
      <c r="U58" s="59"/>
      <c r="V58" s="59"/>
      <c r="W58" s="59"/>
      <c r="X58" s="59"/>
      <c r="Y58" s="59"/>
      <c r="Z58" s="59"/>
      <c r="AA58" s="59"/>
      <c r="AB58" s="59"/>
      <c r="AC58" s="59"/>
      <c r="AD58" s="59"/>
      <c r="AE58" s="59"/>
      <c r="AF58" s="59"/>
      <c r="AG58" s="59"/>
      <c r="AH58" s="59"/>
    </row>
    <row r="59" customFormat="false" ht="24.75" hidden="false" customHeight="false" outlineLevel="0" collapsed="false">
      <c r="A59" s="74" t="s">
        <v>62</v>
      </c>
      <c r="B59" s="82" t="b">
        <f aca="false">TRUE()</f>
        <v>1</v>
      </c>
      <c r="C59" s="82" t="b">
        <f aca="false">FALSE()</f>
        <v>0</v>
      </c>
      <c r="D59" s="78"/>
      <c r="E59" s="78"/>
      <c r="F59" s="75"/>
      <c r="G59" s="75"/>
      <c r="H59" s="75"/>
      <c r="I59" s="75"/>
      <c r="J59" s="75"/>
      <c r="K59" s="75"/>
      <c r="L59" s="75"/>
      <c r="M59" s="75"/>
      <c r="N59" s="75"/>
      <c r="O59" s="75"/>
      <c r="P59" s="75"/>
      <c r="Q59" s="59"/>
      <c r="R59" s="59"/>
      <c r="S59" s="59"/>
      <c r="T59" s="59"/>
      <c r="U59" s="59"/>
      <c r="V59" s="59"/>
      <c r="W59" s="59"/>
      <c r="X59" s="59"/>
      <c r="Y59" s="59"/>
      <c r="Z59" s="59"/>
      <c r="AA59" s="59"/>
      <c r="AB59" s="59"/>
      <c r="AC59" s="59"/>
      <c r="AD59" s="59"/>
      <c r="AE59" s="59"/>
      <c r="AF59" s="59"/>
      <c r="AG59" s="59"/>
      <c r="AH59" s="59"/>
    </row>
    <row r="60" customFormat="false" ht="24.75" hidden="false" customHeight="false" outlineLevel="0" collapsed="false">
      <c r="A60" s="74" t="s">
        <v>63</v>
      </c>
      <c r="B60" s="82" t="b">
        <f aca="false">TRUE()</f>
        <v>1</v>
      </c>
      <c r="C60" s="82" t="b">
        <f aca="false">FALSE()</f>
        <v>0</v>
      </c>
      <c r="D60" s="78"/>
      <c r="E60" s="78"/>
      <c r="F60" s="75"/>
      <c r="G60" s="75"/>
      <c r="H60" s="75"/>
      <c r="I60" s="75"/>
      <c r="J60" s="75"/>
      <c r="K60" s="75"/>
      <c r="L60" s="75"/>
      <c r="M60" s="75"/>
      <c r="N60" s="75"/>
      <c r="O60" s="75"/>
      <c r="P60" s="75"/>
      <c r="Q60" s="59"/>
      <c r="R60" s="59"/>
      <c r="S60" s="59"/>
      <c r="T60" s="59"/>
      <c r="U60" s="59"/>
      <c r="V60" s="59"/>
      <c r="W60" s="59"/>
      <c r="X60" s="59"/>
      <c r="Y60" s="59"/>
      <c r="Z60" s="59"/>
      <c r="AA60" s="59"/>
      <c r="AB60" s="59"/>
      <c r="AC60" s="59"/>
      <c r="AD60" s="59"/>
      <c r="AE60" s="59"/>
      <c r="AF60" s="59"/>
      <c r="AG60" s="59"/>
      <c r="AH60" s="59"/>
    </row>
    <row r="61" customFormat="false" ht="24.75" hidden="false" customHeight="false" outlineLevel="0" collapsed="false">
      <c r="A61" s="74" t="s">
        <v>64</v>
      </c>
      <c r="B61" s="82" t="b">
        <f aca="false">TRUE()</f>
        <v>1</v>
      </c>
      <c r="C61" s="82" t="b">
        <f aca="false">FALSE()</f>
        <v>0</v>
      </c>
      <c r="D61" s="78"/>
      <c r="E61" s="78"/>
      <c r="F61" s="75"/>
      <c r="G61" s="75"/>
      <c r="H61" s="75"/>
      <c r="I61" s="75"/>
      <c r="J61" s="75"/>
      <c r="K61" s="75"/>
      <c r="L61" s="75"/>
      <c r="M61" s="75"/>
      <c r="N61" s="75"/>
      <c r="O61" s="75"/>
      <c r="P61" s="75"/>
      <c r="Q61" s="59"/>
      <c r="R61" s="59"/>
      <c r="S61" s="59"/>
      <c r="T61" s="59"/>
      <c r="U61" s="59"/>
      <c r="V61" s="59"/>
      <c r="W61" s="59"/>
      <c r="X61" s="59"/>
      <c r="Y61" s="59"/>
      <c r="Z61" s="59"/>
      <c r="AA61" s="59"/>
      <c r="AB61" s="59"/>
      <c r="AC61" s="59"/>
      <c r="AD61" s="59"/>
      <c r="AE61" s="59"/>
      <c r="AF61" s="59"/>
      <c r="AG61" s="59"/>
      <c r="AH61" s="59"/>
    </row>
    <row r="62" customFormat="false" ht="24.75" hidden="false" customHeight="false" outlineLevel="0" collapsed="false">
      <c r="A62" s="74" t="s">
        <v>65</v>
      </c>
      <c r="B62" s="82" t="b">
        <f aca="false">TRUE()</f>
        <v>1</v>
      </c>
      <c r="C62" s="82" t="b">
        <f aca="false">FALSE()</f>
        <v>0</v>
      </c>
      <c r="D62" s="78"/>
      <c r="E62" s="78"/>
      <c r="F62" s="75"/>
      <c r="G62" s="75"/>
      <c r="H62" s="75"/>
      <c r="I62" s="75"/>
      <c r="J62" s="75"/>
      <c r="K62" s="75"/>
      <c r="L62" s="75"/>
      <c r="M62" s="75"/>
      <c r="N62" s="75"/>
      <c r="O62" s="75"/>
      <c r="P62" s="75"/>
      <c r="Q62" s="59"/>
      <c r="R62" s="59"/>
      <c r="S62" s="59"/>
      <c r="T62" s="59"/>
      <c r="U62" s="59"/>
      <c r="V62" s="59"/>
      <c r="W62" s="59"/>
      <c r="X62" s="59"/>
      <c r="Y62" s="59"/>
      <c r="Z62" s="59"/>
      <c r="AA62" s="59"/>
      <c r="AB62" s="59"/>
      <c r="AC62" s="59"/>
      <c r="AD62" s="59"/>
      <c r="AE62" s="59"/>
      <c r="AF62" s="59"/>
      <c r="AG62" s="59"/>
      <c r="AH62" s="59"/>
    </row>
    <row r="63" customFormat="false" ht="24.75" hidden="false" customHeight="false" outlineLevel="0" collapsed="false">
      <c r="A63" s="74" t="s">
        <v>66</v>
      </c>
      <c r="B63" s="82" t="b">
        <f aca="false">TRUE()</f>
        <v>1</v>
      </c>
      <c r="C63" s="82" t="b">
        <f aca="false">FALSE()</f>
        <v>0</v>
      </c>
      <c r="D63" s="78"/>
      <c r="E63" s="78"/>
      <c r="F63" s="75"/>
      <c r="G63" s="75"/>
      <c r="H63" s="75"/>
      <c r="I63" s="75"/>
      <c r="J63" s="75"/>
      <c r="K63" s="75"/>
      <c r="L63" s="75"/>
      <c r="M63" s="75"/>
      <c r="N63" s="75"/>
      <c r="O63" s="75"/>
      <c r="P63" s="75"/>
      <c r="Q63" s="59"/>
      <c r="R63" s="59"/>
      <c r="S63" s="59"/>
      <c r="T63" s="59"/>
      <c r="U63" s="59"/>
      <c r="V63" s="59"/>
      <c r="W63" s="59"/>
      <c r="X63" s="59"/>
      <c r="Y63" s="59"/>
      <c r="Z63" s="59"/>
      <c r="AA63" s="59"/>
      <c r="AB63" s="59"/>
      <c r="AC63" s="59"/>
      <c r="AD63" s="59"/>
      <c r="AE63" s="59"/>
      <c r="AF63" s="59"/>
      <c r="AG63" s="59"/>
      <c r="AH63" s="59"/>
    </row>
    <row r="64" customFormat="false" ht="24.75" hidden="false" customHeight="false" outlineLevel="0" collapsed="false">
      <c r="A64" s="74" t="s">
        <v>67</v>
      </c>
      <c r="B64" s="75" t="s">
        <v>103</v>
      </c>
      <c r="C64" s="75" t="s">
        <v>135</v>
      </c>
      <c r="D64" s="75" t="s">
        <v>119</v>
      </c>
      <c r="E64" s="75" t="s">
        <v>90</v>
      </c>
      <c r="F64" s="75"/>
      <c r="H64" s="75"/>
      <c r="I64" s="75"/>
      <c r="J64" s="75"/>
      <c r="K64" s="75"/>
      <c r="L64" s="75"/>
      <c r="M64" s="75"/>
      <c r="N64" s="75"/>
      <c r="O64" s="75"/>
      <c r="P64" s="75"/>
      <c r="Q64" s="59"/>
      <c r="R64" s="59"/>
      <c r="S64" s="59"/>
      <c r="T64" s="59"/>
      <c r="U64" s="59"/>
      <c r="V64" s="59"/>
      <c r="W64" s="59"/>
      <c r="X64" s="59"/>
      <c r="Y64" s="59"/>
      <c r="Z64" s="59"/>
      <c r="AA64" s="59"/>
      <c r="AB64" s="59"/>
      <c r="AC64" s="59"/>
      <c r="AD64" s="59"/>
      <c r="AE64" s="59"/>
      <c r="AF64" s="59"/>
      <c r="AG64" s="59"/>
      <c r="AH64" s="59"/>
    </row>
    <row r="65" customFormat="false" ht="24.75" hidden="false" customHeight="false" outlineLevel="0" collapsed="false">
      <c r="A65" s="74" t="s">
        <v>68</v>
      </c>
      <c r="B65" s="75" t="s">
        <v>103</v>
      </c>
      <c r="C65" s="75" t="s">
        <v>135</v>
      </c>
      <c r="D65" s="75" t="s">
        <v>119</v>
      </c>
      <c r="E65" s="75" t="s">
        <v>90</v>
      </c>
      <c r="F65" s="75" t="s">
        <v>108</v>
      </c>
      <c r="H65" s="75"/>
      <c r="I65" s="75"/>
      <c r="J65" s="75"/>
      <c r="K65" s="75"/>
      <c r="L65" s="75"/>
      <c r="M65" s="75"/>
      <c r="N65" s="75"/>
      <c r="O65" s="75"/>
      <c r="P65" s="75"/>
      <c r="Q65" s="59"/>
      <c r="R65" s="59"/>
      <c r="S65" s="59"/>
      <c r="T65" s="59"/>
      <c r="U65" s="59"/>
      <c r="V65" s="59"/>
      <c r="W65" s="59"/>
      <c r="X65" s="59"/>
      <c r="Y65" s="59"/>
      <c r="Z65" s="59"/>
      <c r="AA65" s="59"/>
      <c r="AB65" s="59"/>
      <c r="AC65" s="59"/>
      <c r="AD65" s="59"/>
      <c r="AE65" s="59"/>
      <c r="AF65" s="59"/>
      <c r="AG65" s="59"/>
      <c r="AH65" s="59"/>
    </row>
    <row r="66" customFormat="false" ht="24.75" hidden="false" customHeight="false" outlineLevel="0" collapsed="false">
      <c r="A66" s="74" t="s">
        <v>69</v>
      </c>
      <c r="B66" s="76" t="b">
        <f aca="false">TRUE()</f>
        <v>1</v>
      </c>
      <c r="C66" s="76" t="b">
        <f aca="false">FALSE()</f>
        <v>0</v>
      </c>
      <c r="D66" s="75"/>
      <c r="E66" s="75"/>
      <c r="F66" s="75"/>
      <c r="G66" s="75"/>
      <c r="H66" s="75"/>
      <c r="I66" s="75"/>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row>
    <row r="67" customFormat="false" ht="24.75" hidden="false" customHeight="false" outlineLevel="0" collapsed="false">
      <c r="A67" s="74" t="s">
        <v>70</v>
      </c>
      <c r="B67" s="76" t="b">
        <f aca="false">TRUE()</f>
        <v>1</v>
      </c>
      <c r="C67" s="76" t="b">
        <f aca="false">FALSE()</f>
        <v>0</v>
      </c>
      <c r="D67" s="75"/>
      <c r="E67" s="75"/>
      <c r="F67" s="75"/>
      <c r="G67" s="75"/>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row>
    <row r="68" customFormat="false" ht="24.75" hidden="false" customHeight="false" outlineLevel="0" collapsed="false">
      <c r="A68" s="74" t="s">
        <v>71</v>
      </c>
      <c r="B68" s="75" t="s">
        <v>153</v>
      </c>
      <c r="C68" s="75" t="s">
        <v>1001</v>
      </c>
      <c r="D68" s="75" t="s">
        <v>1002</v>
      </c>
      <c r="E68" s="75" t="s">
        <v>174</v>
      </c>
      <c r="F68" s="75" t="s">
        <v>1003</v>
      </c>
      <c r="G68" s="75" t="s">
        <v>90</v>
      </c>
      <c r="I68" s="75"/>
      <c r="J68" s="75"/>
      <c r="K68" s="75"/>
      <c r="L68" s="75"/>
      <c r="M68" s="75"/>
      <c r="N68" s="75"/>
      <c r="O68" s="75"/>
      <c r="P68" s="75"/>
      <c r="Q68" s="59"/>
      <c r="R68" s="59"/>
      <c r="S68" s="59"/>
      <c r="T68" s="59"/>
      <c r="U68" s="59"/>
      <c r="V68" s="59"/>
      <c r="W68" s="59"/>
      <c r="X68" s="59"/>
      <c r="Y68" s="59"/>
      <c r="Z68" s="59"/>
      <c r="AA68" s="59"/>
      <c r="AB68" s="59"/>
      <c r="AC68" s="59"/>
      <c r="AD68" s="59"/>
      <c r="AE68" s="59"/>
      <c r="AF68" s="59"/>
      <c r="AG68" s="59"/>
      <c r="AH68" s="59"/>
    </row>
    <row r="69" customFormat="false" ht="24.75" hidden="false" customHeight="false" outlineLevel="0" collapsed="false">
      <c r="A69" s="74" t="s">
        <v>72</v>
      </c>
      <c r="B69" s="76" t="b">
        <f aca="false">TRUE()</f>
        <v>1</v>
      </c>
      <c r="C69" s="76" t="b">
        <f aca="false">FALSE()</f>
        <v>0</v>
      </c>
      <c r="D69" s="75"/>
      <c r="E69" s="75"/>
      <c r="F69" s="75"/>
      <c r="G69" s="75"/>
      <c r="H69" s="75"/>
      <c r="I69" s="75"/>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row>
    <row r="70" customFormat="false" ht="24.75" hidden="false" customHeight="false" outlineLevel="0" collapsed="false">
      <c r="A70" s="74" t="s">
        <v>73</v>
      </c>
      <c r="B70" s="75" t="s">
        <v>222</v>
      </c>
      <c r="C70" s="75" t="s">
        <v>138</v>
      </c>
      <c r="D70" s="75" t="s">
        <v>137</v>
      </c>
      <c r="E70" s="75" t="s">
        <v>224</v>
      </c>
      <c r="F70" s="75" t="s">
        <v>90</v>
      </c>
      <c r="G70" s="75" t="s">
        <v>350</v>
      </c>
      <c r="H70" s="75"/>
      <c r="I70" s="75"/>
      <c r="J70" s="75"/>
      <c r="K70" s="75"/>
      <c r="L70" s="75"/>
      <c r="M70" s="75"/>
      <c r="N70" s="75"/>
      <c r="O70" s="75"/>
      <c r="P70" s="75"/>
      <c r="Q70" s="59"/>
      <c r="R70" s="59"/>
      <c r="S70" s="59"/>
      <c r="T70" s="59"/>
      <c r="U70" s="59"/>
      <c r="V70" s="59"/>
      <c r="W70" s="59"/>
      <c r="X70" s="59"/>
      <c r="Y70" s="59"/>
      <c r="Z70" s="59"/>
      <c r="AA70" s="59"/>
      <c r="AB70" s="59"/>
      <c r="AC70" s="59"/>
      <c r="AD70" s="59"/>
      <c r="AE70" s="59"/>
      <c r="AF70" s="59"/>
      <c r="AG70" s="59"/>
      <c r="AH70" s="59"/>
    </row>
    <row r="71" customFormat="false" ht="24.75" hidden="false" customHeight="false" outlineLevel="0" collapsed="false">
      <c r="A71" s="74" t="s">
        <v>74</v>
      </c>
      <c r="B71" s="75" t="s">
        <v>222</v>
      </c>
      <c r="C71" s="75" t="s">
        <v>138</v>
      </c>
      <c r="D71" s="75" t="s">
        <v>137</v>
      </c>
      <c r="E71" s="75" t="s">
        <v>224</v>
      </c>
      <c r="F71" s="75" t="s">
        <v>90</v>
      </c>
      <c r="G71" s="75" t="s">
        <v>350</v>
      </c>
      <c r="H71" s="75"/>
      <c r="I71" s="75"/>
      <c r="J71" s="75"/>
      <c r="K71" s="75"/>
      <c r="L71" s="75"/>
      <c r="M71" s="75"/>
      <c r="N71" s="75"/>
      <c r="O71" s="75"/>
      <c r="P71" s="75"/>
      <c r="Q71" s="59"/>
      <c r="R71" s="59"/>
      <c r="S71" s="59"/>
      <c r="T71" s="59"/>
      <c r="U71" s="59"/>
      <c r="V71" s="59"/>
      <c r="W71" s="59"/>
      <c r="X71" s="59"/>
      <c r="Y71" s="59"/>
      <c r="Z71" s="59"/>
      <c r="AA71" s="59"/>
      <c r="AB71" s="59"/>
      <c r="AC71" s="59"/>
      <c r="AD71" s="59"/>
      <c r="AE71" s="59"/>
      <c r="AF71" s="59"/>
      <c r="AG71" s="59"/>
      <c r="AH71" s="59"/>
    </row>
    <row r="72" customFormat="false" ht="24.75" hidden="false" customHeight="false" outlineLevel="0" collapsed="false">
      <c r="A72" s="74" t="s">
        <v>75</v>
      </c>
      <c r="B72" s="76" t="b">
        <f aca="false">TRUE()</f>
        <v>1</v>
      </c>
      <c r="C72" s="76" t="b">
        <f aca="false">FALSE()</f>
        <v>0</v>
      </c>
      <c r="D72" s="75"/>
      <c r="E72" s="75"/>
      <c r="F72" s="75"/>
      <c r="G72" s="75"/>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row>
    <row r="73" customFormat="false" ht="24.75" hidden="false" customHeight="false" outlineLevel="0" collapsed="false">
      <c r="A73" s="74" t="s">
        <v>76</v>
      </c>
      <c r="B73" s="76" t="b">
        <f aca="false">TRUE()</f>
        <v>1</v>
      </c>
      <c r="C73" s="76" t="b">
        <f aca="false">FALSE()</f>
        <v>0</v>
      </c>
      <c r="D73" s="75"/>
    </row>
    <row r="74" customFormat="false" ht="49.5" hidden="false" customHeight="false" outlineLevel="0" collapsed="false">
      <c r="A74" s="84" t="s">
        <v>77</v>
      </c>
      <c r="B74" s="76" t="b">
        <f aca="false">TRUE()</f>
        <v>1</v>
      </c>
      <c r="C74" s="76" t="b">
        <f aca="false">FALSE()</f>
        <v>0</v>
      </c>
      <c r="E74" s="75"/>
      <c r="F74" s="75"/>
      <c r="G74" s="75"/>
      <c r="H74" s="75"/>
      <c r="I74" s="75"/>
      <c r="J74" s="75"/>
      <c r="K74" s="75"/>
      <c r="L74" s="75"/>
      <c r="M74" s="75"/>
      <c r="N74" s="75"/>
      <c r="O74" s="75"/>
      <c r="P74" s="75"/>
      <c r="Q74" s="59"/>
      <c r="R74" s="59"/>
      <c r="S74" s="59"/>
      <c r="T74" s="59"/>
      <c r="U74" s="59"/>
      <c r="V74" s="59"/>
      <c r="W74" s="59"/>
      <c r="X74" s="59"/>
      <c r="Y74" s="59"/>
      <c r="Z74" s="59"/>
      <c r="AA74" s="59"/>
      <c r="AB74" s="59"/>
      <c r="AC74" s="59"/>
      <c r="AD74" s="59"/>
      <c r="AE74" s="59"/>
      <c r="AF74" s="59"/>
      <c r="AG74" s="59"/>
      <c r="AH74" s="59"/>
    </row>
    <row r="75" customFormat="false" ht="24.75" hidden="false" customHeight="false" outlineLevel="0" collapsed="false">
      <c r="A75" s="84" t="s">
        <v>78</v>
      </c>
      <c r="B75" s="76" t="b">
        <f aca="false">TRUE()</f>
        <v>1</v>
      </c>
      <c r="C75" s="76" t="b">
        <f aca="false">FALSE()</f>
        <v>0</v>
      </c>
      <c r="E75" s="75"/>
      <c r="F75" s="75"/>
      <c r="G75" s="75"/>
      <c r="H75" s="75"/>
      <c r="I75" s="75"/>
      <c r="J75" s="75"/>
      <c r="K75" s="75"/>
      <c r="L75" s="75"/>
      <c r="M75" s="75"/>
      <c r="N75" s="75"/>
      <c r="O75" s="75"/>
      <c r="P75" s="75"/>
      <c r="Q75" s="59"/>
      <c r="R75" s="59"/>
      <c r="S75" s="59"/>
      <c r="T75" s="59"/>
      <c r="U75" s="59"/>
      <c r="V75" s="59"/>
      <c r="W75" s="59"/>
      <c r="X75" s="59"/>
      <c r="Y75" s="59"/>
      <c r="Z75" s="59"/>
      <c r="AA75" s="59"/>
      <c r="AB75" s="59"/>
      <c r="AC75" s="59"/>
      <c r="AD75" s="59"/>
      <c r="AE75" s="59"/>
      <c r="AF75" s="59"/>
      <c r="AG75" s="59"/>
      <c r="AH75" s="59"/>
    </row>
    <row r="76" customFormat="false" ht="49.5" hidden="false" customHeight="false" outlineLevel="0" collapsed="false">
      <c r="A76" s="84" t="s">
        <v>79</v>
      </c>
      <c r="B76" s="76" t="b">
        <f aca="false">TRUE()</f>
        <v>1</v>
      </c>
      <c r="C76" s="76" t="b">
        <f aca="false">FALSE()</f>
        <v>0</v>
      </c>
      <c r="E76" s="75"/>
      <c r="F76" s="75"/>
      <c r="G76" s="75"/>
      <c r="H76" s="75"/>
      <c r="I76" s="75"/>
      <c r="J76" s="75"/>
      <c r="K76" s="75"/>
      <c r="L76" s="75"/>
      <c r="M76" s="75"/>
      <c r="N76" s="75"/>
      <c r="O76" s="75"/>
      <c r="P76" s="75"/>
      <c r="Q76" s="59"/>
      <c r="R76" s="59"/>
      <c r="S76" s="59"/>
      <c r="T76" s="59"/>
      <c r="U76" s="59"/>
      <c r="V76" s="59"/>
      <c r="W76" s="59"/>
      <c r="X76" s="59"/>
      <c r="Y76" s="59"/>
      <c r="Z76" s="59"/>
      <c r="AA76" s="59"/>
      <c r="AB76" s="59"/>
      <c r="AC76" s="59"/>
      <c r="AD76" s="59"/>
      <c r="AE76" s="59"/>
      <c r="AF76" s="59"/>
      <c r="AG76" s="59"/>
      <c r="AH76" s="59"/>
    </row>
    <row r="77" customFormat="false" ht="24.75" hidden="false" customHeight="false" outlineLevel="0" collapsed="false">
      <c r="A77" s="84" t="s">
        <v>80</v>
      </c>
      <c r="B77" s="76" t="b">
        <f aca="false">TRUE()</f>
        <v>1</v>
      </c>
      <c r="C77" s="76" t="b">
        <f aca="false">FALSE()</f>
        <v>0</v>
      </c>
      <c r="E77" s="75"/>
      <c r="F77" s="75"/>
      <c r="G77" s="75"/>
      <c r="H77" s="75"/>
      <c r="I77" s="75"/>
      <c r="J77" s="75"/>
      <c r="K77" s="75"/>
      <c r="L77" s="75"/>
      <c r="M77" s="75"/>
      <c r="N77" s="75"/>
      <c r="O77" s="75"/>
      <c r="P77" s="75"/>
      <c r="Q77" s="59"/>
      <c r="R77" s="59"/>
      <c r="S77" s="59"/>
      <c r="T77" s="59"/>
      <c r="U77" s="59"/>
      <c r="V77" s="59"/>
      <c r="W77" s="59"/>
      <c r="X77" s="59"/>
      <c r="Y77" s="59"/>
      <c r="Z77" s="59"/>
      <c r="AA77" s="59"/>
      <c r="AB77" s="59"/>
      <c r="AC77" s="59"/>
      <c r="AD77" s="59"/>
      <c r="AE77" s="59"/>
      <c r="AF77" s="59"/>
      <c r="AG77" s="59"/>
      <c r="AH77" s="59"/>
    </row>
    <row r="78" customFormat="false" ht="24.75" hidden="false" customHeight="false" outlineLevel="0" collapsed="false">
      <c r="A78" s="84" t="s">
        <v>81</v>
      </c>
      <c r="B78" s="76" t="b">
        <f aca="false">TRUE()</f>
        <v>1</v>
      </c>
      <c r="C78" s="76" t="b">
        <f aca="false">FALSE()</f>
        <v>0</v>
      </c>
      <c r="E78" s="75"/>
      <c r="F78" s="75"/>
      <c r="G78" s="75"/>
      <c r="H78" s="75"/>
      <c r="I78" s="75"/>
      <c r="J78" s="75"/>
      <c r="K78" s="75"/>
      <c r="L78" s="75"/>
      <c r="M78" s="75"/>
      <c r="N78" s="75"/>
      <c r="O78" s="75"/>
      <c r="P78" s="75"/>
      <c r="Q78" s="59"/>
      <c r="R78" s="59"/>
      <c r="S78" s="59"/>
      <c r="T78" s="59"/>
      <c r="U78" s="59"/>
      <c r="V78" s="59"/>
      <c r="W78" s="59"/>
      <c r="X78" s="59"/>
      <c r="Y78" s="59"/>
      <c r="Z78" s="59"/>
      <c r="AA78" s="59"/>
      <c r="AB78" s="59"/>
      <c r="AC78" s="59"/>
      <c r="AD78" s="59"/>
      <c r="AE78" s="59"/>
      <c r="AF78" s="59"/>
      <c r="AG78" s="59"/>
      <c r="AH78" s="59"/>
    </row>
    <row r="79" customFormat="false" ht="24.75" hidden="false" customHeight="false" outlineLevel="0" collapsed="false">
      <c r="A79" s="84" t="s">
        <v>82</v>
      </c>
      <c r="B79" s="76" t="b">
        <f aca="false">TRUE()</f>
        <v>1</v>
      </c>
      <c r="C79" s="76" t="b">
        <f aca="false">FALSE()</f>
        <v>0</v>
      </c>
      <c r="E79" s="75"/>
      <c r="F79" s="75"/>
      <c r="G79" s="75"/>
      <c r="H79" s="75"/>
      <c r="I79" s="75"/>
      <c r="J79" s="75"/>
      <c r="K79" s="75"/>
      <c r="L79" s="75"/>
      <c r="M79" s="75"/>
      <c r="N79" s="75"/>
      <c r="O79" s="75"/>
      <c r="P79" s="75"/>
      <c r="Q79" s="59"/>
      <c r="R79" s="59"/>
      <c r="S79" s="59"/>
      <c r="T79" s="59"/>
      <c r="U79" s="59"/>
      <c r="V79" s="59"/>
      <c r="W79" s="59"/>
      <c r="X79" s="59"/>
      <c r="Y79" s="59"/>
      <c r="Z79" s="59"/>
      <c r="AA79" s="59"/>
      <c r="AB79" s="59"/>
      <c r="AC79" s="59"/>
      <c r="AD79" s="59"/>
      <c r="AE79" s="59"/>
      <c r="AF79" s="59"/>
      <c r="AG79" s="59"/>
      <c r="AH79" s="59"/>
    </row>
    <row r="80" customFormat="false" ht="24.75" hidden="false" customHeight="false" outlineLevel="0" collapsed="false">
      <c r="A80" s="84" t="s">
        <v>83</v>
      </c>
      <c r="B80" s="76" t="b">
        <f aca="false">TRUE()</f>
        <v>1</v>
      </c>
      <c r="C80" s="76" t="b">
        <f aca="false">FALSE()</f>
        <v>0</v>
      </c>
      <c r="E80" s="75"/>
      <c r="F80" s="75"/>
      <c r="G80" s="75"/>
      <c r="H80" s="75"/>
      <c r="I80" s="75"/>
      <c r="J80" s="75"/>
      <c r="K80" s="75"/>
      <c r="L80" s="75"/>
      <c r="M80" s="75"/>
      <c r="N80" s="75"/>
      <c r="O80" s="75"/>
      <c r="P80" s="75"/>
      <c r="Q80" s="59"/>
      <c r="R80" s="59"/>
      <c r="S80" s="59"/>
      <c r="T80" s="59"/>
      <c r="U80" s="59"/>
      <c r="V80" s="59"/>
      <c r="W80" s="59"/>
      <c r="X80" s="59"/>
      <c r="Y80" s="59"/>
      <c r="Z80" s="59"/>
      <c r="AA80" s="59"/>
      <c r="AB80" s="59"/>
      <c r="AC80" s="59"/>
      <c r="AD80" s="59"/>
      <c r="AE80" s="59"/>
      <c r="AF80" s="59"/>
      <c r="AG80" s="59"/>
      <c r="AH80" s="59"/>
    </row>
    <row r="81" customFormat="false" ht="24.75" hidden="false" customHeight="false" outlineLevel="0" collapsed="false">
      <c r="A81" s="84" t="s">
        <v>1004</v>
      </c>
      <c r="B81" s="76" t="b">
        <f aca="false">TRUE()</f>
        <v>1</v>
      </c>
      <c r="C81" s="76" t="b">
        <f aca="false">FALSE()</f>
        <v>0</v>
      </c>
    </row>
    <row r="82" customFormat="false" ht="24.75" hidden="false" customHeight="false" outlineLevel="0" collapsed="false">
      <c r="A82" s="84" t="s">
        <v>85</v>
      </c>
      <c r="B82" s="76" t="b">
        <f aca="false">TRUE()</f>
        <v>1</v>
      </c>
      <c r="C82" s="76" t="b">
        <f aca="false">FALSE()</f>
        <v>0</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0998A333AEB7145A4C9C5080F419B60" ma:contentTypeVersion="17" ma:contentTypeDescription="Create a new document." ma:contentTypeScope="" ma:versionID="9cc35b58a81c02b70389e84155d419ac">
  <xsd:schema xmlns:xsd="http://www.w3.org/2001/XMLSchema" xmlns:xs="http://www.w3.org/2001/XMLSchema" xmlns:p="http://schemas.microsoft.com/office/2006/metadata/properties" xmlns:ns1="http://schemas.microsoft.com/sharepoint/v3" xmlns:ns2="3b1dbac9-cc97-4f99-b63f-ea70cf1b37e7" xmlns:ns3="e685e6d5-0590-4ba2-9ba3-2b282e90008c" targetNamespace="http://schemas.microsoft.com/office/2006/metadata/properties" ma:root="true" ma:fieldsID="ac9f4c7f1d1fd46c0e684cfb69933a11" ns1:_="" ns2:_="" ns3:_="">
    <xsd:import namespace="http://schemas.microsoft.com/sharepoint/v3"/>
    <xsd:import namespace="3b1dbac9-cc97-4f99-b63f-ea70cf1b37e7"/>
    <xsd:import namespace="e685e6d5-0590-4ba2-9ba3-2b282e90008c"/>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MediaServiceOCR" minOccurs="0"/>
                <xsd:element ref="ns2:MediaServiceObjectDetectorVersions" minOccurs="0"/>
                <xsd:element ref="ns2:MediaServiceLocation" minOccurs="0"/>
                <xsd:element ref="ns1:_ip_UnifiedCompliancePolicyProperties" minOccurs="0"/>
                <xsd:element ref="ns1:_ip_UnifiedCompliancePolicyUIAc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1dbac9-cc97-4f99-b63f-ea70cf1b37e7"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d0ea558d-3574-49c1-8f14-ae03204298fd"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685e6d5-0590-4ba2-9ba3-2b282e90008c"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acb19a43-e729-45af-a63d-901c73be767c}" ma:internalName="TaxCatchAll" ma:showField="CatchAllData" ma:web="e685e6d5-0590-4ba2-9ba3-2b282e90008c">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1dbac9-cc97-4f99-b63f-ea70cf1b37e7">
      <Terms xmlns="http://schemas.microsoft.com/office/infopath/2007/PartnerControls"/>
    </lcf76f155ced4ddcb4097134ff3c332f>
    <TaxCatchAll xmlns="e685e6d5-0590-4ba2-9ba3-2b282e90008c" xsi:nil="true"/>
  </documentManagement>
</p:properties>
</file>

<file path=customXml/itemProps1.xml><?xml version="1.0" encoding="utf-8"?>
<ds:datastoreItem xmlns:ds="http://schemas.openxmlformats.org/officeDocument/2006/customXml" ds:itemID="{F98D04F3-FB90-4138-9651-4B725F3EBAD3}">
  <ds:schemaRefs>
    <ds:schemaRef ds:uri="http://schemas.microsoft.com/sharepoint/v3/contenttype/forms"/>
  </ds:schemaRefs>
</ds:datastoreItem>
</file>

<file path=customXml/itemProps2.xml><?xml version="1.0" encoding="utf-8"?>
<ds:datastoreItem xmlns:ds="http://schemas.openxmlformats.org/officeDocument/2006/customXml" ds:itemID="{ABB63380-ABEE-4874-976E-71B071C41A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b1dbac9-cc97-4f99-b63f-ea70cf1b37e7"/>
    <ds:schemaRef ds:uri="e685e6d5-0590-4ba2-9ba3-2b282e9000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22D32FE-9032-4077-87A2-510ED5FEAD68}">
  <ds:schemaRefs>
    <ds:schemaRef ds:uri="http://schemas.microsoft.com/office/2006/metadata/properties"/>
    <ds:schemaRef ds:uri="http://schemas.microsoft.com/office/infopath/2007/PartnerControls"/>
    <ds:schemaRef ds:uri="http://schemas.microsoft.com/sharepoint/v3"/>
    <ds:schemaRef ds:uri="3b1dbac9-cc97-4f99-b63f-ea70cf1b37e7"/>
    <ds:schemaRef ds:uri="e685e6d5-0590-4ba2-9ba3-2b282e90008c"/>
  </ds:schemaRefs>
</ds:datastoreItem>
</file>

<file path=docProps/app.xml><?xml version="1.0" encoding="utf-8"?>
<Properties xmlns="http://schemas.openxmlformats.org/officeDocument/2006/extended-properties" xmlns:vt="http://schemas.openxmlformats.org/officeDocument/2006/docPropsVTypes">
  <Template/>
  <TotalTime>11</TotalTime>
  <Application>LibreOffice/7.3.7.2$Linux_X86_64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2025-11-20T02:13:16Z</dcterms:created>
  <dc:creator>Jonas Bianchi</dc:creator>
  <dc:description/>
  <dc:language>en-US</dc:language>
  <cp:lastModifiedBy/>
  <dcterms:modified xsi:type="dcterms:W3CDTF">2026-01-08T09:48:53Z</dcterms:modified>
  <cp:revision>10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0x01010080998A333AEB7145A4C9C5080F419B60</vt:lpwstr>
  </property>
  <property fmtid="{D5CDD505-2E9C-101B-9397-08002B2CF9AE}" pid="3" name="MediaServiceImageTags">
    <vt:lpwstr/>
  </property>
</Properties>
</file>