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pdeolive\Downloads\"/>
    </mc:Choice>
  </mc:AlternateContent>
  <xr:revisionPtr revIDLastSave="0" documentId="13_ncr:1_{238A76D8-9BBC-4BF3-B062-BFC07B9D263C}" xr6:coauthVersionLast="47" xr6:coauthVersionMax="47" xr10:uidLastSave="{00000000-0000-0000-0000-000000000000}"/>
  <bookViews>
    <workbookView xWindow="-120" yWindow="-120" windowWidth="29040" windowHeight="15720" activeTab="8" xr2:uid="{00000000-000D-0000-FFFF-FFFF00000000}"/>
  </bookViews>
  <sheets>
    <sheet name="1177299" sheetId="1" r:id="rId1"/>
    <sheet name="1151000" sheetId="3" r:id="rId2"/>
    <sheet name="1122091" sheetId="4" r:id="rId3"/>
    <sheet name="1128315" sheetId="5" r:id="rId4"/>
    <sheet name="1158354" sheetId="2" r:id="rId5"/>
    <sheet name="1121423" sheetId="6" r:id="rId6"/>
    <sheet name="1121834" sheetId="7" r:id="rId7"/>
    <sheet name="1157544" sheetId="8" r:id="rId8"/>
    <sheet name="1143964" sheetId="9" r:id="rId9"/>
    <sheet name="1145757" sheetId="10" r:id="rId10"/>
    <sheet name="list" sheetId="11" r:id="rId1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3" i="10" l="1"/>
  <c r="D32" i="10"/>
  <c r="D31" i="10"/>
  <c r="D30" i="10"/>
  <c r="D29" i="10"/>
  <c r="D28" i="10"/>
  <c r="D27" i="10"/>
  <c r="D26" i="10"/>
  <c r="D25" i="10"/>
  <c r="D24" i="10"/>
  <c r="D23" i="10"/>
  <c r="D22" i="10"/>
  <c r="D21" i="10"/>
  <c r="D20" i="10"/>
  <c r="D19" i="10"/>
  <c r="D18" i="10"/>
  <c r="D17" i="10"/>
  <c r="D16" i="10"/>
  <c r="D15" i="10"/>
  <c r="D14" i="10"/>
  <c r="D13" i="10"/>
  <c r="D12" i="10"/>
  <c r="D11" i="10"/>
  <c r="D10" i="10"/>
  <c r="D9" i="10"/>
  <c r="D8" i="10"/>
  <c r="D7" i="10"/>
  <c r="D6" i="10"/>
  <c r="D5" i="10"/>
  <c r="D4" i="10"/>
  <c r="D2" i="10"/>
  <c r="D32" i="9"/>
  <c r="D31" i="9"/>
  <c r="D30" i="9"/>
  <c r="D29" i="9"/>
  <c r="D28" i="9"/>
  <c r="D27" i="9"/>
  <c r="D26" i="9"/>
  <c r="D25" i="9"/>
  <c r="D24" i="9"/>
  <c r="D23" i="9"/>
  <c r="D22" i="9"/>
  <c r="D21" i="9"/>
  <c r="D20" i="9"/>
  <c r="D19" i="9"/>
  <c r="D18" i="9"/>
  <c r="D17" i="9"/>
  <c r="D16" i="9"/>
  <c r="D15" i="9"/>
  <c r="D14" i="9"/>
  <c r="D13" i="9"/>
  <c r="D12" i="9"/>
  <c r="D11" i="9"/>
  <c r="D10" i="9"/>
  <c r="D9" i="9"/>
  <c r="D8" i="9"/>
  <c r="D7" i="9"/>
  <c r="D6" i="9"/>
  <c r="D5" i="9"/>
  <c r="D4" i="9"/>
  <c r="D3" i="9"/>
  <c r="D2" i="9"/>
  <c r="D40" i="8"/>
  <c r="D39" i="8"/>
  <c r="D38" i="8"/>
  <c r="D37" i="8"/>
  <c r="D36" i="8"/>
  <c r="D35" i="8"/>
  <c r="D34" i="8"/>
  <c r="D33" i="8"/>
  <c r="D32" i="8"/>
  <c r="D31" i="8"/>
  <c r="D30" i="8"/>
  <c r="D29" i="8"/>
  <c r="D28" i="8"/>
  <c r="D27" i="8"/>
  <c r="D26" i="8"/>
  <c r="D25" i="8"/>
  <c r="D24" i="8"/>
  <c r="D23" i="8"/>
  <c r="D22" i="8"/>
  <c r="D21" i="8"/>
  <c r="D20" i="8"/>
  <c r="D19" i="8"/>
  <c r="D18" i="8"/>
  <c r="D17" i="8"/>
  <c r="D16" i="8"/>
  <c r="D15" i="8"/>
  <c r="D14" i="8"/>
  <c r="D13" i="8"/>
  <c r="D12" i="8"/>
  <c r="D11" i="8"/>
  <c r="D10" i="8"/>
  <c r="D9" i="8"/>
  <c r="D8" i="8"/>
  <c r="D7" i="8"/>
  <c r="D6" i="8"/>
  <c r="D5" i="8"/>
  <c r="D4" i="8"/>
  <c r="D3" i="8"/>
  <c r="D2" i="8"/>
</calcChain>
</file>

<file path=xl/sharedStrings.xml><?xml version="1.0" encoding="utf-8"?>
<sst xmlns="http://schemas.openxmlformats.org/spreadsheetml/2006/main" count="3599" uniqueCount="633">
  <si>
    <t>Record ID</t>
  </si>
  <si>
    <t>Patient ID</t>
  </si>
  <si>
    <t>Note Date</t>
  </si>
  <si>
    <t>Note Month</t>
  </si>
  <si>
    <t>Raw Note Text</t>
  </si>
  <si>
    <t>Annotated</t>
  </si>
  <si>
    <t>Recods Taken (x-rays; IOS; Photos, Facial scanning)</t>
  </si>
  <si>
    <t>Upper Bonding</t>
  </si>
  <si>
    <t>Upper Banding</t>
  </si>
  <si>
    <t>Lower Bonding</t>
  </si>
  <si>
    <t>Lower Banding</t>
  </si>
  <si>
    <t>Prescription and Bracket Slot</t>
  </si>
  <si>
    <t>Active Space Closure</t>
  </si>
  <si>
    <t>IPR</t>
  </si>
  <si>
    <t>Enameloplasty</t>
  </si>
  <si>
    <t>Extractions</t>
  </si>
  <si>
    <t>TMJ symptoms</t>
  </si>
  <si>
    <t>Referral</t>
  </si>
  <si>
    <t>Right Canine Class</t>
  </si>
  <si>
    <t>Right Molar Class</t>
  </si>
  <si>
    <t>Left Canine Class</t>
  </si>
  <si>
    <t>Left Molar Class</t>
  </si>
  <si>
    <t>Overbite (mm)</t>
  </si>
  <si>
    <t>Overjet (mm)</t>
  </si>
  <si>
    <t>Anterior Crossbite</t>
  </si>
  <si>
    <t>Posterior Crossbite</t>
  </si>
  <si>
    <t>Re-tie Appointment</t>
  </si>
  <si>
    <t>Changed Upper Arch Wire</t>
  </si>
  <si>
    <t>Changed Lower Arch Wire</t>
  </si>
  <si>
    <t>Upper Wire Material</t>
  </si>
  <si>
    <t>Upper Wire Size</t>
  </si>
  <si>
    <t>Lower Wire Material</t>
  </si>
  <si>
    <t>Lower Wire Size</t>
  </si>
  <si>
    <t>Ligature Method</t>
  </si>
  <si>
    <t>Elastic Pattern Right</t>
  </si>
  <si>
    <t>Elastic Type Right</t>
  </si>
  <si>
    <t>Elastic Pattern Left</t>
  </si>
  <si>
    <t>Elastic Type Left</t>
  </si>
  <si>
    <t>Appliance</t>
  </si>
  <si>
    <t>Open Spring</t>
  </si>
  <si>
    <t>Closed Spring</t>
  </si>
  <si>
    <t>Anterior Bite Turbos</t>
  </si>
  <si>
    <t>Posterior Bite Turbos</t>
  </si>
  <si>
    <t>Cantilever</t>
  </si>
  <si>
    <t>NANCE</t>
  </si>
  <si>
    <t>TADs</t>
  </si>
  <si>
    <t>Mandibular Advancement Appliance</t>
  </si>
  <si>
    <t>Maxillary Expander</t>
  </si>
  <si>
    <t>TPA</t>
  </si>
  <si>
    <t>LLHA</t>
  </si>
  <si>
    <t>Tongue Crib</t>
  </si>
  <si>
    <t>FaceMask</t>
  </si>
  <si>
    <t>Oral Hygiene</t>
  </si>
  <si>
    <t>Compliance</t>
  </si>
  <si>
    <t>Bracket OR BAND Repositioning</t>
  </si>
  <si>
    <t>EMERGENCY</t>
  </si>
  <si>
    <t>Emergency Type</t>
  </si>
  <si>
    <t>Debonded Bracket</t>
  </si>
  <si>
    <t>Retainer</t>
  </si>
  <si>
    <t>Upper Arch Bends</t>
  </si>
  <si>
    <t>Lower Arch Bends</t>
  </si>
  <si>
    <t>COS upper</t>
  </si>
  <si>
    <t>COS lower</t>
  </si>
  <si>
    <t>Upper Debond</t>
  </si>
  <si>
    <t>Lower Debond</t>
  </si>
  <si>
    <t>Retainer Check</t>
  </si>
  <si>
    <t>Relapse</t>
  </si>
  <si>
    <t>Clinic:
Patient presents for Initial Orthodontic Consultation. Patient age: 16 Patient gender: Female Patient arrived on time? no Minor patient accompanied by: [GUARDIAN] Covering faculty: cole Chief Concern: crooked teeth (specifically UL2) Reviewed MedHx/Significant findings: non contrib Reviewed DentHx/significant findings: up to date as of dec Extra-oral findings: wnl Intraoral findings: cl I R, cl II L mild, mild crowding upper and lower R Molar/Canine Classification: II L Molar/Canine Classification: II TMJ: No Crepitus: No Clicking: No Pain on Palpation: No Hx Trauma: No Sleep questionnaire score and recommendations: none Recommendations: Records to be taken: Yes CBCT with report: Yes IO and EO Photos: Yes Scan/Models Mx Md: Yes INVS Scan: Yes Appt notes/Discussed with patient: patient presents with concern for straightening teeth, requests gold brackets but we don't have that available. DWP tx including brackets, invisalign, and no tx and RBAs of each. recommend orthodontic treatment to improve function and esthetics NV: Consultation of Tx options, Begin Tx upon approval</t>
  </si>
  <si>
    <t>Clinic:
Patient presented for treatment start. Patient/parent has signed and agreed to financial contrct and has signed consent. All treatment forms have been signed andall questions pertaiing to treatment have been answered. Yes Patient arrived on time: y Minor patient accompanied by: [GUARDIAN] Significant MedHx/Changes MedHx: no changes Dent Hx Changes: no changes Last cleaning: * Presenting OH: good Alerts: none Faculty assigned: Covering faculty if different: * Appliance system including torque variations: MBT AO empower Band sizes: * Auxillary appliance delivered: * UAW: 016 LAW: 014 Elastics: * OH instructions given by Power Point. CRA modifiers: yes Appointment note: pumiced all teeth, bonded U/L 6-6 using phosphoric acid etch, assure, transbond, flossed, engage U/L aw fully and cinch back U/L behind 6s NV: AW ck</t>
  </si>
  <si>
    <t>Clinic:
Patient presents for appliance adjustment. Patient arrived on time: y Minor patient accompanied by: * Significant Med/Dental Hx/Changes Med/Dental Hx: no change Presenting OH: goiod Alerts if any: * Describe if other alert: * Prophy needed? n Radiogrraph needed? n Faculty assigned: Covering faculty if different from assigned; * Compliance: good Molar/Canine: * OJ/OB: * Treatment progress evaluation: * UAW: 020 LAW: 0215 braided straight Elastics: * Appointment notes: new AW U/L NV: 17x25 niti upper, same lower for expansion NV: 4 wk</t>
  </si>
  <si>
    <t>Clinic:
Patient presents for appliance adjustment. Patient arrived on time: no, patient 45 min late, counts as fail Minor patient accompanied by: * Significant Med/Dental Hx/Changes Med/Dental Hx: none Presenting OH: good Alerts if any: * Describe if other alert: * Prophy needed? n Radiogrraph needed? n Faculty assigned: Covering faculty if different from assigned; * Compliance: gtood Molar/Canine: II OJ/OB: * Treatment progress evaluation: good UAW: 17x25 ACOS niti LAW: 14x25 Elastics: shorty class II R/L at nite Appointment notes: tie upper and lower fully engaged NV: bond all 7s</t>
  </si>
  <si>
    <t>Clinic:
Patient presents for appliance adjustment. Patient arrived on time: y Minor patient accompanied by: * Significant Med/Dental Hx/Changes Med/Dental Hx: none Presenting OH: fair, discussed OHI Alerts if any: * Describe if other alert: * Prophy needed? n Radiogrraph needed? n Faculty assigned: Covering faculty if different from assigned; * Compliance: fair Molar/Canine: II OJ/OB: 5 Treatment progress evaluation: good UAW: 17x25 ACOS LAW: 14x25 Elastics: none Appointment notes: bonded U7s, seps U6s L7s, changing the plan to include LLHA to upright lower molars and forsus to correct class II NV: band U6s and L7s</t>
  </si>
  <si>
    <t>Clinic:
Patient presents for appliance adjustment. Patient arrived on time: y Minor patient accompanied by: * Significant Med/Dental Hx/Changes Med/Dental Hx: none Presenting OH: good Alerts if any: * Describe if other alert: * Prophy needed? n Radiogrraph needed? n Faculty assigned: Covering faculty if different from assigned; * Compliance: good Molar/Canine: * OJ/OB: * Treatment progress evaluation: good UAW: 17x25 ACOS niti LAW: 14x25 niti Elastics: none Appointment notes: banded U6s and L7s with sheaths. UR7 debonded on AW insertion will repo NV NV: bond UR7, add LLHA for molar uprighting</t>
  </si>
  <si>
    <t>Clinic:
Patient presents for appliance adjustment. Patient arrived on time: y Minor patient accompanied by: * Significant Med/Dental Hx/Changes Med/Dental Hx: none Presenting OH: good Alerts if any: * Describe if other alert: * Prophy needed? n Radiogrraph needed? n Faculty assigned: Covering faculty if different from assigned; * Compliance: good Molar/Canine: I OJ/OB: 5 mm OJ Treatment progress evaluation: good UAW: 19x25 niti LAW: 19x25 niti Elastics: none Appointment notes: inc up/low aw, add LLHA to upright low7s, NV start forsus if we can place steel wire NV: 6 wk</t>
  </si>
  <si>
    <t>Clinic:
Patient presents for appliance adjustment. Patient arrived on time: y Minor patient accompanied by: none Significant Med/Dental Hx/Changes Med/Dental Hx: good Presenting OH: good Alerts if any: * Describe if other alert: * Prophy needed? n Radiogrraph needed? n Faculty assigned: Covering faculty if different from assigned; * Compliance: no elastic use Molar/Canine: * OJ/OB: 5 OJ Treatment progress evaluation: good UAW: 19x25tma LAW: 020 niti to 7s Elastics: none Appointment notes: remove LLHA, engage lower AW fully, ck to increase L AW to steel wire and start forsus NV: forsus</t>
  </si>
  <si>
    <t>Clinic:
repaired L 5 bracket R/L, insert new 17x25 ss wire lower in prep for forsus next week</t>
  </si>
  <si>
    <t>Clinic:
Patient presents for appliance adjustment. Patient arrived on time: y Minor patient accompanied by: none Significant Med/Dental Hx/Changes Med/Dental Hx: good Presenting OH: good Alerts if any: * Describe if other alert: * Prophy needed? n Radiogrraph needed? n Faculty assigned: Covering faculty if different from assigned; * Compliance: no elastic use Molar/Canine: cl II 3 mm R, 1 mm L OJ/OB: 5 OJ Treatment progress evaluation: good UAW: 19x25 ss LAW: 19x25 ss Elastics: forsus Appointment notes: increase U/L aw, steel lace L7-7, U 6-6, start forsus spring R/L 29 mm, R more active than left NV: CK UPPER WIRE ENGAGED UL7</t>
  </si>
  <si>
    <t>Clinic:
Virtual Consult with patient Discussed pt current clinic protocol and how to contact in case of an emergency, pt reports they are doing well and understand the protocol Discussed appliance home care, oral hygiene, and how best to control minor emergencies from home, and to contact me with any concerns including photos to monitor progress. Pt reports no questions or concernes, and no problem with current appliance. Will contact patient again periodically to monitor appliance, and when clinic reopens to schedule next visit.</t>
  </si>
  <si>
    <t>Clinic:
Patient presents for appliance adjustment. Patient arrived on time: y Minor patient accompanied by: none Significant Med/Dental Hx/Changes Med/Dental Hx: good Presenting OH: good Alerts if any: * Describe if other alert: * Prophy needed? n Radiogrraph needed? n Faculty assigned: Covering faculty if different from assigned; Compliance: no elastic use Molar/Canine: cl II 1 mm R, cl; I L OJ/OB: 3 OJ Treatment progress evaluation: good UAW: 19x25 ss LAW: 19x25 ss Elastics: forsus Appointment notes: aw only inserted to mesial part of UL7 bracket so UL7 has tipped distal. LR3-4 brackets debonded and LL3 not engaged. repaired LR3-4, replace steel lace and steel tie LL3, replace forsus and added shim to R to maintain active. patient will likely be done w/ forsus in 2 mo, then consider dropping in wire lower to regain rotations, then finishing</t>
  </si>
  <si>
    <t>Clinic:
Patient Presented Today Alone and On Time. Assessed Bite with [DOCTOR], Pt is Class I on both sides with Upper incisors having no clearance with lower brackets. OB 2mm. Complete with Forsus! Removed both forsus on both sides. [DOCTOR] said both were placed reversed (Right in Left side and Left in Right Side). Patient had to go put money in parking meter mid appointment so time was cut short. This appt we removed forsus and religated O Ties. NV: Go to 018 NiTi for the lower to reingage the LL Canine which does not currently engage. Go to 20x20 Upper Archwire with 90 degrees torque for correcting the upper second molar torque. [DOCTOR] says he would like to place those wires himself. Take Photos Next Appt, Ran out of time today</t>
  </si>
  <si>
    <t>Clinic:
Patient presents for appliance adjustment. Patient arrived on time: Yes Minor patient accompanied by: Alone Significant Med/Dental Hx/Changes Med/Dental Hx: None Presenting OH: Food particles but overall good Alerts if any: * Describe if other alert: * Prophy needed? No Radiogrraph needed? No Faculty assigned: Dr.[DOCTOR] Covering faculty if different from assigned; [DOCTOR] Compliance: Great Molar/Canine: I bilaterally OJ/OB: 2/2 Treatment progress evaluation: Looks Very good, UR 7s nees Lingual Crown Torque. Will wait to do with [DOCTOR] UAW: Kept 19x25 SS Wire LAW: 018 NiTi Elastics: None Appointment notes: Patient presented with UR 6 Band that was broken down the middle of the lingual. Removed Band and Removed the Lace Ties that Patient had from 6 to 6 on both upper and lower. Band was Size 37 LL4 Debonded During Wire Removal Rebonded LL4 with Empower Self Ligating MBT Bracket. Used 018 NiTi to engage in rotated Canines Did not reapply the lace tie (it was needed for forsus to reduce dental side effects) Bonded UR6 Empower Tube Bracket ([DOCTOR] said no need for band since not doing Forsus anymore) Lace Tied the Upper 6-6 Put back same Upper 19x25 Upper SS Wire. Patient Chose Hot Pink O Ties. NV: Torque for Upper 7s with 20x20 SS per what [DOCTOR] Recommended Last Visit.</t>
  </si>
  <si>
    <t>Clinic:
Assigned Faculty: [DOCTOR] Supergvising Faculty: [DOCTOR] Occlusion Looks good, patient postures forward in Sunday bite. Presented with Broken LR4 Bracket. Upper in good alignment Today we: Rebonded the LR4 using the AW as a template (putting it in before and then slipping bracket under) Upped the LAW to 16x22 NiTI Kept the UAW at 19x25 SS No Elastics NV: TAKE PROGRESS PHOTOS. Finishing with [DOCTOR].</t>
  </si>
  <si>
    <t>Clinic:
Patient presents for appliance adjustment. Patient arrived on time: Yes Minor patient accompanied by: Alone Significant Med/Dental Hx/Changes Med/Dental Hx: None Presenting OH: Great Alerts if any: * Describe if other alert: * Prophy needed? As Scheduled with GP Radiogrraph needed? Yes! Patient has not had pano repo. Faculty assigned: [DOCTOR] Covering faculty if different from assigned; [DOCTOR] Compliance: Good Molar/Canine: I/I OJ/OB: 4mm/3mm Treatment progress evaluation: Good UAW: 19x25 SS LAW: 16x22 NiTI Elastics: None Appointment notes: Discussed with [DOCTOR] that patient has NOT had a pano repo appt and it is pertinent to get a new scan. Teeth identified needed Repos: Upper 2-2 Need to be bonded more incisally UR5 Needs to Extrude Lower Right 6 Needs to be More Distal Lower Left 6 Also needs to be More Distal Lower Left 3 needs to Intrude Lower Right 3 needs to be bonded more Mesially to give a mesial out. Scheduled Pano before next visit and Repo. Changed Ligature Ties and upped lower to 19x25 SS Patient left lobby prior to photo appt :(. MUST TAKE PHOTOS NEXT VISIT, NV: PanoRepo</t>
  </si>
  <si>
    <t>Clinic:
Patient presents for appliance adjustment. Patient arrived on time: Yes Minor patient accompanied by: Alone Significant Med/Dental Hx/Changes Med/Dental Hx: None Reported Presenting OH: Good Alerts if any: Other Describe if other alert: * Prophy needed? No Radiogrraph needed? patient never took progress ceph. Faculty assigned: [DOCTOR] Covering faculty if different from assigned; [DOCTOR] Compliance: Good Molar/Canine: I/I OJ/OB: 4 mm OJ 4 mm OB Treatment progress evaluation: SLowly UAW: 17x25 TMA LAW: 17x25 TMA with T Loops bent for Intrusion of the Lower 3-3 Elastics: None Appointment notes: Changed Upper wire to lower 17x25 TMA because previous SS would NOT go into the UR7 without deboning it. Added 030 3.5 LLHA to Upright the Lower 7s Bent T Loops for lower between Lower 3/4 for Intrusion. Took Progress Photos NV: Assess Deep Bite and see if we should add reverse curve to LAW</t>
  </si>
  <si>
    <t>Clinic:
Patient presents for appliance adjustment. Patient arrived on time: Yes Minor patient accompanied by: N/A Significant Med/Dental Hx/Changes Med/Dental Hx: None Reported Presenting OH: Good Alerts if any: * Describe if other alert: * Prophy needed? No Radiogrraph needed? No Faculty assigned: Covering faculty if different from assigned; Compliance: Good Molar/Canine: I/I OJ/OB: 5 mm/ 4 mm Treatment progress evaluation: Good UAW: Kept same Upper 17x25 TM LAW: Kept Same Lower 17x25 TMA Elastics: Started FTW Rams on the Left Class II to help pull the Upper Midline to the Left (0.5 mm to the R) Appointment notes: Patient presented with LLHA that had fallen out yesterday. Tightened the LLHA by using pin cutter between the toes to expand the toes and make them larger and also use three prong to give slight curve to the toes Added More Lingual Root Torque to each 7. Added Mesial In for the UR2 Swiped ACOS and RCOS in AWS to aid in Deep Bite. [DOCTOR] confident I can debond this case. We just need to improve the deep bite a little more and then we can debond. NV: Assess the Deep Bite and UR2</t>
  </si>
  <si>
    <t>Clinic:
Patient presents for appliance adjustment. Patient arrived on time: Yes Minor patient accompanied by: N/A Significant Med/Dental Hx/Changes Med/Dental Hx: None Reported Presenting OH: * Alerts if any: * Describe if other alert: * Prophy needed? No Radiogrraph needed? No Faculty assigned: [DOCTOR] Covering faculty if different from assigned; [DOCTOR] Compliance: Good Molar/Canine: I/I OJ/OB: 5 mm OJ Treatment progress evaluation: Finishing and Detailing UAW: 17x25 TMA LAW: 17x25 TMA Elastics: Doubled Up Class IIs to help address OJ. U3 to L6 U4 to L7 with Impala's FTW Appointment notes: Patient presented with LLHA which had fallen out again. [DOCTOR] added curve to the toes for more retention and reemphasized the torque. Doubled Up Class II elastics bilaterally to help reduce OJ NV: Assess OJ</t>
  </si>
  <si>
    <t>Clinic:
Patient presents for appliance adjustment. Patient arrived on time: Yes Minor patient accompanied by: Alone Significant Med/Dental Hx/Changes Med/Dental Hx: None Reported Presenting OH: Good Alerts if any: Time in treatment Describe if other alert: * Prophy needed? No Radiogrraph needed? No Faculty assigned: [DOCTOR] Covering faculty if different from assigned; [DOCTOR] Compliance: Poor Compliance Molar/Canine: I/I OJ/OB: 4.5 mm of OJ. Not much improvement Treatment progress evaluation: Going slowly MUST be finished ASAP. Accept Excess OJ if needed UAW: Kept Same 17x25 TMA LAW: Kept Same 17x25 TMA Elastics: Continue Doubled Up Class II Impala Elastics FTW for OJ Correction Appointment notes: LLHA was retentive. Added more BRT to the Lower Left 7. Finishing Bends Made to Lower: Step Down Lower 3-3 Step Out Lower Left 3 Used Single Torquing Plier to give Lingual Root Torque the LL2 as it's root was very palpable. NV: Assess the OJ and Finishing Bends.</t>
  </si>
  <si>
    <t>Clinic:
Patient presents for appliance adjustment. Patient arrived on time: 20 minutes late Minor patient accompanied by: * Significant Med/Dental Hx/Changes Med/Dental Hx: no changes Presenting OH: good Alerts if any: * Describe if other alert: * Prophy needed? none Radiogrraph needed? none Faculty assigned: [DOCTOR] Covering faculty if different from assigned; * Compliance: poor Molar/Canine: I/I OJ/OB: 4mm OJ Treatment progress evaluation: slowly progressing UAW: kept same 17x25 TMA LAW: kept same 17x25 TMA Elastics: Patient has not been complaint with wearing her rubber bands. She says she wears them sometimes at night. Reinforced the need to wear them FULL TIME so we can correct OJ, pt said she will be more compliant. Provided pt with more elastics. Appointment notes: Finishing bends on upper: - Step down bend UR2 - MRT on UR1 - DRT on UL1 Finishing bends on lower: - step down bend on lower centrals - step down bend for LR4 and LL4 Notes: we may consider doing light enamelplasty on the upper centrals to make the incisal edges more rounded. Currently her teeth are very square/masculine. Doing the enamelplasty will aid with smoothening/improving the smile arc NV: PHOTOS, appliance adjustment, assess OJ</t>
  </si>
  <si>
    <t>Clinic:
Patient presents for appliance adjustment. Patient arrived on time: yes Minor patient accompanied by: * Significant Med/Dental Hx/Changes Med/Dental Hx: no changes Presenting OH: good Alerts if any: * Describe if other alert: * Prophy needed? none Radiogrraph needed? none Faculty assigned: [DOCTOR] Covering faculty if different from assigned; * Compliance: good Molar/Canine: I/I OJ/OB: still 4mm OJ Treatment progress evaluation: slowly UAW: 17x25 TMA LAW: 17x25 TMA Elastics: CS4 Class II spring on the L side. Attached the spring with 014 steel ties between the UL3/UL4 and cinched to the LL6 wing. Appointment notes: Patient has been noncompliant with elastics and so we decided that we will attach the CS4 Class II Dynaflex closed coil spring. We will get correction to super Class I molar/canine on the left side. At the next appointment, we will assess the OJ, do upper IPR and PC the upper so that we can also help correct the OJ. It appears that the excessive OJ is due to tooth size discrepancy. NV: appliance adjustment, photos</t>
  </si>
  <si>
    <t>Clinic:
Patient presents for appliance adjustment. Patient arrived on time: 20 minutes late Minor patient accompanied by: * Significant Med/Dental Hx/Changes Med/Dental Hx: Patient is pregnant with her first [GUARDIAN]! Presenting OH: good Alerts if any: * Describe if other alert: * Prophy needed? recommend regular recall Radiogrraph needed? none for now Faculty assigned: [DOCTOR] Covering faculty if different from assigned; * Compliance: improved Molar/Canine: R: I/I, L: I/III OJ/OB: still 4mm OJ Treatment progress evaluation: slowly UAW: 17x25 TMA LAW: 17x25 TMA Elastics: Class II Bear elastics R side only, Full time. Appointment notes: Patient came late so we didn't have that much time in our appointment today. Changed out the lower TMA wire and did step up bends on the LR3 and LL3 so that we can align and address slight marginal ridge discrepancies between the canines and premolars. We also did a canine offset on the LL3. We did get overcorrection on the L side with CS4 spring. Left canine is now Class III. We removed the spring and will have patient wear Class II elastics on the R side so that we can get the canines more into Class III and then we will address the OJ afterwards. All questions answered, pt dismissed in good condition. NV: appliance adjustment, PHOTOS</t>
  </si>
  <si>
    <t>Clinic:
Patient presents for appliance adjustment. Patient arrived on time: yes Minor patient accompanied by: * Significant Med/Dental Hx/Changes Med/Dental Hx: Patient delivered her baby in December! Presenting OH: good Alerts if any: * Describe if other alert: * Prophy needed? recommend regular recall Radiogrraph needed? none for now Faculty assigned: [DOCTOR] Covering faculty if different from assigned; * Compliance: good Molar/Canine: R: I/I, L: I/III OJ/OB: still 4mm OJ Treatment progress evaluation: slowly UAW: 17x25 TMA LAW: 17x25 TMA Elastics: Class II Bear elastics full time R: U3-L6, U5 - L7 Appointment notes: Patient states that she has not been as good at wearing her elastics due to giving birth to her baby. Instructed patient to double up on her elastics on the R side so we can get some more correction. Bends: - Step up on the UR2 - Step up on the LL2 Notes: - NV we will plan for upper IPR - Plan for some enamelplasty of the U1's to have a more esthetic smile and level incisal edges NV: appliance adjustment, PHOTOS</t>
  </si>
  <si>
    <t>Clinic:
Patient presents for appliance adjustment. Patient arrived on time: yes Minor patient accompanied by: * Significant Med/Dental Hx/Changes Med/Dental Hx: no changes Presenting OH: good Alerts if any: * Describe if other alert: * Prophy needed? recommend regular recall Radiogrraph needed? plan for pano at NV Faculty assigned: [DOCTOR] Covering faculty if different from assigned; * Compliance: good Molar/Canine: R: I/I, L: I/III OJ/OB: still 4mm OJ Treatment progress evaluation: slowly UAW: 17x25 TMA LAW: 17x25 TMA Elastics: Continue with same elastic pattern, doubling up on the R side. FTW Bear elastics R: U3-L6, U5-L7 Appointment notes: Patient has been having difficulties wearing her elastics due to her busy schedule being a [GUARDIAN]. We still have slight midline discrepancy. Encouraged patient to try to wear her elastics as best as she can. Pt tested negative to chair side covid test. Today we did upper IPR so that we can retract the upper anteriors and reduce the OJ. IPR performed D of the U1s, M/D U3's, and D of the U4's with slow speed disc. Lightly rounded out the edges of the U1's so they do not look as square. Placed clear PC on the upper arch (had to remove upper steel lace from 6-6 so we can do IPR). All questions answered, pt dismissed in good condition. Notes: - need updated pano - UR1 we will need to do intrusion so that we can have level gingival heights with the UL1 - will need to do lingual root torque in the lower anteriors - we will need to work up to a different wire as TMA doesn't torque very well. Plan for this at next appointment NV: appliance adjustment</t>
  </si>
  <si>
    <t>Clinic:
Patient presents for appliance adjustment. Patient arrived on time: yes Minor patient accompanied by: * Significant Med/Dental Hx/Changes Med/Dental Hx: no changes Presenting OH: good Alerts if any: * Describe if other alert: * Prophy needed? recommend regular recall Radiogrraph needed? yes, pt cancelled scheduled pano Faculty assigned: [DOCTOR] Covering faculty if different from assigned; * Compliance: good Molar/Canine: * OJ/OB: still 4mm OJ Treatment progress evaluation: slowly UAW: 17x25 TMA LAW: 17x25 TMA Elastics: patient encouraged to continue with same elastic pattern. she has not been wearing them very well due to newborn Appointment notes: Patient cancelled her scheduled pano appointment and didn't notify me. Rescheduled pano so that we can to do pano/repo next appointment. Did step up bend on LL1, step down bend LL2 and LL3. Patient will return for repos next week. All questions answered, pt dismissed in good condition. NV: pano/repo, photos</t>
  </si>
  <si>
    <t>Clinic:
Patient presents for appliance adjustment. Patient arrived on time: patient arrived 25 minutes late Minor patient accompanied by: * Significant Med/Dental Hx/Changes Med/Dental Hx: no changes Presenting OH: good Alerts if any: * Describe if other alert: * Prophy needed? recommend regular recall Radiogrraph needed? * Faculty assigned: [DOCTOR] Covering faculty if different from assigned; [DOCTOR] Compliance: good Molar/Canine: * OJ/OB: still 4 mm OJ Treatment progress evaluation: slowly UAW: 18x25 Niti LAW: 17x25 TMA (same) Elastics: none Appointment notes: Patient came in for pano/repo appointment. Per faculty recommendation we did the following repos: - UR3-UR2: MRT - UR1: intrusion - UL1-UL2: DRT - UL3: MRT - LR1 and LR3: MRT (bends) All questions answered, pt dismissed in good condition. Notes: the U2's will likely need enamelplasty on the incisal edges NV: appliance adjustment, photos</t>
  </si>
  <si>
    <t>Clinic:
Patient presents for appliance adjustment. Patient arrived on time: patient came 45 minutes late Minor patient accompanied by: * Significant Med/Dental Hx/Changes Med/Dental Hx: no changes Presenting OH: good Alerts if any: * Describe if other alert: * Prophy needed? recommend regular recall Radiogrraph needed? * Faculty assigned: [DOCTOR] Covering faculty if different from assigned; [DOCTOR] Compliance: good Molar/Canine: R: I/II (slight), L: I/I OJ/OB: still 4 mm OJ Treatment progress evaluation: good UAW: 19x25 TMA LAW: 17x25 TMA (same) Elastics: R side Kangaroo class II (FTW) Appointment notes: Patient came in for appliance adjustment. After the repo's we have gotten some good correction. Slight spacing noted between the LL2/LL3 and UR2/3 area. After assessing patient's smile aesthetics and gingival heights, we noticed patient has a slight cant. Decided to do a Z bend on the upper arch so that we can get some extrusion on the upper left canine area and some intrusion on the UR2 area. In also doing the Z bend, we should also get a slight midline shift of the upper arch more towards the R. With the Class II elastics going on the R side, this should also aid with the correction of the midline deviation. PC upper and lower arches, Class II elastics on the R side which will help with the slight canine class II on the R side also. NV: appliance adjustment, photos</t>
  </si>
  <si>
    <t>Clinic:
Patient presents for appliance adjustment. Patient arrived on time: yes Minor patient accompanied by: * Significant Med/Dental Hx/Changes Med/Dental Hx: no changes Presenting OH: good Alerts if any: * Describe if other alert: * Prophy needed? recommend regular recall Radiogrraph needed? * Faculty assigned: [DOCTOR] Covering faculty if different from assigned; * Compliance: good Molar/Canine: R: I/II, L: I/I OJ/OB: still 4mm OJ Treatment progress evaluation: good UAW: 19x25 TMA LAW: 17x25 TMA Elastics: Continue wiht R side Kangaroo Class II elastics Appointment notes: To help aid with the correction of the larger OJ, we decided to do a slight lingual crown torque on the upper anteriors from 3-3. Patient's OJ is likely due to tooth size discrepancy. We will evaluate for debond next visit. All questions answered, pt dismissed in good condition. Notes: - pt has not been very good at wearing elastics but reinforced really good use this month so that hopefully by next visit we can debond NV: appliance adjustment, debond?</t>
  </si>
  <si>
    <t>Clinic:
Appliance adjustment Covering faculty: [DOCTOR] Patient came in for appliance adjustment. 1mm spacing present between UR1-UR2. Re-PC upper 6-6 to close space. Patient was in the chair and got a call where she had to leave immediately to pick up her [GUARDIAN]. Was going to introduce new resident to patient however pt requested to meet resident at the next appointment b/c she had to leave asap. RePC lowers, pt dismissed in good condition. Notes: - canine offset on LR3 needed, small extrusion bend on the LR2. - take photos next appointment - informed patient that new resident will reach out to her to schedule next appointment. - discussed case with [DOCTOR] and where we are at. Anticipate debond soon. Just need to close upper space, finishing bends on the lower. NV: appliance adjustment with [DOCTOR]</t>
  </si>
  <si>
    <t>Clinic:
Patient presents for appliance adjustment. Patient arrived on time: 10 min late Minor patient accompanied by: * Significant Med/Dental Hx/Changes Med/Dental Hx: nsc Presenting OH: good Alerts if any: * Describe if other alert: * Prophy needed? recommend regular recall Radiogrraph needed? * Faculty assigned: [DOCTOR] Covering faculty if different from assigned; [DOCTOR] Compliance: good Molar/Canine: R I/I; L I/I OJ/OB: still 4mm OJ Treatment progress evaluation: Spaces on the upper arch have not closed. Pt states that previous orthodontist did IPR last time. UAW: 19x25 TMA LAW: 17x25 TMA Elastics: Class II Fox elastics bilaterally NTO Appointment notes: 1. 0.1mm IPR U2-2 (distal to distal), only in places where the spaces have already closed and contacts are present. Placed upper PC beneath UAW. 2. Small lingual torque placed on LR2 and mesial out offset bend placed on LR3. There were multiple bends made on the LAW that were extremely subtle and were not mentioned in the notes... May need to flatten the bends out next time for better engagement into the brackets and only leave the bends that are clearly needed. NV: Detail bends prn</t>
  </si>
  <si>
    <t>Clinic:
Patient presents for appliance adjustment. Patient arrived on time: 5 min late Minor patient accompanied by: * Significant Med/Dental Hx/Changes Med/Dental Hx: nsc Presenting OH: good Alerts if any: * Describe if other alert: * Prophy needed? recommend regular recall Radiogrraph needed? * Faculty assigned: [DOCTOR] Covering faculty if different from assigned; * Compliance: poor w elastics Molar/Canine: R I/I; L I/I OJ/OB: still 3-4mm OJ Treatment progress evaluation: Space not closed between U1's UAW: 19x25 TMA, PC 6-6 LAW: 17x25 TMA Elastics: Cl I delta bilateral Appointment notes: 1. Steel laced U1's 2. V-bend placed between U1's 3. Lingual crown torque U2-2 (Note says previous resident placed torque upper 3-3 but the wire has no visible torque built into it) 4. Distal out bend LR2 (steel tied) Discussed that we may accept the larger than ideal overjet as lower incisors have already been proclined quite a bit and we do not wish for further proclination, and also we can see thin gingiva in the upper incisor root area so we do not wish to retrocline her upper incisors too much either. NV: Detail bends prn / Debond eval</t>
  </si>
  <si>
    <t>Clinic:
Patient presents for appliance adjustment. Patient arrived on time: 35 min late Minor patient accompanied by: * Significant Med/Dental Hx/Changes Med/Dental Hx: nsc Presenting OH: fair Alerts if any: * Describe if other alert: * Prophy needed? recommend recall Radiogrraph needed? * Faculty assigned: [DOCTOR] Covering faculty if different from assigned; * Compliance: fair Molar/Canine: I/I OJ/OB: * Treatment progress evaluation: UR2 and UR5 brackets debonded. Space between upper 1's have closed but there are now spaces mesial and distal to the upper 2's. UAW: 19x25 TMA, PC 6-6 LAW: 17x25 TMA Elastics: none Appointment notes: Pt brought her 1-yo [GUARDIAN] with her in the chair and it was difficult to work as the pt constantly sat up to comfort her child. Rebonded UR2 and UR5 with Empower brackets. Pt wants a few minor adjustments such as leveling of the incisal edges of upper and lower incisors. Discussed with [DOCTOR] that we will debond next visit and work on those minor corrections with in-house aligners as there are already so many bends in both upper and lower wires. NV: Debond, scan for in-house aligners</t>
  </si>
  <si>
    <t>Appointments:
Feb 13/23 D0470F C Final Diagnostic Casts Both
Clinic:
Patient presents today for: Treatment completion Form signed: Treatment completion Patient arrived on time? No. Pt was over 1 hour late. Minor patient accompanied by: * Significant Med Hx: nsf Changes Med Hx: nsc Dental Hx Changes: nsc Prophy needed: recommend recall Radiograph needed: final cbct scheduled 2/17 Presenting OH: Needs improvement Compliance: Poor Alerts: * Describe if Other Alert * Assigned Faculty: [DOCTOR] Covering Faculty: [DOCTOR] Removed: Brackets Describe if Other Removed bands on lower 7s and UL6 Appointment notes including results deviating from ideal: Overjet is 3-4mm, but to achieve less OJ we would need to do further IPR on the upper so a compromise was made. Pt was concerned about uneven incisal edge heights of U1's. Explained that right now the heights of her gingival contours are even and if we try to extrude UR1 we may make the gingival contours look uneven; gave pt the option of making that compromise (and doing a few in-house aligners) or to go to a general dentist to receive a restoration. Slight enameloplasty of LR1 to make the incisal edges look even per pt's request. Pt could not take CBCT today (originally scheduled at 4 pm) because radiology technician said pt could not have her baby while taking the x-ray, and even when we offered to hold the baby outside for her, the technician said that the pt needed to bring her own babysitter. Small brown+white spot deminerzliation visible on the facial surface of UR2. Explained to pt what it is and that she will need to see the general dentist to remove it. NV: Deliver retainer or start in-house aligners</t>
  </si>
  <si>
    <t>Clinic:
Pt presented for retainer delivery Pt was supposed to take her CBCT at 12:30, and then come for her retainers. She arrived at 1 pm and thus could not take the CBCT. Delivered u/l essix. Instructed FTW. She will come back in 2 weeks for her final CBCT. Will be delivering 2 upper inhouse aligners just to level the incisor edges. NV: In-house aligners</t>
  </si>
  <si>
    <t xml:space="preserve">Active Space Closure
</t>
  </si>
  <si>
    <t>Clinic: Female Pt presents with grandma (speaks [LANGUAGE]) for Initial Orthodontic Consultation Note: in [SCHOOL], likes to read mystery and adventure books, lots of boys in her class have braces but not many girls On time: on time (early) Covering Faculty: [DOCTOR] Chief Concern: " I want to see if I need braces " RMHx: No contraindications to today's consultation. Significant Findings: class III growth pattern (family hx positive, father), crowding in maxillary arch RDHx: sees general dentist regularly (doesn't remember name), last visit [DATE] for cleaning EOE: straight profile, retrognathic maxilla, no asymmetry, TMJ is WNL IOE: Pt has lost all primary teeth except UEs (UL E is loose), no 7s yet moderate crowding U, mild crowding L OJ/OB: -2mm/1mm Superclass I (class III tendency) molar CR/CO shift: pt can bite edge-to-edge in CR R Molar Classification: 3 L Molar Classification: 1 TMJ: ( No ) Crepitus, ( No ) , No Clicking of TMJ, Pain on Palpation, ( No ) Hx of Trauma Recommendations: Yes Records to be taken, CBCT ( Full + Report ) , IO and EO photographs, Scan/Models of Maxillary and Mandibular Arches. full phase child, recommend to start soon in order to maximize growth modification &amp; maxillary protraction. Case will likely be 30-36mo. See pt in mixed dentition clinic per [DOCTOR] and [DOCTOR]. NV: Consultation of Tx Options, Begin Tx upon approval</t>
  </si>
  <si>
    <t xml:space="preserve">Clinic: Seps/ Tx discussion 10y F presents with grandmother, uncle, and younger sister ([NAME]). Went over tx options: 1) MARPE/Facemask - protract maxilla to correct class III using skeletal anchorage, rather than dental anchorage. This has the advantage of maintaining arch length in the upper arch, since she is already crowded. Full fixed tx, evaluate for premolar EXT as needed. 2) RPE/Facemask - protract maxilla with dental anchorage. The downside is that arch length will be decreased as maxilla is protracted, and there is a higher probability of needed EXTs with this tx option 3) Advised that there is still about a chance that we won't be able to correct her bite with ortho alone, in which case she would need orthognathic surgery. This would depend on how she grows, and we will evaluate throughout tx. Pt and grandmother agreed to option 1, MARPE/FM. Placed sep mesial to UR6, could not place mesial to UL6 due to loose ULE. Worked with [DOCTOR]. Pt's uncle and [PATIENT] helped translate for pt's grandmother. NV: Fit bands, impression for MARPE
</t>
  </si>
  <si>
    <t>Clinic: Fit Bands, Impression 10y F presents 5min late with grandmother and sister [NAME]. Separator had stayed in place. Fit 3M bands on upper 6s (size 36+). Took alginate impression. Replaced separator on UR, showed pt how to replace separator in case it falls out. Pt likes to go camping in the summer and likes to look at the stars. NV: MARPE/FM delivery</t>
  </si>
  <si>
    <t>Clinic: MARPE/FM DELIVERY 10y F presents with grandmother on time for MARPE/facemask delivery. Tried in MARPE and fit well. Cemented bands with bandlock. Pt rinsed with Chlorhexidine 45s. Applied topical anesthetic (TAC gel) on palate. Administered 0.5 carpules of 2% lidocaine with 1:100k epinephrine bilateral greater palatine block. Pt reported anesthesia. Delivered 4 ACR microimplants into palate (1.8mm diameter, 11.0mm length). Pt tolerated procedure well, reported her nose feeling funny. Advised pt to use mouth rinse or salt water rinse to help keep MARPE clean. Pt rinsed with chlorhexidine again for 45 seconds after procedure. Prescribed 2 turns morning, 2 turns at night (0.5mm total/day). Will see pt in 7 days to evaluate expansion. Advised pt to take tylenol if she has pain. Delivered facemask. Pt was able to demonstrate proper facemask wear. Advised 12 hrs/day FM wear. Gave #74 elastics. Worked with [DOCTOR]. NV: 1 week evaluation</t>
  </si>
  <si>
    <t>Clinic: Patient presents for appliance adjustment. Patient arrived on time: yes Minor patient accompanied by: grandmother Significant Med/Dental Hx/Changes Med/Dental Hx: it's patient's [redacted]! 11y old Presenting OH: Good Alerts if any: * Describe if other alert: * Prophy needed? No Radiogrraph needed? No Faculty assigned: [DOCTOR] Covering faculty if different from assigned; * Compliance: Good Molar/Canine: slight class III OJ/OB: edge to edge! Treatment progress evaluation: pt has been wearing facemask well! Incisors are now edge to edge, no reverse overjet! Compliance with activating MARPE has also been great, pt presents with ~3mm diastema UAW: N/A LAW: N/A Elastics: #74 for facemask Appointment notes: great progress for the first week. Advised pt to continue wearing FM at least 12 hrs/day. STOP activating MARPE. Progress photos taken today NV: evaluate progress, continue MARPE/FM</t>
  </si>
  <si>
    <t>Clinic: Patient presents for appliance adjustment. Patient arrived on time: yes Minor patient accompanied by: grandma, younger sister Significant Med/Dental Hx/Changes Med/Dental Hx: no Presenting OH: Good Alerts if any: * Describe if other alert: * Prophy needed? No Radiogrraph needed? No Faculty assigned: [DOCTOR] Covering faculty if different from assigned; * Compliance: Good Molar/Canine: class I molars OJ/OB: 1/1mm ! Treatment progress evaluation: GREAT compliance with FM! Pt reports she wears 12hrs/day, tries to wear as much as possible. Positive OJ and OB achieved, need to go for overcorrection UAW: MARPE LAW: none Elastics: #74 for facemask Appointment notes: Encouraged and gave positive reinforcement for FM wear Gave proxy brushes to clean underneath FM --pt has been keeping it clean, rinsing with water after meals Gave more elastics Adjusted FM slightly for better comfort bc pt complained about red mark under chin when she woke up in the morning UL E is loose, should be lost within a few months. UR E slightly loose, still hanging in there. Midlines are not coincident, U midline to the R and L midline to the L Pt started [SCHOOL]. Favorite classes are math and science, she says the teachers are very nice NV: evaluate progress in 2 months, shooting for overcorrection of OJ (a few mm)</t>
  </si>
  <si>
    <t>Clinic: Patient presents for appliance adjustment. Patient arrived on time: yes, early Minor patient accompanied by: grandmother, sister Significant Med/Dental Hx/Changes Med/Dental Hx: UR E exfoliated, UL E very very loose Presenting OH: Good Alerts if any: * Describe if other alert: * Prophy needed? No Radiogrraph needed? No Faculty assigned: [DOCTOR] Covering faculty if different from assigned; * Compliance: Good Molar/Canine: close to class I OJ/OB: 2/1mm Treatment progress evaluation: pt is progressing well with MARPE/FM [DOCTOR] wants to get ~4mm OJ if we can before bonding appliances UAW: MARPE (pt is doing well wtih cleaning) LAW: none Elastics: #74 for FM Appointment notes: Attempted to help pt wiggle out UL E, which is a little stuck underneath the buccal arm for FM. Tooth was loosened more, and due to time constraints, advised pt that she should try to wiggle it out on her own Added more padding and adjusted FM Noted mark on pt's chin from FM wear NV: 2mo check, encouraged pt to keep wearing FM well, shooting for some more OJ</t>
  </si>
  <si>
    <t>Clinic: Patient presents for appliance adjustment. Patient arrived on time: yes Minor patient accompanied by: grandmother and sister [NAME] Significant Med/Dental Hx/Changes Med/Dental Hx: no, still has retained ULE despite pt trying to wiggle it out Presenting OH: good Alerts if any: * Describe if other alert: * Prophy needed? possibly Radiogrraph needed? no Faculty assigned: [DOCTOR] Covering faculty if different from assigned; * Compliance: good, wears FM 9-11hrs/day Molar/Canine: slightly class II OJ/OB: 3/2mm Treatment progress evaluation: pt is doing well with FM! good job, keep going for about 2-3 more months UAW: * LAW: * Elastics: #74 for FM Appointment notes: helped pt wiggle out ULE pt forgot to bring FM today, but reports no problems and OJ has continued to improve LR7 is erupting advised pt to keep up the good work and wear FM more during break if she can NV: bonding U/L</t>
  </si>
  <si>
    <t>Clinic: Patient presents for appliance adjustment. Patient arrived on time: yes Minor patient accompanied by: grandma Significant Med/Dental Hx/Changes Med/Dental Hx: no Presenting OH: good Alerts if any: * Describe if other alert: * Prophy needed? yes Radiogrraph needed? yes Faculty assigned: [DOCTOR] Covering faculty if different from assigned; * Compliance: good, wore FM every day Molar/Canine: end-on class II bilateral OJ/OB: 3/2mm Treatment progress evaluation: pt did well with FM wear UAW: * LAW: * Elastics: * Appointment notes: LR7 is erupting, other 7s not erupting yet Pt says she has not been to her dentist in a long time/doesn't have a dentist I gave form for dental clearance to grandmother, so that it can be filled out before we bond I explained to pt and grandmother ([PATIENT] helped translate) that we are not in a rush to start braces because 7s aren't all erupted yet. Pt would like to finish braces ASAP. I explained that even if we start braces sooner, we will not finish sooner because we need to wait for 7s. I also explained that it is more difficult to clean around braces, so it is better to wait rather than put them on sooner. Noted buccal pit cavitation LL6, informed pt and grandmother that a restoration may be needed. Plan: -dental cleaning and clearance -progress 16 x 13cm quick scan and photos -evaluate if more expansion is necessary -remove MARPE if expansion is not needed -bond full fixed appliance, continue with comprehensive tx For now, advised pt to discontinue FM use NV: progress CBCT and photos, evaluate records, and schedule for bonding</t>
  </si>
  <si>
    <t>Clinic: Patient presents for appliance adjustment. Patient arrived on time: yes Minor patient accompanied by: grandmother Significant Med/Dental Hx/Changes Med/Dental Hx: pt had cleaning and fillings done. clearance form returned by dentist Presenting OH: good Alerts if any: * Describe if other alert: * Prophy needed? no Radiogrraph needed? no Faculty assigned: [DOCTOR] Covering faculty if different from assigned; [DOCTOR] Compliance: good Molar/Canine: class II end on L, slightly class II R OJ/OB: 2/2mm Treatment progress evaluation: waiting for second molars to erupt before bonding full fixed appliances UAW: * LAW: * Elastics: * Appointment notes: pt is not running FM Radiograph shows that UR7 is closer to erupting but both U/L 7s on L are further away from erupting (several months) band is torn on UR and loose on UL. explained that it is ok to leave for now. prescribed more expansion: 2 turns per day (.25mm per day) for 7 days (2.75mm total) check back in 1 week to evaluate for more expansion NV: check after 1 week of expansion, evaluate for further expansion</t>
  </si>
  <si>
    <t>Clinic: Patient presents for comfort visit. Patient arrived on time: yes Minor patient accompanied by: mother CC: checking expansion Appointment notes: good expansion, no diastema noted instructed pt and mother to keep turning 2x per day (.25mm total) for 7 more days Faculty: [DOCTOR]  NV: cut MARPE arms, remove bands, use bandlock to hold expansion</t>
  </si>
  <si>
    <t>Clinic: Patient presents for appliance adjustment. Patient arrived on time: yes Minor patient accompanied by: grandmother Significant Med/Dental Hx/Changes Med/Dental Hx: pt reports menarche 2-3mo ago Presenting OH: good Alerts if any: * Describe if other alert: * Prophy needed? no Radiogrraph needed? no Faculty assigned: [DOCTOR] Covering faculty if different from assigned; [DOCTOR] Compliance: great Molar/Canine: class II canine OJ/OB: 2/2mm Treatment progress evaluation: finished expanding UAW: none LAW: none Elastics: none Appointment notes: checked expansion, looks good. does not need more expansion closed expander with bandlok pt rinsed with CHX for 1min removed arms of expander and removed bands/buccal arms pt tolerated procedure well took photos [DOCTOR] thinks extraction of upper premolars may be indicated. I will discuss tx plan with [DOCTOR]. I explained to patient that we are not quite ready to start braces, still waiting for 7s to erupt. I told her that I will be graduating in [DATE] but I will call her to make an appt before I leave. I will discuss with [DOCTOR] whether I should bond braces or whether the next resident should. pt reported menarche 2-3mo ago. NV: eval for starting fixed appliances and removal of MARPE</t>
  </si>
  <si>
    <t>Clinic: Patient presents for appliance adjustment. Patient arrived on time: yes Minor patient accompanied by: grandmother (speaks [LANGUAGE]) and sister, [NAME] Significant Med/Dental Hx/Changes Med/Dental Hx: no Presenting OH: good Alerts if any: * Describe if other alert: * Prophy needed? no Radiogrraph needed? no Faculty assigned: [DOCTOR] Covering faculty if different from assigned; * Compliance: good Molar/Canine: class I M R, class II end on L OJ/OB: 2/2mm approx Treatment progress evaluation: ready to remove MARPE UAW: n/a LAW: n/a Elastics: none Appointment notes: MARPE removal: used topical TAC anesthetic for 5 minutes, rinsed administered 1/3 carpule total of 2% lidocaine with 1:100,000 epinephrine via bilateral greater palatine blocks throat pack used hand driver to remove MARPE microimplants (4x) pt rinsed with CHX for 1 minute post-removal advised pt to rinse with salt water to help with healing and take advil or tylenol as needed for pain. advised pt to monitor for any purulence or erythema around microimplant sites and come back for an appt if healing is not progressing normally. introduced pt to [DOCTOR], who will take over her treatment after I graduate. We are waiting for all 7s to erupt Currently, only LR7 has erupted (distal still covered by operculum). Estimate starting tx in about 3 months or so. NV: evaluate eruption of 7s and starting fixed appliances</t>
  </si>
  <si>
    <t>Clinic: [DOCTOR] and [DOCTOR] to discuss [PATIENT] transfer. I have previously introduced [DOCTOR] to [PATIENT] and her grandmother. [DOCTOR] will schedule an appointment with [PATIENT] in October to monitor eruption of 7s.</t>
  </si>
  <si>
    <t>Clinic: Patient presents today for observation/supervision appointment. Patient arrived: y Minor patient accompanied by: grandma Significant Med Hx/Changes Med Hx/Dental Hx Changes: none Last cleaning: * Last radiograph: * Presenting OH: Good Alerts: * Assigned faculty: [DOCTOR] Covering Faculty: [DOCTOR] Patient age: 12 Patient dental age: 12 Months since last visit: 3 Significant findings: LR 7 75% erupted, LL7 just breaking gingiva, no eruption of upper 7s. we are waiting for full eruption of lower 7s before we can begin tx Today's Treatment: exam and consultation performed, palate healing well, discussed waiting for eruption of 7s to begin tx, answered pt questions to satisfaction NV: check eruption of lower 7s to begin tx</t>
  </si>
  <si>
    <t>Clinic: Patient presents today for observation/supervision appointment. Patient arrived: y Minor patient accompanied by: grrandma Significant Med Hx/Changes Med Hx/Dental Hx Changes: no changes Last cleaning: * Last radiograph: * Presenting OH: Good Alerts: * Assigned faculty: [DOCTOR] Covering Faculty: [DOCTOR] Patient age: 12 Patient dental age: 12 Months since last visit: 3 Significant findings: LR7 90% erupted, LL7 75% erupted, no eruption upper 7s, it is possible to put brackets on lower 7s, pt is ready for bondin Today's Treatment: exam performed, pt reading for full bonding, explained to pt next steps and answered all questions to satisfaction NV: 3 wk</t>
  </si>
  <si>
    <t>Clinic: Patient presented for treatment start. Patient/parent has signed and agreed to financial contrct and has signed consent. All treatment forms have been signed andall questions pertaiing to treatment have been answered. Yes Patient arrived on time: y Minor patient accompanied by: grandma Significant MedHx/Changes MedHx: no changes Dent Hx Changes: no changes Last cleaning: * Presenting OH: great Alerts: * Faculty assigned: [DOCTOR] Covering faculty if different: * Appliance system including torque variations: MBT mini master AO Band sizes: * Auxillary appliance delivered: * UAW: 014 LAW: 014 Elastics: * OH instructions given by Power Point. CRA modifiers: y Appointment note: bonded U/L 6-6 minimaster AO MBT, instructed patient on home care and instructed on diet NV: ck AW</t>
  </si>
  <si>
    <t>Clinic: Patient presents for comfort visit. Patient arrived on time: y Minor patient accompanied by: grandma CC: broken brackets Appointment notes: replaced UR2 and LL2 after they had debonded. retie same wire and will return at scheduled visit Faculty: [DOCTOR] NV: as scheduled</t>
  </si>
  <si>
    <t>Clinic: Patient presents for appliance adjustment. Patient arrived on time: y Minor patient accompanied by: grandma Significant Med/Dental Hx/Changes Med/Dental Hx: no changd Presenting OH: good Alerts if any: * Describe if other alert: * Prophy needed? n Radiogrraph needed? n Faculty assigned: [DOCTOR] Covering faculty if different from assigned; [DOCTOR] Compliance: good Molar/Canine: * OJ/OB: * Treatment progress evaluation: * UAW: 018 LAW: 016 Elastics: * Appointment notes: tied 016 nitit, still waiting on some rotations and levelling NV: ck rotations</t>
  </si>
  <si>
    <t>Clinic: Patient presents for appliance adjustment. Patient arrived on time: y Minor patient accompanied by: grandma Significant Med/Dental Hx/Changes Med/Dental Hx: none Presenting OH: good Alerts if any: * Describe if other alert: * Prophy needed? n Radiogrraph needed? n Faculty assigned: [DOCTOR] Covering faculty if different from assigned; * Compliance: good Molar/Canine: * OJ/OB: * Treatment progress evaluation: * UAW: 16x22 LAW: 018 Elastics: triangles at nite w/ bears Appointment notes: bond UL6, L7s, cant bond U7s due to lack of eruption NV: ck rotations</t>
  </si>
  <si>
    <t>Clinic: Patient presents for appliance adjustment. Patient arrived on time: y Minor patient accompanied by: grandma Significant Med/Dental Hx/Changes Med/Dental Hx: no change Presenting OH: good Alerts if any: * Describe if other alert: * Prophy needed? n Radiogrraph needed? n Faculty assigned: [DOCTOR] Covering faculty if different from assigned; * Compliance: good Molar/Canine: III R, II L OJ/OB: * Treatment progress evaluation: good UAW: 19x25 niti LAW: 16x22 niti Elastics: bears cl III R, II L Appointment notes: midline shifter 3 mm L (mandible asymmetric to L), increase AW, repo LL7 NV: bond U7s</t>
  </si>
  <si>
    <t>Clinic: Patient presents for appliance adjustment. Patient arrived on time: y Minor patient accompanied by: grandma Significant Med/Dental Hx/Changes Med/Dental Hx: none Presenting OH: good Alerts if any: * Describe if other alert: * Prophy needed? n Radiogrraph needed? n Faculty assigned: [DOCTOR] Covering faculty if different from assigned; * Compliance: good Molar/Canine: III R, II L OJ/OB: * Treatment progress evaluation: good UAW: 17x25 ss LAW: 17x25 ss Elastics: cl III R, II L impalas full time Appointment notes: increase aw U/L, pt reports full time elastic wear NV: finishing bends and continue elastics</t>
  </si>
  <si>
    <t xml:space="preserve">Clinic: Patient presents for appliance adjustment. Patient arrived on time: y Minor patient accompanied by: grandma Significant Med/Dental Hx/Changes Med/Dental Hx: none Presenting OH: good Alerts if any: * Describe if other alert: * Prophy needed? n Radiogrraph needed? n Faculty assigned: [DOCTOR] Covering faculty if different from assigned; * Compliance: good Molar/Canine: III R, II L OJ/OB: * Treatment progress evaluation: good UAW: 17x25 ss (same) added UL1 intrusion bend and UL3 extrusion bend LAW: 17x25 ss (same) Elastics: triangular UR3-LR3/4, Cl II L impalas full time Appointment notes: Placed bends UAW and changed elastics on R side to triangular. Pt reports full time elastic wear. Pt mentioned that school takes height measurements from grade [redacted]. Over the summer (2.5mo) she grew 1 inch= growth peak. She will bring in the height chart NV abnd [DOCTOR] wants us to create graph of height increase over time NV: check if brought height chart, check elastics wear. When get into 19x25 SS do pano repo (16x13 CBCT to assess growth)
</t>
  </si>
  <si>
    <t>Clinic: Patient presents for appliance adjustment. Patient arrived on time: y Minor patient accompanied by: grandma Significant Med/Dental Hx/Changes Med/Dental Hx: none Presenting OH: good Alerts if any: * Describe if other alert: * Prophy needed? n Radiogrraph needed? n Faculty assigned: [DOCTOR] Covering faculty if different from assigned; * Compliance: good Molar/Canine: III right/left OJ/OB: * Treatment progress evaluation: good UAW: 19x25ss LAW: 19x25ss Elastics: III right/left Appointment notes: increase aw upper and lower and repeat bends, pt brought in growth chart which shows that she is still growing quickly, [DOCTOR] is worried about continued mandibular growth so we will change to class III elastics to increase overjet and deepen the bite bite extruding upper incisors to maintain occlusion through growth xray nv consider repo NV: pano repo</t>
  </si>
  <si>
    <t>Clinic: Patient presents for appliance adjustment. Patient arrived on time: y Minor patient accompanied by: grandma Significant Med/Dental Hx/Changes Med/Dental Hx: noen Presenting OH: good Alerts if any: * Describe if other alert: * Prophy needed? n Radiogrraph needed? n Faculty assigned: [DOCTOR] Covering faculty if different from assigned; * Compliance: good Molar/Canine: II OJ/OB: 4/3 Treatment progress evaluation: good UAW: 19x25ss LAW: 19x25ss Elastics: stop all e's Appointment notes: x ray taken today but pt was late so no time to repo. will repo all 3s and UL2 NV pt height today is 160.5 cm NV: repo</t>
  </si>
  <si>
    <t>Clinic: Patient presents for appliance adjustment. Patient arrived on time: y Minor patient accompanied by: grandma Significant Med/Dental Hx/Changes Med/Dental Hx: none Presenting OH: good Alerts if any: * Describe if other alert: * Prophy needed? n Radiogrraph needed? n Faculty assigned: [DOCTOR] Covering faculty if different from assigned; * Compliance: good Molar/Canine: II OJ/OB: 4/3 Treatment progress evaluation: good UAW: 018 niti LAW: 018niti Elastics: none Appointment notes: repo all 3s and bond U7s, decrease AW NV: increase to 020 niti or 19x25 niti</t>
  </si>
  <si>
    <t>Clinic: Patient presents for appliance adjustment. Patient arrived on time: y Minor patient accompanied by: * Significant Med/Dental Hx/Changes Med/Dental Hx: none Presenting OH: good Alerts if any: * Describe if other alert: * Prophy needed? n Radiogrraph needed? n Faculty assigned: [DOCTOR] Covering faculty if different from assigned; * Compliance: good Molar/Canine: II OJ/OB: 3/3 Treatment progress evaluation: good UAW: 17x25niti LAW: 17x25niti Elastics: cl II elastics L Appointment notes: concerned about over uprighting of UR3, increased U/L aw NV: ck UR3 to repo</t>
  </si>
  <si>
    <t>Clinic: Patient presents for appliance adjustment. Patient arrived on time: y Minor patient accompanied by: * Significant Med/Dental Hx/Changes Med/Dental Hx: none Presenting OH: good Alerts if any: * Describe if other alert: * Prophy needed? n Radiogrraph needed? n Faculty assigned: [DOCTOR] Covering faculty if different from assigned; * Compliance: good Molar/Canine: II OJ/OB: 3/3 Treatment progress evaluation: good UAW: 19x25 tma LAW: 19x25 tma Elastics: cl II delta L, delta R bears full time Appointment notes: repo U3s to be passive, increase to working wire finishing bends: extrude UR1, extrude LL1-LR2 NV: finishing</t>
  </si>
  <si>
    <t>Clinic: Patient presents for appliance adjustment. Patient arrived on time: y Minor patient accompanied by: * Significant Med/Dental Hx/Changes Med/Dental Hx: none Presenting OH: good Alerts if any: * Describe if other alert: * Prophy needed? n Radiogrraph needed? n Faculty assigned: [DOCTOR] Covering faculty if different from assigned; * Compliance: good Molar/Canine: II OJ/OB: 3/3 Treatment progress evaluation: good UAW: 19x25 ss LAW: 19x25 ss Elastics: cl II L, cl III R rams full time Appointment notes: repeat bends in ss to add rigitidy on asymettric elastics, goal to debond in 3-4 mo with good elastic use. told pt to watch midline for correction with elastics NV: finishing</t>
  </si>
  <si>
    <t>Clinic: Patient arrived on time with Grandma Assigned and Supervising Faculty: [DOCTOR] OH is Adequate. Patient has been very compliant with asymmetric elastics (Class III on the Right and II on the left for midline correction) midline has improved and is only 0.5 mm to the left currently. AP: Patient is slightly CLass II Canine on the Right side due to great elastic wear. Discontinued Asymmetric Elastics. Start Triangle Elastics from Upper 3s to Lower 3s and 4s. Showed patient in mirror. Started with Kangaroos but patient felt no resistance so we upped it to Impala. Told her FTW. Religated the same archwires [DOCTOR] took progress records. NV: See if we have better socked in occlusion in the canine and lower pm regions. Consider Box Elastics to sock in the bite</t>
  </si>
  <si>
    <t>Clinic: Assigned and Supervising Faculty: [DOCTOR] Patient has been wearing triangle elastics U3s to Lower 3s and 4s and has been very compliant. Occlusion looks very close to finish! OB has improved to 1.5 mm from last visit. UL2 that had airspace now had positive OB. Molar/Canine: Class I Midlines: Coinicident OJ: 2 mm OB: 1.5 mm Put Kobe Tie on UL2. New Elastic Pattern given to Patient. BOX elastics bilaterally U2-3 to Lower 3/4. Impala Elastics Given. Patient said she felt no resistance with Kangaroos. Religated Same AWS with Lilac and light pink o ties. Progress Photos Taken. NV: Evaluate Contact for Anterior Teeth. Plan for Enameloplasty of UL3 Lingual Marginal Ridge to allow more settling of the LL3. Debond Evaluation NNV: Debond.</t>
  </si>
  <si>
    <t>Clinic: Patiend arrived on time with Mother. Very compliant with elastics! Changed Colors Continue Elastic Pattern for one more visit. NV: Debond Evaluation ***Axium Note did not save properly so full Note not available. Reevaluate next visit to confirm patient's elastic pattern and see what finishing bends are needed.</t>
  </si>
  <si>
    <t xml:space="preserve">Clinic: Assigned and Supervising Faculty: [DOCTOR] Patient arrived on time. (Notes from last time did not save!) Patient was told not to wear elastics so we can see if bite is stable. Patient presented with good occlusion overall, however lower midline is slightly to the left. Decided to run assymetric elastics at night time only and then debond! ELASTICS: Kangaroo: Right Side Class III Left Side: Class II Delta (U3 to Lower 3 nd 6) KEPT UAW/LAW: 19x25 SS NV: Debond and Final Records. Retention do Trutain and remember we can modify with buttons and elastics for Class III tendency if she starts going Class III. Discussed COVID testing with patient and emailed her 3 options for testing. She understood and said she would send me the results.
</t>
  </si>
  <si>
    <t>Appointments: [DATE] D0470F C Final Diagnostic Casts Both
Clinic:
Patient presents today for: Treatment completion Form signed: Treatment completion Patient arrived on time? Yes Minor patient accompanied by: Yes Significant Med Hx: None Changes Med Hx: None Dental Hx Changes: None Prophy needed: As scheduled with GP Radiograph needed: Final CBCT NV Presenting OH: Good Compliance: Good Alerts: * Describe if Other Alert * Assigned Faculty: [DOCTOR] Covering Faculty: [DOCTOR] Removed: Brackets Describe if Other * Appointment notes including results deviating from ideal: Patient was very compliant in wearing Assymmetric Elastics. Today she presented with less than 0.5 mm space Mesial to the LR3 and a 0.5 mm Class II Canine on the Right Side. Right Side was not as well coordinated as last visit. Discussed finidings with [DOCTOR] and decided that since patient has already had covid test done for debond we will continue with debond and final records scan., [DOCTOR] says we can watch this patient in retention. Add buttons as needed to her trutain if we need residual elastics and even consider in House Aligners for the correction of her occlusion if settling does not resolve the discrepancy. *** If patient needs In House Aligners it should be at no cost to her since her malocclusion was not ideal at debond. NV: Final CBCT and Trutains.</t>
  </si>
  <si>
    <t>Clinic: Patient arrived for delivery of retainers. Patient arrived on time: Yes Minor patient accompanied by: Grandma Significant Med/Dental Hx/Changes Med/Dental Hx: None Presenting OH: Great Alerts if any: * Faculty assigned: [DOCTOR] Covering faculty if different from assigned; N/A Type of retainers delivered:: Trutains Retention protocol: FTW for 1 month then reevaluate Appointments notes: Delivered Trutains and Models. Trutains fit great with no airspaces. Patient is very satisfied. Discussed FTW and patient understood. NV: 1 Month Retainer Check</t>
  </si>
  <si>
    <t>Clinic: Patient presents today for retainer check. Patient arrived on time: Yes Minor patient accompanied by: With Grandmother Significant Med/Dental Hx/Changes Med/Dental Hx: No Presenting OH: Good Alerts if any: None Prophy needed? No Radiogrraph needed? No Faculty assigned: [DOCTOR] Covering faculty if different from assigned; [DOCTOR] Patient completion date: [DATE] Presenting retention protocol: FTW of Trutain Compliance: Very Good Significant findings: Occlusion is as it was at debond, Right side has a bit more buccal OJ and mandibular assymetry to the left has slightly relapsed. Retainer fit very well. Decided with [DOCTOR] to cut Class III Slits on the Right Side of the Trutain and have patient wear Bear Elastics at night time to correct the asymmetry. Changes to retention protocol: NTW with Class III Bear Elastics. Consider In House Aligners to mesialize the Posterior Dentition into residual spaces and keep Midline on. NV: Assess Right Side Buccal OJ</t>
  </si>
  <si>
    <t>Clinic: Retainer check Covering Faculty: [DOCTOR] Patient has been wearing her upper and lower Essix retainers at night along with Class III Bear elastics on the R side. Occlusion looks stable, midlines are on. Per faculty recommendation, we will not need to do In house aligners. Patient to continue to wear her upper and lower Essix retainers at night without elastics. All questions answered, pt dismissed in good condition. NV: retainer check</t>
  </si>
  <si>
    <t>Clinic: Patient presents today for retainer check. Patient arrived on time: y Minor patient accompanied by: grandmother Significant Med/Dental Hx/Changes Med/Dental Hx: No Presenting OH: excellent Alerts if any: * Prophy needed? No Radiogrraph needed? n Faculty assigned: [DOCTOR] Covering faculty if different from assigned; [DOCTOR] Patient completion date: [DATE] Presenting retention protocol: NTW Essix U/L Compliance: good Significant findings: midlines slightly off with mild CIII right side. Occlusion not completely socked in but looks same as debond photos. Changes to retention protocol: None- Continue NTW essix U/L NV: Could consider L3-3 fixed, 1yr check</t>
  </si>
  <si>
    <t>Clinic: Pt presents for 1-year retainer check Assigned faculty: [DOCTOR] Pt forgot to bring her retainers today Completed tx in [DATE] Reports wearing her U/L TTs every night Midlines slightly off (mandibular midline of to left), occlusion looks same as debond photos Since pt had MARPE+Facemask and may still have late mandibular growth left, will need to monitor continuously NV: 6 mo retainer check, take photos**</t>
  </si>
  <si>
    <t>Clinic: Pt presents for retainer check Pt brought her u/l TTs today. Reports wearing them every night. On inspection, lower TT fits well. Upper TT has ~2mm air bubble incisal to UL1, UL2, and UR2. Had pt use chewie but did not improve. Alignment and occlusion look similar to debond photos however, indicating there was some intrusion (relapse) of the upper incisors. Upon asking, pt is not bothered by it and likes how her teeth look right now; she does not wish to go through another round of tx at the moment. Photos taken. Explained to pt that we still want to monitor her regularly in case there is late mandibular growth. Pt understands. She will continue to wear her retainers NT and will be back for 1 year retainer check. NV: 1 y retainer check with [DOCTOR]</t>
  </si>
  <si>
    <t>Clinic: Pt presents for RTCHK. Pt has been wearing U/L TT every night. Occlusion and alignment are stable. Due to hx of open bite, told her that it would be best to maintain the routine (NT every night), rather than tapering off. Pt understands. Since pt finished her ttm 1/2021, told her she can either make another 1 yr check or make an appt when she feels needed. Pt chose latter. NV: as needed</t>
  </si>
  <si>
    <t>Clinic: Male Pt presents with mother for Initial Orthodontic Consultation Note: * On time: yes, early Covering Faculty: [doctor] Chief Concern: " braces " RMHx: No contraindications to today's consultation. Significant Findings: lip incompetent RDHx: prophy 2 months ago according to mother EOE: WNL IOE: WNL R Molar Classification: 1 L Molar Classification: 1 TMJ: ( No ) Crepitus, ( No ) , No Clicking of TMJ, Pain on Palpation, ( No ) Hx of Trauma Recommendations: Yes Records to be taken, CBCT ( Full + Report ) , IO and EO photographs, Scan/Models of Maxillary and Mandibular Arches. y NV: Consultation of Tx Options, Begin Tx upon approval</t>
  </si>
  <si>
    <t>Clinic: CONSULTATION/INITIAL BONDING Supernumerary tooth 7S noted on CBCT and discussed with patient. Need to re-evaluate timing of treatment plan with faculty on Wednesday prior to progressing with treatment. U5-5 bonded, no wire engaged for now. Remaining teeth will be bonded at subsequent appt. Appt made with OS for consultation of 4-bi extraction and supernumerary. All risks and benefits discussed. AO LP brackets Next appt: [DATE]</t>
  </si>
  <si>
    <t>Clinic: PROGRESS BONDING L6-6 bonded. U6s banded will be at subsequent appt. No wire engaged. Presence of 7S discussed again. Recommendation for 3rd molar extraction reviewed again with patieng and his mother. Orthognathic surgery also discussed, due to retrognathic mandible and lacking chin projection. Patient and mother are opting for orthodontic correction for the time being, especially aiming for a reduction in 'protrusion'. Next appt: [DATE] after extractions
OMFS FOLLOW-UP Uploaded image of supernumerary into MIPACS - confirmed with OMFS department that image is adequate for submitting to dentical. Awaiting clearance from insurance in 4-6 weeks in order to schedule surgical procedures.</t>
  </si>
  <si>
    <t>Clinic: APPLIANCE ADJUSTMENT No archwire on U until interproximal of 13-14 evaluated by GP. At that point, can consider banding U6s and engaging round wire (until supernumerary extracted). LAW: .016 NiTi with tubing for lip protection. Light PC to retract canines. Next appt: [DATE]</t>
  </si>
  <si>
    <t>Clinic: APPLIANCE ADJUSTMENT UAW: .016 NiTi segmental 4-4 LAW: .016 NiTi, continuous with laceback 3-5-6 Patient saw GP, no caries into dentin noted for interproximal of 13-14. Therefore, band U6s at subsequent visit. Scheduled OMFS extraction for supernumerary for first available date. [DATE] at [TIME]. Mother confirmed. Next appt: [DATE]</t>
  </si>
  <si>
    <t>Clinic: SEPARATOR PLACEMENT Separators placed for U6 banding in 1 week. Faculty: [doctor] Tx Plan: [doctor] Next visit: 1 week for band placement</t>
  </si>
  <si>
    <t>Clinic: SEPARATOR PLACEMENT Missing separator on left replaced. Faculty: [doctor] Tx Plan: [doctor] Next appt: [DATE]</t>
  </si>
  <si>
    <t>Clinic: BAND CEMENTATION U6 bands cemented using bandlock. GAC #22 R/L. Patient will return [DATE] for appliance adjustment. Faculty: [doctor] Tx plan: [doctor] Next appt: [DATE]</t>
  </si>
  <si>
    <t>Clinic: Patient presents for appliance adjustment. Patient arrived on time: yes, early Minor patient accompanied by: self Significant Med/Dental Hx/Changes Med/Dental Hx: no changes Presenting OH: Needs improvement Alerts if any: * Describe if other alert: mesiodens between 8/9 Prophy needed? No Radiogrraph needed? No Faculty assigned: [doctor] Covering faculty if different from assigned; [doctor] Compliance: Good Molar/Canine: 1/2 OJ/OB: 5/4 Treatment progress evaluation: retracting canines into extraction spaces, aligning UAW: .016 Sentalloy LAW: .016 Sentalloy Elastics: none Appointment notes: PC 3-5-6 lower. mesiodens extraction planned [DATE] NV: [DATE]</t>
  </si>
  <si>
    <t>Clinic: Patient presents for appliance adjustment. Patient arrived on time: yes, early Minor patient accompanied by: self Significant Med/Dental Hx/Changes Med/Dental Hx: no changes, all 3rd extracted [DATE] and supernumerary Presenting OH: Needs improvement Alerts if any: * Describe if other alert: * Prophy needed? Yes Radiogrraph needed? No Faculty assigned: [doctor] Covering faculty if different from assigned; [doctor] Compliance: Good Molar/Canine: 1/2 OJ/OB: not measured today Treatment progress evaluation: space closure UAW: .018 Sentalloy LAW: .016 Sentalloy Elastics: none Appointment notes: bonded LL7, other 7s could not be bonded due to bleeding from extraction/surgical sites NV: bond 7s, step up wires, [DOCTOR]</t>
  </si>
  <si>
    <t>Clinic: Patient presents for appliance adjustment. Patient arrived on time: yes Minor patient accompanied by: self Significant Med/Dental Hx/Changes Med/Dental Hx: no changes Presenting OH: Needs improvement Alerts if any: * Describe if other alert: * Prophy needed? No Radiogrraph needed? No Faculty assigned: [doctor] Covering faculty if different from assigned; [doctor] Compliance: Good Molar/Canine: * OJ/OB: * Treatment progress evaluation: bonded all 7s today, continue leveling and aligning, then space closure UAW: .018 Sentalloy LAW: .018 Sentalloy Elastics: none Appointment notes: bonded 7s NV: [DOCTOR], step up AWs</t>
  </si>
  <si>
    <t>Clinic: Patient presents for appliance adjustment. Patient arrived on time: yes, early Minor patient accompanied by: patient brought his girlfriend to this appt for the first time Significant Med/Dental Hx/Changes Med/Dental Hx: no changes Presenting OH: Needs improvement Alerts if any: * Describe if other alert: * Prophy needed? No Radiogrraph needed? No Faculty assigned: [doctor] Covering faculty if different from assigned; [doctor] Compliance: Good Molar/Canine: I/II OJ/OB: not measured today Treatment progress evaluation: level and align stage still UAW: 20x20 bioforce LAW: .018 Sentalloy, retie, with steel tie on LR5 since wire had come out of slot Elastics: none Appointment notes: see above please NV: [DOCTOR], step up AWs</t>
  </si>
  <si>
    <t>Clinic: Patient presents for appliance adjustment. Patient arrived on time: yes Minor patient accompanied by: self Significant Med/Dental Hx/Changes Med/Dental Hx: no changes Presenting OH: good Alerts if any: * Describe if other alert: * Prophy needed? no Radiogrraph needed? no Faculty assigned: [doctor] Covering faculty if different from assigned; [doctor]Compliance: good Molar/Canine: I/II OJ/OB: not measured today Treatment progress evaluation: level align stage still UAW: 19x25 Sentalloy LAW: 20x20 Bioforce Elastics: none Appointment notes: stepped up AWs NV: move up AW sequence, [DOCTOR]</t>
  </si>
  <si>
    <t>Clinic: Patient presents for appliance adjustment. Patient arrived on time: yes Minor patient accompanied by: girlfriend Significant Med/Dental Hx/Changes Med/Dental Hx: no changes Presenting OH: pretty good Alerts if any: * Describe if other alert: * Prophy needed? no Radiogrraph needed? no Faculty assigned: [doctor] Covering faculty if different from assigned; [doctor] Compliance: good Molar/Canine: II ish OJ/OB: not measured today Treatment progress evaluation: level align stage still UAW: 19x25 Sentalloy, retie LAW: 19x25 Sentalloy Elastics: bear cl II R/L Appointment notes: changed L wire NV: [DATE], change U wire, consider retie L wire</t>
  </si>
  <si>
    <t>Clinic: Patient's mother contacted resident and informed us that [PATIENT] cannot make it to today's appt due to a volleyball game - rescheduled appt to tomorrow.</t>
  </si>
  <si>
    <t>Clinic: Patient presents for appliance adjustment. Patient arrived on time: yes Minor patient accompanied by: self Significant Med/Dental Hx/Changes Med/Dental Hx: no changes Presenting OH: average Alerts if any: * Describe if other alert: * Prophy needed? no Radiogrraph needed? no Faculty assigned:[doctor] Covering faculty if different from assigned; reviewed case with [doctor]for "next visit" previously Compliance: good Molar/Canine: * OJ/OB: * Treatment progress evaluation: * UAW: 19x25 TMA LAW: 19x25 Sentalloy, retie Elastics: bear cl II, R/L Appointment notes: retie L, changed U NV: [DATE], consider steel and space closure! U/L</t>
  </si>
  <si>
    <t>Clinic: Patient presents for appliance adjustment. Patient arrived on time: yes Minor patient accompanied by: self Significant Med/Dental Hx/Changes Med/Dental Hx: no change Presenting OH: average Alerts if any: * Describe if other alert: * Prophy needed? no Radiogrraph needed? no Faculty assigned: [doctor] Covering faculty if different from assigned; [doctor] Compliance: good Molar/Canine: I molars II canines OJ/OB: * Treatment progress evaluation: * UAW: 17x25 SS, reduced PC U3-U6 R/L LAW: 19x25 Sentalloy, retie, reduced PC L 2-2 (next time consider PC L 3-3) Elastics: kangaroo, cl II R/L Appointment notes: see above please NV: [DOCTOR]</t>
  </si>
  <si>
    <t>Clinic: Patient presents for appliance adjustment. Patient arrived on time: yes, very early Minor patient accompanied by: self Significant Med/Dental Hx/Changes Med/Dental Hx: no change, starting college [DATE] Presenting OH: average Alerts if any: * Describe if other alert: * Prophy needed? no Radiogrraph needed? no Faculty assigned: [doctor] Covering faculty if different from assigned; same Compliance: good Molar/Canine: II canines OJ/OB: * Treatment progress evaluation: * UAW: 17x25 SS, closed PC U3=U6 R/L LAW: 19x25 NiTi, PC 3-3 Elastics: kangaroo R/L Appointment notes: changed L wire, next visit place curve in U wire, bite deepening :( NV: [DATE], see above</t>
  </si>
  <si>
    <t xml:space="preserve">Clinic: Patient presents for appliance adjustment. Patient arrived on time: yes Minor patient accompanied by: self Significant Med/Dental Hx/Changes Med/Dental Hx: starts college [DATE] Presenting OH: average Alerts if any: * Describe if other alert: * Prophy needed? no Radiogrraph needed? no Faculty assigned: [doctor] Covering faculty if different from assigned; next visit and continue with [doctor] on [DATE[ bc of pt's college class schedule Compliance: good Molar/Canine: I ish OJ/OB: deep bite still Treatment progress evaluation: * UAW: 19x25 NiTi, bc UR7 debonded and had to be replaced LAW: 17x25 preformed RCOS NiTi Elastics: none this visit, start next tikme after wire change Appointment notes: rebonded bracket and changed wires. reduced PC L 6-6. NV: [DATE], then transfer to Tuesday with new resident
</t>
  </si>
  <si>
    <t>Clinic: Patient presents for appliance adjustment. Patient arrived on time: yes Minor patient accompanied by: self Significant Med/Dental Hx/Changes Med/Dental Hx: no change Presenting OH: average Alerts if any: * Describe if other alert: * Prophy needed? no Radiogrraph needed? taking one today per faculty Faculty assigned: [doctor] now (due to patient's class schedule change) Covering faculty if different from assigned; same Compliance: good Molar/Canine: II OJ/OB: excess OJ remaining :( Treatment progress evaluation: L space closed, but large OJ remaining. all mesiodens/third molars should have been ext already. taking a progress cbct today. please trace and evaluate at next visit with faculty, ideally evaluate before his next appt on oct 9 UAW: 19x25 NiTi, retie single ties LAW: 17x25 preformed RCOS NiTi, retie Elastics: none Appointment notes: retie of wires. use cbct to decide next steps NV: with new resident, introduced [doctor] today</t>
  </si>
  <si>
    <t>Clinic: Patient presents for appliance adjustment. Patient arrived on time: yes Minor patient accompanied by: self Significant Med/Dental Hx/Changes Med/Dental Hx: * Presenting OH: good Alerts if any: * Describe if other alert: * Prophy needed? no Radiogrraph needed? * Faculty assigned: [doctor] Covering faculty if different from assigned; * Compliance: good Molar/Canine: 2 OJ/OB: * Treatment progress evaluation: cl II both sides, upper space UAW: 17*25 ss with loops LAW: 19*25 RCOS NITI Elastics: No Appointment notes: use CCS for upper both sides, U loops to bands discussed TADs to reduce gummy smile, patient is interested in it. NV: *</t>
  </si>
  <si>
    <t>Clinic: Patient presents for appliance adjustment. Patient arrived on time: yes Minor patient accompanied by: self Significant Med/Dental Hx/Changes Med/Dental Hx: * Presenting OH: good Alerts if any: * Describe if other alert: * Prophy needed? * Radiogrraph needed? * Faculty assigned: * Covering faculty if different from assigned; [doctor] Compliance: good Molar/Canine: * OJ/OB: * Treatment progress evaluation: * UAW: 17*25 niti LAW: 19*25 niti Elastics: no Appointment notes: LR7 debond, replace new one PC U3-3 NV: Tads</t>
  </si>
  <si>
    <t>Clinic: Patient presents for appliance adjustment. Patient arrived on time: yes Minor patient accompanied by: self Significant Med/Dental Hx/Changes Med/Dental Hx: * Presenting OH: * Alerts if any: * Describe if other alert: * Prophy needed? * Radiogrraph needed? * Faculty assigned: * Covering faculty if different from assigned; * Compliance: * Molar/Canine: * OJ/OB: * Treatment progress evaluation: * UAW: 19*25 tma LAW: 19*25 tma Elastics: no Appointment notes: place MI U2-3 (vector 6mm, 1.4 diameter), PC to the wire patient feel sensitive while placing UR (may be close to root). PC U2-2, U3-6 to gain space for root NV: *</t>
  </si>
  <si>
    <t>Clinic: Patient presents for appliance adjustment. Patient arrived on time: 30 mins late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 UAW: 19*25 tma 17*25 tma aux LAW: 19*25 tma Elastics: no Appointment notes: not much changing, add intrusion arch. NV: mid palatal tad</t>
  </si>
  <si>
    <t>Clinic: Patient presents for appliance adjustment. Patient arrived on time: *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 UAW: 19*25 ss LAW: 19*25 tma Elastics: no Appointment notes: place TADs midpalatal, 1.4*8 mm. start intruding upper molars with TPA NV: *</t>
  </si>
  <si>
    <t>Clinic: TPA, remove TPA</t>
  </si>
  <si>
    <t>Clinic: Patient presents for appliance adjustment. Patient arrived on time: yes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 UAW: 17*25 ss LAW: 17*25 ss Elastics: no Appointment notes: place 4 TADs on top, start intruding upper dentition NV: *</t>
  </si>
  <si>
    <t>Clinic: Patient presents for appliance adjustment. Patient arrived on time: yes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 UAW: 19*25 ss LAW: 19*25 tma Elastics: no Appointment notes: retie NV: *</t>
  </si>
  <si>
    <t>Clinic: Patient presents for comfort visit. Patient arrived on time: yes Minor patient accompanied by: * CC: PC on the L snap off Appointment notes: TADs L loose, tighten it by turning Faculty: * NV: *</t>
  </si>
  <si>
    <t>Clinic: Patient presents for appliance adjustment. Patient arrived on time: yes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 UAW: 19*25 ss LAW: 19*25 tma Elastics: * Appointment notes: remove MI L, will place a new one higher than original site. continue with same PC pattern. stop PC on U6s lingual. NV: place MI</t>
  </si>
  <si>
    <t>Clinic: Patient presents for appliance adjustment. Patient arrived on time: yes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 UAW: 17*25 ss LAW: 17*25 ss Elastics: * Appointment notes: U tads loose, remove them NV: *</t>
  </si>
  <si>
    <t>Clinic: NV: Place torquing spring, possibly on UR1, U2s, place forsus</t>
  </si>
  <si>
    <t>Clinic: Patient presents for appliance adjustment. Patient arrived on time: YES Minor patient accompanied by: * Significant Med/Dental Hx/Changes Med/Dental Hx: * Presenting OH: * Alerts if any: * Describe if other alert: * Prophy needed? * Radiogrraph needed? * Faculty assigned: * Covering faculty if different from assigned; * Compliance: * Molar/Canine: * OJ/OB: * Treatment progress evaluation: * UAW: 17*25 SS LAW: 17*25 SS Elastics: * Appointment notes: deliver Forsus 25 mm spring. tighten UR tads which was loose. check UL1, need buccal root torque after forsus. NV: *</t>
  </si>
  <si>
    <t>Clinic: Patient presents for appliance adjustment. Patient arrived on time: yes Minor patient accompanied by: * Significant Med/Dental Hx/Changes Med/Dental Hx: Overdue for cleaning and check up, highly recommended visit dentist before our NV Presenting OH: needs improvement, reinforced OHI Alerts if any: * Describe if other alert: * Prophy needed? yes Radiogrraph needed? * Faculty assigned: [doctor] Covering faculty if different from assigned; * Compliance: * Molar/Canine: II/II OJ/OB: * Treatment progress evaluation: Need more Cl II correction (using Forsus), OB correction UAW: 19x25 SS Intrusion bend 2-2 PC 6-6 LAW: 19x25 SS Steel tie L3s, L7s-3s Elastics: * Appointment notes: Pt lost left Forsus 3 weeks ago and removed it will plier at home. Replaced left Forsus EZ2 Module size 25 Step up wire for torque expression and increase OJ Enameloplasty U2 Li Showed pt how to replace Forsus if assembly came apart Reinforced soft diet NV: Check U1s torque differential (UL1 Li root torque), check for U3 extrusion, L3s distal root, UR2 mesial root bends</t>
  </si>
  <si>
    <t>Clinic: Patient presents for appliance adjustment. Patient arrived on time: yes Minor patient accompanied by: * Significant Med/Dental Hx/Changes Med/Dental Hx: Overdue for cleaning and check up, highly recommended visit dentist before our NV Presenting OH: needs improvement, reinforced OHI Alerts if any: * Describe if other alert: * Prophy needed? yes Radiogrraph needed? * Faculty assigned: [doctor] Covering faculty if different from assigned; * Compliance: * Molar/Canine: II/II OJ/OB: 2/2 Treatment progress evaluation: Continue Cl II correction but running out of OJ UAW: 19x25 TMA (new) Intrusion bend 2-2 (same) UR2 MRT LAW: 17x25 NiTi (new) Elastics: U3-L7s Impala (6oz 3/16") FTW Appointment notes: Pt lost steel lace on LR posterior and LR rotated with distal space, need to place NiTi to re-align teeth Stopped Forsus for now and using Cl II elastics until Md teeth re-aligned. Pt aware that compliance is important in order to finish tx in appropriate time. Reinforced soft diet Replaced UL6 band loose with GAC size 22 and cemented using Fuji NV: Add UR1 Li crown torque</t>
  </si>
  <si>
    <t>Clinic: Patient presents for appliance adjustment. Patient arrived on time: yes Minor patient accompanied by: * Significant Med/Dental Hx/Changes Med/Dental Hx: Overdue for cleaning and check up, highly recommended visit dentist before our NV - made appt wih hygiene [DATE] Presenting OH: needs improvement, reinforced OHI Alerts if any: * Describe if other alert: * Prophy needed? yes Radiogrraph needed? * Faculty assigned: [doctor] Covering faculty if different from assigned; * Compliance: * Molar/Canine: I/II OJ/OB: 4/2 Treatment progress evaluation: Spaces opened Mx anteriors (no PC placed last visit) UAW: 19x25 TMA (same) Intrusion bend 2-2 (same) UR2 MRT (same) - PC 6-6 LAW: 19x25 TMA (new) Elastics: U3-L7s Impala (6oz 3/16") FTW Appointment notes: - Pt lost elastics 2.5 weeks ago - Using PC to close Mx spaces - LR1 mesial in, might consider Li ridge reduction in future - Pt does not want to use forsus any more NV: Check OJ and Cl II correction</t>
  </si>
  <si>
    <t>Clinic: Patient presents for appliance adjustment. Patient arrived on time: yes Minor patient accompanied by: * Significant Med/Dental Hx/Changes Med/Dental Hx: Recently seen by hygiene Presenting OH: Good Alerts if any: * Describe if other alert: * Prophy needed? * Radiogrraph needed? * Faculty assigned: [doctor] Covering faculty if different from assigned; * Compliance: Poor, only wearing at night ~5 hours Molar/Canine: I/II , 1mm Cl II on R canine OJ/OB: 3/3 Treatment progress evaluation: Finishing, only 1 mm Cl II on right UAW: 19x25 TMA (same) Intrusion bend 2-2 (same) UR2 MRT (same) UR1 Li crown torque (new) U5s DRT (new) U6s intrusion (new) - PC UR3 distal-UL6 (to rotate UR3 mesial in) LAW: 19x25 TMA (same) Elastics: U3-L7s Impala (6oz 3/16") FTW Appointment notes: - LR1 and U2s Li ridge - encouraged increase elastic use NV: Check OJ and Cl II correction</t>
  </si>
  <si>
    <t>Clinic: [doctor] on [DATE]. Faculty: [doctor] Initial: [DATE], Patient is in the treatment for a long time. TP: Intrusion of upper incisors with MI. $Bi extraction. Treatment progress: Intrusion of upper incisors by MI for a year. Patient has Forsus and take it out by himself and also did not wear elastic so compliance is poor. Patient is almost ready for debond and spaces are closed. Ask patient to wear elastic as much as possible before debonding and give him an end point( for example 2 months)</t>
  </si>
  <si>
    <t>Clinic: Patient presents for appliance adjustment. Patient arrived on time: yes Minor patient accompanied by: * Significant Med/Dental Hx/Changes Med/Dental Hx: * Presenting OH: Good Alerts if any: * Describe if other alert: * Prophy needed? * Radiogrraph needed? * Faculty assigned: [doctor] Covering faculty if different from assigned; * Compliance: Poor, not wearing elastics at all Molar/Canine: I/II , 1mm Cl II on R canine OJ/OB: 3/3 Treatment progress evaluation: Finishing, only 1 mm Cl II on right UAW: 19x25 TMA (same) Intrusion bend 2-2 (same) UR2 MRT (same) UR1 Li crown torque (new) U5s DRT (new) U6s intrusion (new) - PC UR3 mesial - UR6 (to rotate mesial out and close space distal UR3) - PC 6-6 LAW: 19x25 TMA (same) Elastics: U3-L7s Kangaroo (4.5oz 3/16") FTW Appointment notes: - PC UR3 mesial wing to UR6 to close space and rotate canine - Discussed debonding even if Cl II correction not complete due to poor pt compliance. Pt would also like to take braces off soon. NV: Check OJ and Cl II correction</t>
  </si>
  <si>
    <t>Clinic: Appliance Adjustment: Improved elastic wear Finishing and detailing</t>
  </si>
  <si>
    <t xml:space="preserve">Clinic: Re-tie Pt mentioned will try to use Impala (6oz 3/16") at night and Kangaroo (4.5oz 3/16") during day
</t>
  </si>
  <si>
    <t>Clinic: Patient presents for appliance adjustment. Patient arrived on time: yes Minor patient accompanied by: * Significant Med/Dental Hx/Changes Med/Dental Hx: * Presenting OH: Good Alerts if any: * Describe if other alert: * Prophy needed? * Radiogrraph needed? * Faculty assigned: [doctor] Covering faculty if different from assigned; * Compliance: good Molar/Canine: I/II , &lt;1mm Cl II on R canine OJ/OB: 3/3 Treatment progress evaluation: Finishing, only &lt;1 mm Cl II on right UAW: 19x25 TMA (same) Intrusion bend 2-2 (same) UR2 MRT (same) UR1 Li crown torque (same) U5s DRT (same) U6s intrusion (same) UL3 step out Bu (new) UL1 Bu crown and extrusion (new) - PC 6-6 LAW: 19x25 TMA (same) Intrusion L3s (same) decreased mesial bend Elastics: U3-L7s Kangaroo (4.5oz 3/16") FTW Appointment notes: - Finishing NV: Check OJ and Cl II correction</t>
  </si>
  <si>
    <t>Clinic: Patient presents for appliance adjustment. Patient arrived on time: yes Minor patient accompanied by: * Significant Med/Dental Hx/Changes Med/Dental Hx: * Presenting OH: Good Alerts if any: * Describe if other alert: * Prophy needed? * Radiogrraph needed? * Faculty assigned: [doctor] Covering faculty if different from assigned; * Compliance: good Molar/Canine: I/II , &lt;1mm Cl II on R canine OJ/OB: 3/3 Treatment progress evaluation: Finishing, only &lt;1 mm Cl II on right UAW: 19x25 TMA (same) Intrusion bend 2-2 (same) UR2 MRT (same) UR1 Li crown torque (decreased) U5s DRT (same) U6s intrusion (same) UL3 step out Bu (new) UL1 Bu crown and extrusion (same) - PC 6-6 LAW: 19x25 TMA (same) Intrusion L3s (same) decreased mesial bend Elastics: U3-L7s Kangaroo (4.5oz 3/16") FTW Appointment notes: - Finishing NV: Debond Eval</t>
  </si>
  <si>
    <t>Clinic: Patient presents for appliance adjustment. Patient arrived on time: yes Minor patient accompanied by: * Significant Med/Dental Hx/Changes Med/Dental Hx: * Presenting OH: Good Alerts if any: * Describe if other alert: * Prophy needed? * Radiogrraph needed? * Faculty assigned: [doctor] Covering faculty if different from assigned; * Compliance: good Molar/Canine: I/II , &lt;1mm Cl II on R canine OJ/OB: 3/3 Treatment progress evaluation: Finishing, only &lt;1 mm Cl II on right UAW: 19x25 TMA (same) Intrusion bend 2-2 (same) UR2 MRT (same) UR1 Li crown torque (same) step in (new), U5s DRT (same) U6s intrusion (same) UL3 step out Bu (same) UL1 Bu crown and extrusion (same) - CCS on U6 space - PC 6-6 LAW: 19x25 TMA (same) Intrusion L3s (same) decreased mesial bend Elastics: U3-L7s Kangaroo (4.5oz 3/16") FTW and added U3s-L3s Appointment notes: - correcting U1-1 - Added vertical elastics on 3s to improve occlusion - Pt aware that will need COVID test prior to debond and results cannot be more than 2 weeks old - Also informed him that posibly another resident will have to debond since I am graduating NV: Debond Eval</t>
  </si>
  <si>
    <t>Clinic: Patient presents for appliance adjustment. Patient arrived on time: yes Minor patient accompanied by: * Significant Med/Dental Hx/Changes Med/Dental Hx: * Presenting OH: Good Alerts if any: * Describe if other alert: * Prophy needed? * Radiogrraph needed? * Faculty assigned: [doctor] Covering faculty if different from assigned; * Compliance: good Molar/Canine: I/II , &lt;1mm Cl II on R canine OJ/OB: 3/3 Treatment progress evaluation: Finishing UAW: 19x25 TMA (same) Intrusion bend 2-2 (same) UR2 MRT (same) UR1 Li crown torque (same) step in (same), U5s DRT (same) U6s intrusion (same) UL3 step out Bu (same) UL1 Bu crown and extrusion (same), removed extrusion bend (new) - CCS on U6 space - PC light U7-7 - PC 6-6 LAW: 19x25 TMA (same) Intrusion L3s (same) decreased mesial bend Elastics: U3-L7s Kangaroo (4.5oz 3/16") FTW and added U3s-L3s Appointment notes: - removed UL1 extrusion bend and it might express Bu crown torque - Pt aware that will need COVID test prior to debond and results cannot be more than 2 weeks old - Also informed him that posibly another resident NV: Debond Eval</t>
  </si>
  <si>
    <t>Clinic: Patient eas here for the debonding evaluation. Faculty: [doctor] _ reduced the torque of U 1s and made them passive _ redid the upper reduced light powerchain Patient is ready for debonding NV: Debond, X-ray and evaluation for the in-House aligner to address upper incisor torque prn.</t>
  </si>
  <si>
    <t>Appointments: [DATE] D0470F C Final Diagnostic Casts Both
Clinic:
scan for hawleys retainers color : tissue pink
Patient presents today for: Treatment completion Form signed: Treatment completion Patient arrived on time? Yes Minor patient accompanied by: Alone Significant Med Hx: No Changes Med Hx: No Dental Hx Changes: No Prophy needed: Yes Radiograph needed: Yes Presenting OH: Needs improvement Compliance: Good Alerts: * Describe if Other Alert * Assigned Faculty: [doctor] Covering Faculty: [doctor] Removed: Attachments Describe if Other * Appointment notes including results deviating from ideal: Removed brackets and a button on UR6 lingual side, Remove remaining composite and polishing, All the questions were answered and patient left the clinic satisfied NV: Deliver retainer</t>
  </si>
  <si>
    <t>Clinic: Patient arrived for delivery of retainers. Patient arrived on time: Yes Minor patient accompanied by: * Significant Med/Dental Hx/Changes Med/Dental Hx: No Presenting OH: Needs improvement Alerts if any: * Faculty assigned: [doctor] Covering faculty if different from assigned; * Type of retainers delivered:: U&amp;L Hawley with solderd C clasps Retention protocol: FT Appointments notes: 1. UL1 slightly relapswd to a more proclined position, adjusted acrylic part, activated labial bow to move it lingually, if not adjusted until next appointment, will deliver TT based on initial models 2. instruction for insertion, taking out and OH was done All the questions were answered and patient left the clinic satisfied NV: Evaluate position of U1s, TT delivery?</t>
  </si>
  <si>
    <t>Clinic: Patient presents today for retainer check. Patient arrived on time: Yes Minor patient accompanied by: Alone Significant Med/Dental Hx/Changes Med/Dental Hx: No Presenting OH: Needs improvement Alerts if any: * Prophy needed? * Radiogrraph needed? No Faculty assigned: [doctor] Covering faculty if different from assigned; * Patient completion date: [DATE] Presenting retention protocol: Delivered TT to improve the torque of Upper central incisors Compliance: good Significant findings: Improvement of Upper 1s Changes to retention protocol: No, FT NV: 1 month retainer check</t>
  </si>
  <si>
    <t xml:space="preserve">Clinic: Patient presents today for retainer check. Patient arrived on time: Yes Minor patient accompanied by: Alone Significant Med/Dental Hx/Changes Med/Dental Hx: No Presenting OH: Needs improvement Alerts if any: * Prophy needed? * Radiogrraph needed? No Faculty assigned: [doctor] Covering faculty if different from assigned; [doctor] Patient completion date: [DATE] Presenting retention protocol: U and L TT Compliance: Poor, night time retainer wear Significant findings: 1. Patient only wear retainers at night and he mentioned that he sees the teeth moving (especially upper incisors) when he does not wear the retainers for 1 day, 2. Asked him full time wear and let patient know that relapse will happen without retainer and also the fact that the first 6 months is so critical. 3. Asked patient to let us know in the case of loosing or breaking of retainer or if any relapse happened. 4. Patient did not have retainer with him so couldnt check the fitness. 5.At this times teeth look stable and torque difference still present on U1s. All the questions were answered and patient left the clinic satisfied Changes to retention protocol: No change, FT U and L TT
</t>
  </si>
  <si>
    <t>Clinic: Patient presents today for retainer check. Patient arrived on time: Yes Minor patient accompanied by: * Significant Med/Dental Hx/Changes Med/Dental Hx: No Presenting OH: Needs improvement Alerts if any: * Prophy needed? No Radiogrraph needed? No Faculty assigned: [doctor] Covering faculty if different from assigned; [doctor] Patient completion date: 10/28/2020 Presenting retention protocol: FT but patient is wearing the retainers NT Compliance: Needs improvement, FT wear Significant findings: Small mal alignement of the upper incisors. Asked patient to wear the upper retainer full time. Patient now wear them NT. Lower retainer broke so new lower TT is needed. Asked patient to wear the lower broken retainer FT until delivery of the next retainer. All the questions were answered and patient left the clinic satisfied Changes to retention protocol: FT, Upper and lower TT NV: Deliver lower retainer</t>
  </si>
  <si>
    <t>Clinic: Patient was here for the delivery of lower retainer. Retainer fits well and patient feels comfortable. Protocol: FT U and L TT Gave patient chewies for improvement of retainer sitting specially upper retainer. All the questions were answerred and patient left the clinic satisfied NV: 6 months retainer check but asked patient to let me know if he needs any questions or any problem with the retainers.</t>
  </si>
  <si>
    <t>Clinic:
NP exam. CC: I want to see if I qualify for Denti-Cal. I want to correct my crowding. MHx: NSF, NKDA. Straight profile with no obvious asymmetries. Class I molars with Class III tendency canines. OJ: 1 mm/OB: 1 mm. Coincident midlines (mandibular midline may be shifted slightly to the left). Mild crowding on Mx (3 mm) and moderate crowding on Mn (4-5 mm). Pt does not qualify for Denti-Cal (highest score is 15 points). No TMJ issues. Seen with [DOCTOR]. Pt prefers Tues PM. NV: Initial records.</t>
  </si>
  <si>
    <t xml:space="preserve">Clinic:
Took initial photos.
Did iTero scan for initial record.
</t>
  </si>
  <si>
    <t>Clinic:
No CC. Informed consent obtained. Discussed the possibility of enameloplasty in the future due to her worn incisors. Pt consented to future enameloplasty. Bonded upper and lower 6-6 with Victory brackets (clear Victory brackets from upper 3-3's). Reduced the distal occlusal wing on the lower 6's brackets since pt was occluding on them. Placed lower bite turbos with Band-Lok material on lower 6's since pt started occluding on the anteriors. Placed upper and lower 014 Nitinol wires. Difficult to engage the lower 1's. Informed pt about what to expect with braces. Diet and oral hygiene instructions given. Pt understood and left satisfied. Seen with [DOCTOR]. NV: Continue with archwire sequence.</t>
  </si>
  <si>
    <t>Clinic:
CC: The back wires are bothering me. The pt reported that she had sore teeth for about a week, but it got better. Upper teeth have aligned better, but the lower teeth are still crowded between the 2-2's. UPPER: 014 Nitinol. Figure-8 tie all teeth. LOWER: 014 Nitinol. Active open coil spring (half-bracket) btw 2-2. Figure-8 tie the rest of the teeth. Seen with [DOCTOR]. NV: Continue mechanics. Tie-in all lower teeth to 014 Nitinol. Move to 016 Nitinol or 018 Nitinol for upper. Bond 7's?</t>
  </si>
  <si>
    <t>Clinic:
Took progress photos.
ADJ. No CC. Spaces have formed on upper and lower anteriors. Intraorals with [STAFF]. UPPER: Repo UR3-5. Bonded 7's with MBT Victory brackets. Placed 018 Nitinol. Figure-8 all teeth. LOWER: Bonded 7's with MBT Victory brackets. Replaced 014 Nitinol. Figure-8 all teeth. Seen with [DOCTOR]. NV: Continue AW sequence. Consider mechanics for closing mechanics.</t>
  </si>
  <si>
    <t>Clinic:
[STAFF]) for ADJ. No CC. - Seen with [DOCTOR]. Space forming distal to UL2. Good Class I canine/molar relationship. Suspect anterior Bolton discrepancy even though the calculated Bolton was WNL. Informed pt of possible need to decide whether she will like to restore the laterals. Need lingual root torque on upper anteriors. UPPER: Steel-lace 3-3. Placed 17x25 Nitinol with single-ties. LOWER: L1-1 still need to get un crowded. Continued same 014 Nitinol with figure-8 ties. NV: 1. Possible repo of anterior 2-2</t>
  </si>
  <si>
    <t xml:space="preserve">Clinic:
No CC. - Seen with [DOCTOR]. Upper anteriors are contacting the lower anterior brackets. UPPER: Placed 19x25 Nitinol wire with single-ties. LOWER: Repo 2-2. Placed 014 Nitinol with figure-8 ties. Increased bite turbos on 6's NV: 1. Continue mechanics and consider pan/repo
</t>
  </si>
  <si>
    <t xml:space="preserve">Clinic:
CC: Two of my brackets fell off while I was eating. UPPER: Rebond UL6-7 with MBT Victory brackets. Replaced 19x25 Nitinol with single-ties. NV: Refer to previous notes
Time elapsed before start check was obtained on August, 13, 2014. [DOCTOR] Lee supervised the appointment.
</t>
  </si>
  <si>
    <t xml:space="preserve">Clinic:
ADJ. No CC. - Seen with [DOCTOR]. UPPER: Rounded 2-2 with white polishing stone. Placed 19x25 SS with single ties. LOWER: Placed 018 Nitinol with figure-8 ties 3-3. NV: 1. Place rectangular wire on lower 2. Possibly mock bond upper 2's to determine if pt wants to build up the laterals or not. NNNV: Pan/repo
</t>
  </si>
  <si>
    <t xml:space="preserve">Clinic:
ADJ. No CC. - Seen with [DOCTOR] Built-up pts upper 2-2. Pt likes the build-ups and opted to keep the upper spaces and do build-ups on upper 2-2's. Class I canine/molar bilaterally. Pt has a deep bite and need to consider putting anterior bite turbos instead of posterior bite turbos. UPPER: Placed labial crown torque 2-2 on 19x25 SS. Single-ties. LOWER: Placed 16x22 Nitinol. Figure-8 L2-2's. Intraorals with [STAFF]. NV: 1. Placed 18x25 or 19x25 Nitinol on lower 2. Check on the labial crown torque on U2-2. NNV: Pan/repo
</t>
  </si>
  <si>
    <t xml:space="preserve">Clinic:
OR .XRayTech
ADJ. No CC. - Seen with [DOCTOR] Upper 2's have 6.5 mm spacing. UR2 is wider than UL2. IOE/EOE with [STAFF]. UPPER: Placed additional labial crown torque 3-3 on 19x25 SS. Placed closed coil spring distal to UL2 to maintain space. LOWER: Placed reverseCOS 17x25 Nitinol with closed PC. NV: 1. Pan/repo 2. Consider lower SS archwire to level COS
</t>
  </si>
  <si>
    <t xml:space="preserve">Clinic:
No CC. - Seen with [DOCTOR] UL2 - 7.5 mm; UR2 - 6 mm. Pano taken. IOE with [STAFF]. UPPER: Reduced closed coil spring. Repo UL4-5's with Victory. Placed 17x25 Nitinol. LOWER: Repo L4's and LR2. Bonded L7's with Victory. Placed 16x22 Nitinol. Sent pt to get FMX
No CC. - Seen with [DOCTOR] UL2 - 7.5 mm; UR2 - 6 mm. Pano taken. IOE with [STAFF]. UPPER: Reduced closed coil spring. Repo UL4-5's with Victory. Placed 17x25 Nitinol. LOWER: Repo L4's and LR2. Bonded L7's with Victory. Placed 16x22 Nitinol. Sent pt to get FMX NV: 1. Start finishing 2. Determine appt with general dentist to discuss upper restorations
</t>
  </si>
  <si>
    <t xml:space="preserve">Clinic:
19 yo pt presented for
ADJ. CC: Something in the back fell off a week ago. - Seen with [DOCTOR] APP: Victory Pt will be seeing her general dentist on Jan 22, 2015. R: Class III-ish (Class I +0.5 mm); L: Class-I. Minimal OJ. Spacing noted distal to UL4. LL7 bracket missing. UPPER: Placed 19x25 TMA with reduced PC from distal wing ofUL3 to UL6. LOWER: Rebonded LL7 bracket. Placed 17x25 Nitinol. Steel-lig L4's NV: 1. Finishing 2. Class III elastics on L
</t>
  </si>
  <si>
    <t xml:space="preserve">Clinic:
ADJ. No CC. - Seen with [DOCTOR] APP: Clarity Victory Intraorals wtih [STAFF]. Pt is slightly Cl-III on L. Minimal OJ. Spacing still noted distal to UL4 and UL2. Upper midline coincident with facial midline. UPPER: Replaced 19x25 TMA with same CCS distal to UL2. PC distal wing of UL3 to UL6. LOWER: Placed 19x25 SS. Instructed pt to wear Cl-III elastics on L FT and on R NTO with #32. Emailed pt's general dentist to inform her of the following: 1. Build-up U2-2 2. Refer for wisdom teeth extraction NV: 1. Lower finishing: LR2 (mesial-out); LL1 (DO); LL7 (BCT); LR4-5 (step-occlusal distal) 2. Check OJ - may want to open spacing, torque U2-2, or do lower IPR
</t>
  </si>
  <si>
    <t xml:space="preserve">Clinic:
ADJ. No CC. - Seen with [DOCTOR] APP: Victory Measured upper laterals and determined them to be the same size. OJ of 3 mm UPPER: Placed 19x25 SS with PC 6-6. LOWER: Removed L6 bite turbos. Replaced 19x25 SS with finishing bends: 1. LR6 - mesial step occlusal 2. LR4 - distal step gingival 3. LL1 - DO Instructed pt to wear Cl-II elastic only on left with #42 full-time NV: 1. Continue finishing 2. Check for space closure and midline coincidence
</t>
  </si>
  <si>
    <t xml:space="preserve">Clinic:
ADJ. No CC. - Seen with [DOCTOR] APP: Victory Pt is still Cl-II on L with OJ of 3 mm. Pt reported that she was no longer able to afford the anterior restorations. UPPER: PC 3-3. Replaced 19x25 SS with finishing bends. PC 6-6 LOWER: Replaced 19x25 SS with finishing bends Instructed pt to continue Cl-II elastic on left only with #42 full-time. Intraorals with [STAFF]. NV: Continue finishing
</t>
  </si>
  <si>
    <t xml:space="preserve">Clinic:
ADJ with brother. No CC. - Seen with [DOCTOR] APP: Victory Pt is Cl-II on L (~1-1.5 mm). Upper spacings are closed. UPPER: Steel-lace 4-4. Replaced 19x25 SS with: UR7 - LCT UL6-7 - step-out LOWER: Replaced 19x25 SS with: LL1 - buccal LR2 - MO LR4-5 - step-up Instructed pt to continue to wear Cl-II elastics on L with #42 NV: 1. Continue finishing and check molar occlusion on L 2. Pictures afterwards
</t>
  </si>
  <si>
    <t xml:space="preserve">Clinic:
ADJ. CC: One of my lower teeth is forward. - Seen with [DOCTOR] APP: Victory Pt has a slight posterior crossbite at the right and is edge-to-edge at the left. Pt has been wearing Cl-III elastics on the L with #42. UPPER: Steel-lace 4-4. Replaced 19x25 SS with: UL6 - M-occ LOWER: Replaced 19x25 SS with finishing bends: LL1 - lingual (reduced buccal bends) LR4-5 - step-occ LL6 - step-gingiv (reduced occlusal bends) Instructed pt to wear Cl-II elastics on L with #42. Demonstrated proper elastic wear. Pictures with [STAFF]. NV: Continue finishing and check transverse
</t>
  </si>
  <si>
    <t xml:space="preserve">Clinic:
ADJ - [DOCTOR] APP: Victory Pt still has posterior crossbite. Pt has worn elastics correctly. R side is Cl-I, and L side is still Cl-II ish. UPPER: Widen upper arch posterior and UR2 - LCT. Replaced 19x25 SS. PC 6-6. LOWER: Replaced 19x25 SS with toe-in L6-7's and LR1-MO. Instructed pt to cont Cl-II on L w. #42. NV: Continue finishing and check transverse
</t>
  </si>
  <si>
    <t>Clinic:
ADJ - [DOCTOR] APP: Victory Pt still has transverse issue. U: Re-tie 19x25 SS. PC 6-6 L: Replace 19x25 SS with LL1 - DCT. PC 6-6 Instructed pt to wear Cl-I triangles bilaterally with #42. NV: Finishing and check transverse</t>
  </si>
  <si>
    <t xml:space="preserve">Clinic:
Progress visit. OH excellent. CC: "my front tooth is coming out." Worked with [DOCTOR] . LL1 given DCT at last visit; tooth has exaggerated DCT, slight extrusion, and BCT. Removed bends for LL1 to attempt to get B-L crown torque correct again. U: 19x25 SS expanded arch. Added BCT to UR5-7 and UL6-7. Step out UR6. L: 19x25 SS constricted arch. Added LCT to LR5-7 and LL6-7. Elastics: continue Class I triangle (#42) bilaterally. NV: evaluate transverse correction and LL1.
</t>
  </si>
  <si>
    <t>Clinic:
Progress visit. OH good. No CC. Worked with [DOCTOR]. LL1 still has too much torque and looks slightly extruded. Transverse: pt is still edge to edge in buccal segments. U:19x25 expanded arch with BCT UR5-7 and UL6-7. L: 16x22 Nitionol. Elastics: crossbite elastics from Caplin hooks (bonded today) U6s to L6s. NV: U arch is looking good. Eval L arch; consider 17x25 TMA to correct marginal ridges. Check transverse. When the bite closes due to transverse, do enamelplasty in anterior region. Plan to debond by Feb 2016.</t>
  </si>
  <si>
    <t>Clinic:
Comfort visit. OH good. CC: "the hook for the rubber band broke in the UR." Worked with [DOCTOR] . Caplin hook lost on palatal of UR6. Rebonded Caplin hook. Transverse has improved on L side. NV: Eval transverse. Eval U arch form (U marginal ridges look good). Eval L arch for finishing bends; consider 17x25 TMA. After bite closes, do enamelplasty in anterior region.</t>
  </si>
  <si>
    <t xml:space="preserve">Clinic:
Progress visit. OH good. No CC. Worked with [DOCTOR] . U: 19x25 SS expanded arch. Crossbite resloved on L side. R side still needs small correction. L: 16x22 Nitinol with rotation wedge LL1. Bonded to incisal edges of UR1 and UR2 with Translucent flowable composite. Enamelplasty of U2-2 to improve tooth shapes. Pt is happy. NV: check transverse on R side. Occlusal equilibration. Continue enamelplasty U2-2 as necessary.
</t>
  </si>
  <si>
    <t xml:space="preserve">Clinic:
Progress visit. OH good. CC: "can we try to reduce the space between my two front teeth?" Worked with [DOCTOR]. Lower arch looks well finished except for marginal ridge discrepancy LL5-6. U crossbite resolved bilaterally, but could use 1mm more buccal OJ in area of UR6-7. U: 19x25 SS expanded arch with step out for UR6. Continue #42 crossbite elastics on R side only. L: continue 16x22 Nitinol with rotation wedge LL1. NV: debond.
</t>
  </si>
  <si>
    <t xml:space="preserve">Clinic:
Debond. OH good. CC: "I broke a bracket." Worked with [DOCTOR] . Debond contract signed. Removed U/L brackets. Impressions made for U/L Trutain; however, I think a bonded retainer is the best solution for rotated lower incisors. Plan to make L Hawley retainer with springs for alignment and then fixed lower retainer. NV: final records/ deliver trutains.
</t>
  </si>
  <si>
    <t xml:space="preserve">Clinic:
Retainer delivery. OH good. CC: "I don't like these retainers" Worked with [DOCTOR] . Reviewed final x-rays with pt including third molars (recommend removal before the age of 25) and periapical radiolucency L1s. All lower incisors mildly percussion sensitive; no difference on L1s and L2s. All teeth test positive to cold except for LL1 (no response). Recommend radiographic followup in 3-4 months and vitality test; possibly followed by referral to endo. Delivered L Hawley with fingersprings to correct rotations of L1s with full time wear. NV: eval L incisor aligment. Reactivate L Hawley as necessary.
</t>
  </si>
  <si>
    <t xml:space="preserve">Clinic:
Retainer check. L1s are in good alignment but slightly proclined. Adjusted labial bow to be tighter and did slight IPR and reduced spring activation to attempt to retrocline L1s. Discussed witih pt retainer options and pt opts for fixed lingual retainer backed up by Essix retainer. NV: bond fixed lingual retainer.
</t>
  </si>
  <si>
    <t xml:space="preserve">Clinic:
Retainer check. LR1 well aligned. LL1 needs needs M out. Adjusted Hawley retainer. NV: bonded lingual retainer and impression for Essix overlay.
</t>
  </si>
  <si>
    <t xml:space="preserve">Clinic:
Pt not yet satisfied with rotations of lower incisors. Delayed bonding permanent lingual retainer to next visit. NV: bonded lingual retainer and impression for essix overlay
</t>
  </si>
  <si>
    <t xml:space="preserve">Clinic:
Pt lost Hawley retainer with fingersprings and lower incisor alignment is worse than anytime since debond. Bonded L 4-4 and .014 Nitinol AW placed for alignment of lower incisors. NV: check alignment.
</t>
  </si>
  <si>
    <t xml:space="preserve">Clinic:
Alignment of L4-4 is good. Pt is happy with alignment. Impression taken to make preformed bonded lingual retainer. NV:bond lower fixed lingual retainer and impression for L Trutain backup.
</t>
  </si>
  <si>
    <t>Clinic:
Bonded Lower Retainer Delivery. Pt is happy with alignment of lower incisors. Bonded Lower fixed retainer 3-3. Removed L brackets and AW. Polish. Impression for L Trutain overlay NV: deliver L Trutain overlay</t>
  </si>
  <si>
    <t>Clinic:
Retainer check. Pt wears U/L Trutain retainers nightly. L Trutain has coverage of LR8, but LL8 is just beginning to erupt. Recommend that we FU in 6 months and eval for new retainer that includes occlusal coverage of LL8. Discussed position of 3rd molars with pt and advised that general dentist monitor them as they erupt and advise accordingly re:ext. Advised pt to see general dentist for routine checkups and cleanings (she has not seen general dentist since debond). Occlusion looks great; continue nighttime retainer wear. NV: retainer check in January 2017</t>
  </si>
  <si>
    <t>Clinic:
Patient presents for retainer check. Faculty: [DOCTOR] Patient has lower fixed retainer and upper and lower TT for nighttime wear. She reports wearing the retainer most nights. Only minor movement was noted on exam. Patient has fracture on LR1 incisal edge from biting into chip. Recommended she see the dentist for bonding to repair the fracture. Instructed patient to continue nighttime wear of retainers. NV: PRN</t>
  </si>
  <si>
    <t xml:space="preserve">Clinic:
CC: "I think I need braces." Class 2 molar and canine both sides 9mm OJ, 5mm OB Retrognathic mandible, mandibular midline deviation 4mm to the left AP CO-CR shift noted Mild crowding upper, mild spacing lower Mid mixed dentition. Will eval in 6months and wait to fill out HLD form until all deciduous teeth have exfoliated.
</t>
  </si>
  <si>
    <t xml:space="preserve">Clinic:
RES: RLC FAC: SD Pt. presents for 6mo follow up. Blocked out LL3 ULE has not yet exfoliated. Poor OH. Reiterated and emphasized the importance of brushing and demonstrated how to brush at gingival margins where the most plaque buildup is seen.Findings from initial screening verified. DWP's [GUARDIAN] the possibility of treating pt. only with orthodontics and accepting the skeletal discrepancy; also reiterated that surgery was one option and not the only option of treatment. Will re-eval in 6months and decide whether to move forward with tx using Dentical for ortho tx only.
</t>
  </si>
  <si>
    <t xml:space="preserve">Clinic:
Pt refered by Children's hospital Impressions U/L and models are poured and submitted to [DOCTOR] for HLD Dismissed NV: IRec when HLD approves
Referred by children's hospital O: either decompasation tx for the surgery or orthodontic correction to avoid surgery A:severe Cl ll and bimax prognathism P:OJ is 8mm poured cast and submitted for Dentical
</t>
  </si>
  <si>
    <t xml:space="preserve">Clinic:
Placed Lower seperators Put Bands on U6s and cemented NV: Lower Bands and LLA Headgear
</t>
  </si>
  <si>
    <t xml:space="preserve">Clinic:
Replaced upper bands(Dr.[DOCTOR]'s because they are only 2 tubes) with GAC (L:24,R:25) Cemented lower Bands([DOCTOR]'s) (L38+, R:39) Headgear(size 4 short) with High Pull has been adjusted and placed and measured distance between U1s and Bow = 4mm TPA also placed NV: L2-2 Sectional brackets Check distance of HG and re-activate LLA placement
</t>
  </si>
  <si>
    <t xml:space="preserve">Clinic:
Pt did n ot get extractions done sop no bonding today. Pt will get the ext done by next timne. : Classll extraction pattern:U4s &amp; L5s NV: Bonding U/L Continuous Rach aire for Upper and Sectional for lower
</t>
  </si>
  <si>
    <t xml:space="preserve">Clinic:
[DOCTOR] Bonded MiniMaster Brakets except for U7s 0.014 NiTi for U/L HG is adjusted NV: 1.HG check up 2.Class ll molar check up 3. Level and align check up
</t>
  </si>
  <si>
    <t xml:space="preserve">Clinic:
[DOCTOR] PC between to claose sapce on U5-3, L6-4 O-Spring between LL2-LL4 to open up space for LL3 to come in HG: pt has been wearing well==&gt; currently End-on molar class ll due to HG and PC space closure :No adjustment needed. encouraged more night wear(forgot to give WAX) Engage UR2 to archwire (it was not engaged last time due to lack of the space) U: 0.014 NiTi L: 0.014 NiTi NV: 1. Check HG and check molar/canine relationship 2. Check UR2 3. Check space gain between LL2-4 4. Check class ll pattern reciprocal Space closure 5. Check if possible wire step-up, and do that if needed 6. Check Midline
</t>
  </si>
  <si>
    <t xml:space="preserve">Clinic:
[DOCTOR] Wires (0.14 NiTi for U/L both broke) UR6 band came loose ==&gt; recemented U: 0.014 NiTi ==&gt; 20 x 20 NiTi L: 0.014 NiTi ==&gt; 20 x 20 NiTi U: U2-2 steel ligation, class ll elastics(Zebra x 4) to patient in order to put U3s to class l L: O-spring between LL2-4 to open space for canine, which is coming in. R: End-on class ll molar L: End-on class ll molar NV: 1. Step up to 19 x 25 SS or TMA 2. Check Molar/ canine AP correction ==&gt; might need Forsus(?) or wait for growth(?) 3. Check HG 4. Check U/L midline 5. Check space for LL canine
</t>
  </si>
  <si>
    <t xml:space="preserve">Clinic:
[DOCTOR] U: 20x20 NiTi, Bponded UR7 and failed to bond UL7==&gt; need to bond next time and might need a assistance L: 20x20 NiTi Upper midline is off to the right 3mm lower midline is off to the left 1mm Directed pt Unilateral class ll elastics on Left side HG is not needed to be activated since the length of the neck area of HG seems same as last time Bite turbo on upper premolars OH is poor in molar upper area, and inflammed and gum is starting to conver up molar and premolar brackets ==&gt; demonstrated brushing NV: 1. check Upper midline 2. check HG and neck length(8mm last time) and how long pt wears it(ordered to wear 6pm to 7am today) 3. check molar eruption for deep bite correction 4. bond UL7 if can 5. check lower midline
</t>
  </si>
  <si>
    <t xml:space="preserve">Clinic:
[DOCTOR]. U: 19x25 Ant Pre-torqued NiTi, UL7 is bonded again L: 20x20, LR4 is rebonded gingivally and LR7 also rebanded more occlusally R: molar almost classl L: molar end on class ll Upper midline is corrected ==&gt; keep unilateral class ll elastic on L to keep the upper midline corrected HG is not adjusted since it seems same as last time and motivated more hours on wkend and holidays as well as more hrs on wk days. NV. 1. check Upper midline 2. check Molar relationship on R/L 3. may stop unilateral class ll elastic on L 4. check HG 5. Step up AW U: 19x25 SS L:19x25 Niti
</t>
  </si>
  <si>
    <t xml:space="preserve">Clinic:
Took photos.
[DOCTOR] Pt wears elastics and HG and said pt feel a little sore on upper molars, keep same strength but may need to activat next visit U: 21x25 NiTi instead 19x25 SS due to still has lots of reversed curve, next time 19x25 SS L: 19x25 NiTi Class ll elastic on R to correct class ll molar/canine L: class ll full cusp R:almost class l NV. 1. U: 19x25 SS, L: 19x25 SS 2. HG re-check and activate 3. check L/R AP 4. measure OB/OJ 5. Bond LL3 and L7s if they erupted
</t>
  </si>
  <si>
    <t xml:space="preserve">Clinic:
[DOCTOR] U: 21x25 NiTi L: 0.018 NiTi due to LL3 is bonded, also lingual button is bonded on LL3 to close space evenly. Elastics: Only L (class ll) R:class l L:End-on class ll(improved from full cusp) Midline: U: On, L: 1-2mm to L Space: U: still a lot, l: almost closed NV.&lt;&lt;PICTURE @ 2:30PM&gt;&gt;&gt; 1. check LL3 and space btw LL5-5 2. step up L aw to 19x25 NiTi 3. Bond L7s 4. step up Upper Aw to 19x25 SS NNV. 1. TAD btw U5-6 and space closure
</t>
  </si>
  <si>
    <t xml:space="preserve">Clinic:
[DOCTOR] Pt fell on U1s, tx'ed 2 PAs for #8,9 Forgot to schedule PAs U: 19x25 NT, PC UL7-3 to retract UL3 to class l L: 19x25 NT, PC LL3-LR6 to close left over spacebtw LR5-6 and also shift midline to R (1mm off now) Elastics: Impala(6oz,3/16) x2bags Midline: U: off to R 1.5mm// L: off to L 1mm AP: R: Class l molar./canine L: End-on Class ll molar/canine UR6 band got loose so recemented and Bilateral Mesial-Out bend on TPA( to correct mesial rotain of UR6 and increase anchorage of UL6) 2 anchoarges for UR6:(1) HG, (2) Mesial-Out bend on TPA to correct UR canine class ll correction Pulling UL3 to class l (from end-on class ll) with 2 mechanics:(1)PC chain from UL7-3, (2) Class ll elastic on L NV. 1. check AP changes , specially on L 2. check Lower midline correction
</t>
  </si>
  <si>
    <t xml:space="preserve">Clinic:
HG Right side broke Gave a new Size 4 HG after adjustment for fitting PT has been wearing Elastic:L side only very well.
</t>
  </si>
  <si>
    <t xml:space="preserve">Clinic:
[DOCTOR] Pt wearing HG 12 hrs/day LL3 is rotated ==&gt; AW to 0.014 NiTi U: 19x25 TMA ACCS with Closing Loop to close space L: 0.014 NiTi Elastics: Class ll elastics We need maximum anchorage: I mentioned TADs btw U5s-6s, but [DOCTOR] wants to use HG and class ll elastics as a maximum anchorage, Ap: class l R/L Huge OJ (no correction yet) NV. 1. check Uper space closure 2. check AP molar/canine, if lost anchorage then Place TADs btw U5s-6s 3. check OJ and OB and measure them 4. check HG wear and rubber band wear
</t>
  </si>
  <si>
    <t xml:space="preserve">Clinic:
[DOCTOR], U: reactivated Clsed Loop TMA AA, also intrusion is also reactivated L: Bonded LR7, and 0.018 NiTi ==&gt; Need to rebond LL7 more occlusally Elastics: class ll Ap: class l (great) Ant bite turbo lingual on U1s to promote posterior vertical growth to improve anterior deep OB Pt still wearing HG OH is POOR =&gt; recommended better OH to [GUARDIAN] and pt. NV. 1. check AP 2. check space closure on Upper 3. check Upper ant intrusion 4. REBOND LL7 and step up to rectangual AW 5. check Posterior inter arch space
</t>
  </si>
  <si>
    <t xml:space="preserve">Clinic:
[DOCTOR] U: 19x25 TMA with Loops, PC UL3-7 to pull UL canie back to class l, Activated closing loops. L: 20x20 NiTi V-bends on the top of loops to intrude U2-2 more. R: cl l L: 1mm cl ll (lost 1 mm class l) Upper midline is off to R so Class ll elastic on L only. L7 bracket came off NV. (((Photo))) 1. re-cement UL6 bend 2. bobnd LR7 3. check R/L AP 4. checl OB/OJ 5. check space closure. 6. may reactivate closing loops
</t>
  </si>
  <si>
    <t xml:space="preserve">Clinic:
[DOCTOR] U: 20x20 NT ( from Closing loop 19x25 TMA), steel liaation U2-2 and PC UL2-6 to shift Upper midline to L L: 20x20 NT Bonded LR7, UR7, and UL6(band was loose so removed and bonded bracket) Midline: U: off t R 1mm, L: ON OB: 2mm AP: R: cl l, L: cl l OJ: touching all anterior teeth 2mm Space btwn UL2-3 U 2-2 will be extruded and U3-5 will be intruded =&gt; Need to eval NV. 1. check OJ/OB 2. check Upper midline 3. check space clsoure btwn UL2-3 4. check all 7s 5. step up to 19x25 TMA U/L 6. check Transverse and AP
</t>
  </si>
  <si>
    <t xml:space="preserve">Clinic:
[DOCTOR] Class l both sides Space btwn U2s-3s PC U6-6 and Class ll elastics to preserve Upper post anchors U: 17x25 SS ACOS, PC 6-6 L: 19x25 TMA NV. 1. check upper space closure 2. check AP
</t>
  </si>
  <si>
    <t xml:space="preserve">Clinic:
[DOCTOR] U; 17x25 SS, PC 7-7 L: 19x25 TMA, PC7-7 Class ll elastics =Impala OJ: 0.5mm Ap: almost class l Step up bend U2-2 to correct deep bite as well as to increase OJ a little bit NV. 1. check OJ/OB, AP 2. check LR6 mesial out 3. detail
</t>
  </si>
  <si>
    <t xml:space="preserve">Clinic:
[DOCTOR] PANO Repo today: U: none L: L7s and 4s U: 17x25 SS L: 19x25 NT BCT on U2-2 Clas ll elastics NV. 1. check AP and step up L AW to 19x25 TMA 2,. details
</t>
  </si>
  <si>
    <t xml:space="preserve">Clinic:
U: 17x25 SS PC 6-6 L; 17x25 SS PC 6-6 Note 1. Distal to UR2 has 0.5 mm space but no OJ on U1s 2. step out bends on U1s 3. IPRs M/D of L3s to creat more OJ clearance to correct slight class ll 4. No PANO Repo done since it looks good NV. 1. check AP and OJ 2. detail as needed
</t>
  </si>
  <si>
    <t xml:space="preserve">Clinic:
ABO Class ll over 20 DI case. Step down bend on UR3 Step up bend on LR4 Midline is ON class l molar and canine OJ/OB is ideal NV. ABO Debond, need Casts and Records.
</t>
  </si>
  <si>
    <t xml:space="preserve">Clinic:
Patient presents today for: Treatment completion Form signed: Treatment completion Patient arrived on time? y Minor patient accompanied by: [GUARDIAN], [GUARDIAN] [STAFF] Significant Med Hx: * Changes Med Hx: * Dental Hx Changes: has appt. with GP for exam, cleaning soon Prophy needed: y Radiograph needed: * Presenting OH: Needs improvement Compliance: * Alerts: * Describe if Other Alert * Assigned Faculty: * Covering Faculty: Baird Removed: Brackets Describe if Other bands. Appointment notes including results deviating from ideal: Small space distal to UL2 NV: del. TT after final records/xray. Then del. hawley to close UL2 distal space.
</t>
  </si>
  <si>
    <t>Fair</t>
  </si>
  <si>
    <t>Appointments:
Feb 13/18 D0470F C Final Diagnostic Casts Both
Clinic:
ABO impressions with wax bite
Took 2 sets of U/L impressions for TTs and Hawleys</t>
  </si>
  <si>
    <t xml:space="preserve">Clinic:
Patient arrived for delivery of retainers. Patient arrived on time: y Minor patient accompanied by: [GUARDIAN], sis Significant Med/Dental Hx/Changes Med/Dental Hx: * Presenting OH: good Alerts if any: * Faculty assigned: * Covering faculty if different from assigned; [DOCTOR] Type of retainers delivered:: TT Retention protocol: FT, 2 cases given with POIG. Appointments notes: * NV: space distal to UL2 present.Hawleys del
</t>
  </si>
  <si>
    <t>Good</t>
  </si>
  <si>
    <t xml:space="preserve">Clinic:
Patient arrived for delivery of retainers. Patient arrived on time: y Minor patient accompanied by: [GUARDIAN] Significant Med/Dental Hx/Changes Med/Dental Hx: * Presenting OH: good Alerts if any: * Faculty assigned: * Covering faculty if different from assigned; Gibbs Type of retainers delivered:: U/L hawley Retention protocol: FT wear Appointments notes: U labial bow tightened, upper acrylic relieved to close UL2 distal space. Lower labial bow tightened. NV: 1 mo ret check
</t>
  </si>
  <si>
    <t xml:space="preserve">Clinic:
Patient arrived for delivery of retainers. Patient arrived on time: y Minor patient accompanied by: [GUARDIAN] Significant Med/Dental Hx/Changes Med/Dental Hx: * Presenting OH: good Alerts if any: * Faculty assigned: * Covering faculty if different from assigned; Gibbs Type of retainers delivered:: U/L hawley Retention protocol: FT wear, remove when eating now. Appointments notes: U labial bow tightened last visit, upper acrylic relieved to close UL2 distal space. Space is now closed. Lower labial bow tightened. Pt. has been lifting lower retainer on/off with tongue. Lower lingual will aid in maintaining lower arch alignment even though lower labial bow is not right against lower facials. NV: 3 mo ret check
</t>
  </si>
  <si>
    <t xml:space="preserve">Clinic:
Patient arrived for delivery of retainers. Patient arrived on time: y Minor patient accompanied by: [GUARDIAN] Significant Med/Dental Hx/Changes Med/Dental Hx: * Presenting OH: good Alerts if any: * Faculty assigned: * Covering faculty if different from assigned; Boyd Type of retainers delivered:: U/L hawley (broke while playing basketball), here today for U/L TT check Retention protocol: FT wear, remove when eating now. Appointments notes: U/L hawleys broke while playing basketball. Did not bring them today. U/L TT fits well, no spacing upper arch. **[GUARDIAN] says will call to make appt. when she has funds for new U/L hawley. Rec. she return in ~1 month for new hawleys. Meantime wear TT full time.** NV: 4 mo ret check
</t>
  </si>
  <si>
    <t>Clinic:
CC: My front teeth are tucked in and my overbite is too big" ExaM: Straight profile midlines coincident. OJ 5 OB 80%. Class II Canine R/L. End on Class II Molar R/L. Moderate U crowding. Lower AL adequate. Fixed appliances with class II Elastics. Tx time 18-24 months Pt was seen by private practice orthodontist. Was coming here to seek 2nd opinion and alterate financial quote.</t>
  </si>
  <si>
    <t xml:space="preserve">Clinic:
OR .XRayTech
CC" we tried to being ortho tx in Feb, but didnt have finances but now we do" Class II molar/canine relationship, OJ 5 mm, deep bite 80%, 4 mm O NV: patient consult
CC" we tried to being ortho tx in Feb, but didnt have finances but now we do" Class II molar/canine relationship, OJ 5 mm, deep bite 80%, 4 mm O [DOCTOR] recommended LLA w/ Wilson appliance, Class II elastics, bite turbos on 6's, control upper anterior extrusion with possible some intrusion, lower ant incisor intrusion, molar extrusion NV: patient consult
</t>
  </si>
  <si>
    <t>Clinic:
Took initial photos.</t>
  </si>
  <si>
    <t>Clinic:
Did iTero scan for initial record.
Contract and consent signed by mother. RMO bands placed on U/L 6's. Size 21 bands on U6's, and 17's on L6's. Wilson quad helix formed, giving derotation to U6's w/o any expansion or tightening. Wilson LLA formed and placed passively in L6's and contacting cingulum of U2-2. RMO metal brackets positioned and placed on U 1,2's. 0.014 CuNiTi placed, engaged with elastomerics, and crimped. NV: allow 8 weeks derotation, Wilson arch in upper, elastics: Class II elastics (5/16x3oz), 2 elastics x 24/7 ten days, then 1 elast x 24/7 til nxt vst</t>
  </si>
  <si>
    <t>Clinic:
Quad helix removed, adequate U6 derotation achieved. UR6 band became loose, so used BandLock to recement band. Fit #5 Wilson arch into brackets. Bends made to form wilson arch to existing maxillary dentition. Placed springs bilaterally after condensing omega loop. Elastomerics used to engage wire to U2-2. Omega loop opened, thus open coil activated. Pt given 4.5 oz 1/4" elastics to be worn 24/7 besides eating/brushing. NV: check between U5-6 for distalization effort/compliance w/ elastics., reactivate omega loop to condense spring</t>
  </si>
  <si>
    <t>Clinic:
Class I molar on right side, left side still needs activation. Compliance noted as very good. Pt is wearing Class II elastics, space viewed between posterior teeth (between 5-4). Activated omega loop on left side. Instructed patient to continue elastics wear. Retied wire to U3-3. NV: Remove upper wilson bands and LLA. Bond U/L 7-7.</t>
  </si>
  <si>
    <t>Clinic:
Space visible between U5-4's. Removed Upper Wilson arch and LLA. Kept banded 6's present. Bonded UR5-3 and UL5-3 with 0.018 slot Champlin brackets. Bonded L5-5 with 0.018 brackets. Engaged 0.014 CuNiTi wire with elastomerics. NV: Step up wire if possible, start to close space between 5 and 4 with PC, Bond 7's</t>
  </si>
  <si>
    <t>Clinic:
Bonded 7's with 0.18 slot Champlin brackets. Created intrusion arches for U/L with intrusion of U/L2-2. Fabricated wire w/ [DOCTOR] out of 17x22 Elgiloy wire engaging anterior 2-2, bypassing 3-5, and placed into auxillary tube on molar bands. Lower arch: 0.016 CuNiTi placed into orginal slot of lower band, and placed on top of brackets of L2-2 to help with intrusion. 30 degree tip back bend into molar portion of wire. 2-2 PC to help close spaces. Upper arch: 0.016 CuNiTi placed into bracket (piggy-back style), and tied into arch with intrusion arch. Piggy back wire given so that you can control the total intrusion without getting too much. 30 degree tip back bend into molar portion. NV: check intrusion</t>
  </si>
  <si>
    <t>Clinic:
Upper arch: retied upper 0.016 CuNiTi wire Lower arch: want to intrude L3's, so ran 0.016 CuNiTi wire over occlusal bracket pad of L3's, and tied with steel wire to intrusion arch between L1's-2's. Retied with elastomerics NV: step up to 16x22 U/L arches if possible Start thinking about segmental U3-U7, Class II elastics off CAW lower arch.</t>
  </si>
  <si>
    <t>Clinic:
Worked w/ [DOCTOR] wire placed U7-U3, Pt to wear Class II elastics from U3 to L7. NV: check for spaces mesial to U3.</t>
  </si>
  <si>
    <t>Clinic:
Worked w/ [DOCTOR]. Noticed spacing distal to U2's, mother concerned about spacing. Explained spacing is a great byproduct of compliant Class II elastic wear, and we will be closing spaces after molar correction. Pt needs about 2 mm more of molar class II correction, then will consolidate spaces U2-2, then space closure mechanics following. Replaced elastomerics, and instructed patient to continue with elastic wear. Took progress photos. NV: check Class II molar correction</t>
  </si>
  <si>
    <t>Clinic:
Still need 2 mm of Class II correction. High compliance, OH needs to increase (noticed some gingival inflammation/bleeding upon touch). Bent more antirotation bend into Upper wires for rotation of U3s (occured with high compliant elastic wear). PC Upper 2-2 over 0.016 SS wire. Reactivated PC L6-6, steel tied over U4's. Pt to continue wearing elastics. NV: Check Class II correction, start to retract U2-2 with closing loops</t>
  </si>
  <si>
    <t>Clinic:
More Class II correction needed. 2 mm needed on left, 1-2 mm needed on right. OJ is about 2 mm. U2-2 space consolidated. Pt will wear Class II elastics during the day, then add delta Class II from U6-U3-L4 on the right and double Class II elastics on the left at nighttime. NV: check OJ</t>
  </si>
  <si>
    <t>Clinic:
Patient still needs Class II correction bilaterally. Reports excellent compliance with elastics. LL5 debonded and Lower left band was loose, so replaced bracket and recemented band. Gave patient #42 elastics to be worn full time. We expect to see space opening distal to U2's. NV: check compliance, Class II elastics</t>
  </si>
  <si>
    <t>Clinic:
Almost Class I molar/canine bilaterally. Want another month of full time Class II elastics wear. Pt has been very compliant. Will start T-loop closing wires next visit to retract U2-2. Told patient we would close spaces for 3 months, then 4 months additional for finishing for ABO. NV: bend T loops with [DOCTOR]</t>
  </si>
  <si>
    <t>Clinic:
Worked w/ [DOCTOR] correction complete, molar/canine in Class I relationship. Bent U 17x22 Elgiloy wire with torquing turret to give 16 deg lingal root torque. This wire incorporated closing loops created with loop forming pliers just distal to U2's. Activated from U6-6. Gave step up bends to imitate last arch wire. Will jump on 7's at next visit to start aligning with sectionals from U6 auxiliary tube. Pt to wear Class II elastics #33 at night time NV: check space closure, lingual root torque of upper 2-2, reactivate closing loops</t>
  </si>
  <si>
    <t>Clinic:
Spaced distal to U2's consolidated, but spaces opened anterior due to non PC placement. Placed PC U2-2 from mesial wing tie to mesial wing tie. Buccal occlusion in good Class I situation. Worked w/ [DOCTOR] today. NV: If spaces consolidated... Place NiTi wire in U/L to engage and align the U/L 7's. Once 7's align, then step up to CAW SS or TMA Took progress photos (intraoral)</t>
  </si>
  <si>
    <t>Clinic:
OR .XRayTech
Engaged 16x22 Nitinol wire U/L 7-7. PC U6-6, elastomeric tied lower arch. Prescribed 8x8 CBCT progress. Worked w/ [DOCTOR]. Pt to continue #33 Class II elastics FT. NV: review 8x8, reposition prn</t>
  </si>
  <si>
    <t>Clinic:
Spaces closed. Very good Class I buccal occlusion. Reviewed 8x8 iCat w/ [DOCTOR]. Recommended to repo UR6,5 and LR4. Replaced 16x22 NiTi wire w/ PC U/L6-6. NV: occlusal equilibration of U1's, step up to TMA wire U/L Place inset bend U2-2 (place mesial in bend mesial to U2 bilat)</t>
  </si>
  <si>
    <t>Clinic:
TMA upper wire 17x25 CuNiTi lower wire PC U/L6-6. Pt to wear Class II elastics NTO. NV: step up upper wire.</t>
  </si>
  <si>
    <t>Clinic:
Placed 16x22 SS in lower arch and 17x25 SS in upper arch. U7's need more leveling (lingual crown torque). Buccal correction looks very good (Class I molar/canine occlusion). Placed elastomerics NV: place lingual crown torque in U7's (wasn't able to do at previous appt because no band converter tool available)</t>
  </si>
  <si>
    <t>Clinic:
Pt hadn't been wearing nightly Class II elastics. Noticed 3 mm OJ and Class II canine. Spaces had opened up (replaced PC U6-6) Instructed patient to wear Kangaroo Class II elastics FT for next month. NV: place lingual crown torque U7's (LOOK IN CLOSET FOR ALREADY BENT WIRE)</t>
  </si>
  <si>
    <t>Clinic:
Worked w/ [DOCTOR]. Patient has been wearing Class II Kangaroos FT, now back in Class I buccal occlusion. Checked for CO-CR shit, and there was no shift. Removed UL band, repo'd UR7,6,3,1 and UL1,3,6 and stepped down to 16x22 CuNiTi (Sentalloy). Single tied (to let expression of repo occur, and instructed patient to allow spaces to open if necessary). Stepped down to 16x22 SS and remade step up bend between LR5/6. Single tied. U1's repo'd because roots need more divergence for crowns to come together and diastema to close. However, we will see distal marginal ridge dip well below mesial marginal ridge of U1. Had conversation with mother/daughter about getting restorations on U1s due to short crowns already. They are worried about chipping, but informed that restorative materials are strong and teeth will be in a better position then prior to ortho. They understand. Pt will continue Kangaroo Class II FT. NV: close spaces with PC, step up upper wire and give torque for U7's</t>
  </si>
  <si>
    <t>Clinic:
fac- placed power chain upper to close diastema. kept wires. nv- evaluate</t>
  </si>
  <si>
    <t xml:space="preserve">Clinic:
OR .XRayTech
Worked w/ [DOCTOR] step in for U2's, distal root tip for U4's/5's. PC U/L 6-6 NV: WORK WITH [DOCTOR]. evaluate for debond, take xrays/final photos/TWO IMPRESSIONS. ONE FOR ABO, ONE FOR RETAINERS Retention: U/L Hawley (consider settling if any needed. Ask [DOCTOR])
</t>
  </si>
  <si>
    <t>Clinic:
CC: None Teeth well interdigitated, pt is ready for debond next month. Instructed pt to wear triangle elastics during the day and Class II elastics at night. Pt understood and left satisfied. Elastics: Kangaroo :) Faculty: [DOCTOR]: Debond! Take xrays/final photos/2 impressions. One for ABO, one for retainers, send patient for CBCT.</t>
  </si>
  <si>
    <t>Appointments:
Jan 13/17 D0470F C Final Diagnostic Casts Both
Clinic:
ABO impressions with wax bite
Took U/L impressions for HawleysClinic:
Debonded patient. Patient now well aligned and Class I molar, slightly class II canine/premolar bilat. Patient very happy with results. 2/2 OB/OJ. Patient signed ABO record sheet and took final CBCT, then was sent to [STAFF] for final ABO records. Retention: U Hawley w/ BP, L Hawley</t>
  </si>
  <si>
    <t>Clinic:
RETAINER CHECK Patient is compliant and wearing retainers full time. Patient understands importance of retainers. Asked about Vivera, might consider switching in August. Next appt: June 2017</t>
  </si>
  <si>
    <t>Clinic:
RETAINER CHECK L incisor rotation noted. LL1 - Hawley adjusted and will see patient back in July for follow-up. Next appt: July 2017</t>
  </si>
  <si>
    <t>Clinic:
Patient presents today for retainer check. Patient arrived on time? yes, early Minor patient accompanied by: mother Significant Med Hx: * Changes Med Hx: no changes Dental Hx Changes: no changes Presenting OH: Good Alerts: * Describe if Other n/a Faculty: [DOCTOR] completion date: 03/08/2017 Presenting retention protocol: NT only U/L Hawley Compliance: Good Significant findings: rotation corrected after adjustment frm previous appt Changes to protocol: none, L acrylic trimmed to be more gingival (too incisal according to faculty) NV: PRN</t>
  </si>
  <si>
    <t>Clinic:
Patient presents today for retainer check. Patient arrived on time: yes Minor patient accompanied by: Mother Significant Med/Dental Hx/Changes Med/Dental Hx: Yes Presenting OH: Good Alerts if any: Taking propranolol Prophy needed? No Radiogrraph needed? no Faculty assigned: * Covering faculty if different from assigned; * Patient completion date: 1/14/2017 Presenting retention protocol: Every day at night Compliance: Poor, only wears 2 nights/week Significant findings: LL2 moved Bu ~1mm Changes to retention protocol: None NV: 1 weekto deliver new Mx trutain</t>
  </si>
  <si>
    <t>Clinic:
Retainer Delivery: Mx TT Fit well and pt comfortable For first couple of weeks advised pt to wear Mx TT for as long as she can (full time preferable). NV:</t>
  </si>
  <si>
    <t>Clinic:
CC: I was referred from GKAS. MHx: ADHD. Takes Ritalin (since 4-5th grade). Straight profile with no asymmetries. Class II molars and Class II end-on canines. 100% impinging over bite. OJ: 1 mm. Adequate arch lengths. Midlines coincident. No TMJ issues. DentiCal casts taken. NV: Initial records</t>
  </si>
  <si>
    <t>Clinic:
Took Initial records: scan and photos</t>
  </si>
  <si>
    <t>Clinic:
No CC. Tx options presented and informed consent obtained. ABO impressions taken with [STAFF]. UPPER: Placed separators btw 5-6's. Bond 3-3 and 7's with MBT Victory brackets. 7's bonded more mesially for rotation. Placed 21x25 Copperloy (40 deg) with bilateral open coils. Oral hygiene and diet instruction given. Pt has not been flossing regularly. Pt has cleaning appt in October with UOP pediatric clinic. Seen with [DOCTOR]. NV: Band 6's. Check oral hygiene.</t>
  </si>
  <si>
    <t>Clinic:
CC: I felt the wires in the back poking me. - Seen with [DOCTOR]: Separators still present. Seated and banded #34 [DOCTOR] bands with TPA sheaths. Placed anterior bite turbos lingual to the upper 2's. Ensured bite opening due to turbos. Placed 21x25 Copperloy (40 deg) wire with bilateral active coil springs. Instructed pt to continue to bite normally. Pt was starting to put her lower teeth behind the bite turbos. Intraoral pictures taken. NV: 1. Check molar occlusion and upper anterior torque 2. Intraoral pictures</t>
  </si>
  <si>
    <t>Clinic:
CC: I think one of the wires came out. - Seen with [DOCTOR]. UL6 has gingival tissue overgrowth UPPER: Placed bite turbos on 1's. Adjusted turbos to achieve even contact. Placed new 21x25 Copperloy (40 deg). Steel-tie UR3 and UL2-3. NV: 1. Intraoral pictures with [STAFF] 2. Check molar occlusion and upper anterior torque. NNV: 1. Lower bonding</t>
  </si>
  <si>
    <t>Clinic:
No CC. - Seen with [DOCTOR]. UPPER: Placed bite turbo on UR1 and modified bite turbo on UL1. Placed 016 SS sectional 3-3. Placed 17x25 TMA intrusion arch from 6's to the center of the 1's (ligated by steel-tie). Figure-8 the 3's. Intraorals taken with [STAFF]. NV: 1. Evaluate intrusion/proclination 2. Intraoral/extraoral with [STAFF] NNV: 1. Lower bonding</t>
  </si>
  <si>
    <t>Clinic:
Took progress photos.
ADJ. No CC. - Seen with [DOCTOR] proclination of upper incisors. Tongue noted between upper and lower dentition when patient is closing. Asked pt to try not to put tongue in the area. UPPER: Placed 17x25 TMA from 6-6 with tip-back bends mesial to the upper 6's (~30 deg). Figure-8 ties from 3-3. LOWER: Bonded 7-7 except 6's with Victory brackets. Placed separators mesial to the 6's. Placed 016 Nitinol. Figure-8 ties. Intraorals with [STAFF]. NV: 1. Vertical elastics? 2. Band 6's 3. Replace 016 Nitinol on lower</t>
  </si>
  <si>
    <t>Clinic:
ADJ. No CC. - Seen with [DOCTOR]. UPPER: Increased tip-back bend to ~45 deg. Figure-8 ties from 3-3. LOWER: Seated and cemented bands [[DOCTOR]] on 6's. Placed 16x22 Nitinol. Figure-8 ties 4-5's. NV: 1. Continue leveling the lower arch --&gt; bigger rectangular wire 2. IOE/EOE with [STAFF] afterwards</t>
  </si>
  <si>
    <t>Clinic:
Took progress photos.
ADJ. CC: Two of my brackets are loose. - Seen with [DOCTOR]: Bond U4-5's with Victory brackets. Placed 16x22 Nitinol. UL4 bracket broke off during wire placement. LOWER: Rebond LR1 and LR5 with Victory brackets. Replaced 16x22 Nitinol. Pictures with [STAFF] NV: 1. Rebond UL4 Victory bracket</t>
  </si>
  <si>
    <t>Clinic:
ADJ. No CC. - Seen with [DOCTOR]5 bracket was loose. UPPER: Rebonded UR5 and UL4 Victory bracket. Rebanded UL6 with a band with HG tube. 17x25 TMA with step-up (gingival) to 3-5's. LOWER: 17x25 rCOS Nitinol. PC 6-6. Bite turbos on 6's. Instructed pt to wear Cl-II elastics ferom U3's to L6's with #32 (3/16", 4.5 oz) elastics. NV: 1. Continue archwire sequence 2. Pictures</t>
  </si>
  <si>
    <t>Clinic:
ADJ. No CC. - Seen with [DOCTOR]'s dad and pt reported good compliance with elastics. Intraorals with [STAFF]. UPPER: Placed 19x25 TMA. LOWER: Replaced 17x25 rCOS Nitinol. Closed PC 6-6. Instructed pt to continue Cl-II elastics with #42. NV: 1. 19x25 or 18x25 SS U/L 2. Deliver Forsus!</t>
  </si>
  <si>
    <t>Clinic:
ADJ with father. No CC. - Seen with [DOCTOR]: Victory Pt reported mediocre compliance with elastics. OJ: 5-7 mm UPPER: Placed 19x25 SS (modified from lower SS arch, upper SS arch not available) with large cinch-backs. LOWER: Placed 17x25 SS with reverse curve. Closed PC 6-6. Gave pt #42 elastics and wax. Reinforced elastic compliance. Informed parent (dad) to reinforce compliance. NV: 1. Lower 19x25 SS 2. Deliver Forsus</t>
  </si>
  <si>
    <t>Clinic:
ADJ with father. No CC. - Seen with [DOCTOR]: Victory Pt's LR5 bracket was debonded. UPPER: Re-tie. (19x25 SS) LOWER: Rebonded LR5 bracket. Placed 19x25 SS (not 100% seated in LR5 bracket). Delivered Forsus (29 mm on both sides). Informed parent of the purpose of Forsus. IOE with [STAFF] NV: Evaluate molar occlusion.</t>
  </si>
  <si>
    <t>Clinic:
ADJ with mother. No CC. - Seen with [DOCTOR]: Victory Pt's O-ties were not on the L3's. L3's moved lingually, esp. LL3. UPPER: Re-tie LOWER: Placed 014 CuNITI overlay from 5-5, engaging the L3's. Steel-tie L4's. Placed Forsus (25 mm on both sides) distal to the L4's. NV: 1. Evaluate molar occlusion and L3 positions 2. Pictures afterwards</t>
  </si>
  <si>
    <t>Clinic:
Took progress photos.
ADJ with father. No CC. - Seen with [DOCTOR]: Victory Pt will not need to remove her braces bc radiologist able to take MRI above the oral cavity (according to father). UPPER: Re-tie LOWER: Re-tie with steel-ties on L3's Activated Forsus with one splint crimp bilaterally. NV: Continue Forsus activation</t>
  </si>
  <si>
    <t>Clinic:
OR LAl- Space developed distal to upper 2s. OJ=0, ob 2 mm. Cl III molar relationship, expanded intermolar distance. Gums severely inflamed and overgrew the wire, bands, and brackets of U6s and 7s, and lower anteriors. [DOCTOR] recommended removing the bands and allowing gums to heal. Instead, wire cut distal to UR6, and decision to remove bands was postponed until patient is seen with [DOCTOR] in 2 weeks. Consulted with [DOCTOR] regarding today’s appointment: Removed forsus U: 19x25 ss, closed pc 6-6 (over the HG tube on UL6 since hook was embedded in the gum) L: same wire, cinched back, single ties (wire not fully seated over lower 3s brackets)</t>
  </si>
  <si>
    <t>Clinic:
ADJ. CC: One of my brackets is broken. And, I am biting on my cheek on the left. - Seen with [DOCTOR]: Victory Pt has almost 100% deep bite. U/L incisors in contact. Spaces noted distal to U2's. LR1 bracket loose. Generalized gingival hyperplasia. Pt has just started taking Zoloft a couple weeks ago. Zoloft has a rare side effect of gingival hyperplasia. UPPER: Placed 19x25 rCOS that extends from UL7 to UR6 (could not get wire through gingival on UR7). Placed light PC 6-6. LOWER: Rebonded LR1 Victory. Placed 19x25 rCOS. Instructed pt to perform better OH and to use wax on the left side. Pt understands. Father says he will talk to the physician tomorrow (5/12/15) about the medications. NV: F/u on medical consult (Zoloft; gingival enlargement) Continue opening the bite and closing the upper spaces.</t>
  </si>
  <si>
    <t>Clinic:
No CC. - Seen with [DOCTOR]: Victory Pt still taking Zoloft and has in fact increased dosage in the last two weeks. Pt will be seeing physician tomorrow (6/9/15) to discuss options. Spaces noted distal to U2's UPPER: Replaced 19x25 rCOS that extends from UL7-UR6. PC 6-6. LOWER: Replaced 19x25 rCOS. Instructed pt to wear Cl-II elastics with #32. NV: F/u on medical consult (Zoloft; gingival enlargement) Continue bite opening and upper space closing</t>
  </si>
  <si>
    <t>Clinic:
No CC. - [DOCTOR]:  Pt switched to . Upper gingiva improved. Spaces distal to U2's. UPPER: Placed anterior bite turbos to open bite. Replaced 19x25 rCOS that extends from UL7-UR6. PC 6-6. LOWER: Replaced 19x25 rCOS. Instructed pt to continue Cl-II elastics with #32. NV: 1. Eval OJ/OB 2. Continue bite opening and upper space closing (may have to consider building up laterals)</t>
  </si>
  <si>
    <t>Clinic:
ADJ UPPER: Replaced 19x25 accCOS Nitinol LOWER: Placed 19x25 TMA Instructed pt to wear Cl-II elastics (?) NV: Continue AW sequence and finishing</t>
  </si>
  <si>
    <t>Clinic:
CMFT VISIT CC: Wire poking on UR. Cut poking wire. Pt left satisfied</t>
  </si>
  <si>
    <t>Clinic:
ADJ - [DOCTOR]: Placed 19x25 SS with PC 6-6 LOWER: Replaced 19x25 TMA NV: Models
ADJ - [DOCTOR] was not feeling well. Spaces noted distal to U2's, U3's, and LL6 UPPER: Placed 19x25 SS with PC 6-6 and finishing bends: U7's - LCT LOWER: Replaced 19x25 TMA with PC LL7-LR6 and finishing bends: LR7 - step-occ LL5 - D-occ Instructed pt to continue to wear Cl-II elastics with #32. Pt reported poor compliance due to discomfort from braces and getting sick. NV: Models with [STAFF]. Continue finishing bends. Check for OJ in order to close spaces; otherwise, build-up laterals.</t>
  </si>
  <si>
    <t>Clinic:
ADJ - [DOCTOR] is back on Celebra (?) that causes gingival inflammation. Informed parent (dad in person; mom over the phone) that we will remove the braces by December. Pt forgot to wear her elastics. UPPER: Placed 17x25 SS with PC 6-6. LOWER: Replaced 19x25 TMA Instructed pt to wear Cl-II elastics with #32. Reinforced elastic wear. Models taken with [STAFF]. NV: Check models and check occlusion. Debond eval NNV: Debond</t>
  </si>
  <si>
    <t>Clinic:
ADJ - [DOCTOR]: Microarch Pt's gingiva is inflammed. Will be debonding at next appt. UPPER: Replaced 17x25 SS with PC 6-6 and finishing bends (1) U6 - mesial intrusion; (2) UL2 - DO LOWER: Replaced 19x25 TMA with: (1) L6 - mesial intrusion; (2) L2-2 - intrusion Instructed pt to continue Cl-II elastics with Rams. NV: Debond and final records with [STAFF] NNV: Deliver retainer</t>
  </si>
  <si>
    <t>Clinic:
DEBOND Debonded patient. Sent pt for final ABO records with [STAFF]. NV: Deliver retainer</t>
  </si>
  <si>
    <t>Clinic:
RET DEL - [DOCTOR]/L Hawleys after adjustments and activation of UL lingual spring. Gave care and wear instructions. NV: Observe settling</t>
  </si>
  <si>
    <t>Clinic:
RET CK Adjusted U/L Hawleys. U2's in better position NV: Take ABO models and transfer pt to [DOCTOR]</t>
  </si>
  <si>
    <t>Clinic:
Took upper impression for Hawley
Took lower impression Hawley</t>
  </si>
  <si>
    <t>Clinic:
RET DEL Delivered U/L Hawleys after adjustments. Gave an extra retainer case. NV: Retainer check</t>
  </si>
  <si>
    <t>Clinic:
Retainer check Pt reported that she lost her lower retainer. U retainer acrylic has worn away, no longer retentive Adjusted U labial bow to be more retentive. Prescribed new U and L Hawley retainers NV: impression for U and L Hawley</t>
  </si>
  <si>
    <t>Clinic:
Impression for U and L Hawleys</t>
  </si>
  <si>
    <t>Clinic:
Pt presented for Hawley delivery apt U and L hawley retainers do not fit, even after adjusting Took new U and L impressions for new hawely fabrication NV: retainer delivery</t>
  </si>
  <si>
    <t>Clinic:
Delivered U and L Hawley retainers Adjusted and tightened on upper, adjusted and removed acrylic on LL6 Fitting well NV: 1 mo retainer check</t>
  </si>
  <si>
    <t>Clinic:
Retainer Check. no cc U and L hawley fitting well. adjusted finger spring for lower incisor. tightened upper labial bow NV: 3 mo retainer check</t>
  </si>
  <si>
    <t>Xrays taken</t>
  </si>
  <si>
    <t>Photos taken</t>
  </si>
  <si>
    <t>Intra Oral Scanning Taken</t>
  </si>
  <si>
    <t>Active Traction</t>
  </si>
  <si>
    <t>Space closure sliding mechanics</t>
  </si>
  <si>
    <t>Space closure loop mechanics</t>
  </si>
  <si>
    <t>Teeth Pain</t>
  </si>
  <si>
    <t>Upper Active movement</t>
  </si>
  <si>
    <t>Lower Active movement</t>
  </si>
  <si>
    <t>Unilateral Posterior Crossbite</t>
  </si>
  <si>
    <t>Bilateral Posterior Crossbite</t>
  </si>
  <si>
    <t>Active Tooth Traction</t>
  </si>
  <si>
    <t>Arch Coordination</t>
  </si>
  <si>
    <t>Class I elastic</t>
  </si>
  <si>
    <t>Class II elastic</t>
  </si>
  <si>
    <t>Class III elastic</t>
  </si>
  <si>
    <t>Cross Elastic</t>
  </si>
  <si>
    <t>NiTi Closing Spring</t>
  </si>
  <si>
    <t>Intrusion Arch</t>
  </si>
  <si>
    <t>Upper Retainer</t>
  </si>
  <si>
    <t>Lower Retainer</t>
  </si>
  <si>
    <t>Upper Arch Accentuated Curve of Spee</t>
  </si>
  <si>
    <t>Upper Arch Reverse Curve of Spee</t>
  </si>
  <si>
    <t>Lower Arch Accentuated Curve of Spee</t>
  </si>
  <si>
    <t>Lower Arch Reverse Curve of Spee</t>
  </si>
  <si>
    <t>Lower Arch Curve of Spee</t>
  </si>
  <si>
    <t>Clinic:
Male Pt presents with [PARENT] for Initial Orthodontic Consultation Note: * On time: yes Covering Faculty: [DOCTOR] Chief Concern: " "braces" referred by dentist " RMHx: No contraindications to today's consultation. Significant Findings: retained primary lower molar RDHx: [DENTAL CLINIC] - mom says restorative and perio up to date. Need to verify. EOE: WNL IOE: WNL R Molar Classification: 2 L Molar Classification: 2 TMJ: ( No ) Crepitus, ( No ) , No Clicking of TMJ, Pain on Palpation, ( No ) Hx of Trauma Recommendations: Yes Records to be taken, CBCT ( Full + Report ) , IO and EO photographs, Scan/Models of Maxillary and Mandibular Arches. y NV: Consultation of Tx Options, Begin Tx upon approval</t>
  </si>
  <si>
    <t>Clinic:
Male presents for consulation and bonding of U/L arches CC: "braces" . RMHx: Pt denies any changes Significant Findings: * RDHx: pt denies any changes No contraindications to today's tx Has pt had cleaning since last visit? Yes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Appliance System: Euro MBT Upper Wire: .014 NiTi 5-5 Lower Wire: .014 NiTi LL6-LR4 Mechanics Note: need to extract LRE before extending wire to LR6. OCS to create space for UL3 NV: 1 week for band cementation, spacers placed for U6s</t>
  </si>
  <si>
    <t>Clinic:
BAND CEMENTATION U6 bands cemented. GAC UR/UL 25. Consider delivering cervical pull headgear at next visit (aquarium video shown to patient and mother about cervical pull headgear) Talked to [DENTAL CLINIC] - patient has restorative appt on June 26. Scheduled wire out appt - restorative on #5O. Next appt: June 2017</t>
  </si>
  <si>
    <t>Clinic:
Removed arch wires prior to dental cleaning.</t>
  </si>
  <si>
    <t>Clinic:
APPLIANCE ADJUSTMENT Retie. UR6 band removed since #3 needs PRR according to GP. Appt for extraction 6/30/17 and restorative 7/3/17. UAW: .014 NiTi LAW: .014 NiTi Faculty: [DOCTOR] Next appt: July 2017</t>
  </si>
  <si>
    <t>Clinic:
Patient presents for appliance adjustment. Patient arrived on time: yes, early Minor patient accompanied by: mother and father Significant Med/Dental Hx/Changes Med/Dental Hx: no changes Presenting OH: Good Alerts if any: * Describe if other alert: n/a Prophy needed? No Radiogrraph needed? No Faculty assigned: [DOCTOR] Covering faculty if different from assigned; [DOCTOR] Compliance: Good Molar/Canine: 2/2 OJ/OB: not measured today UAW: .014 NiTi LAW: .014 NiTi Elastics: none Appointment notes: separators placed for U6 band cementation at next visit; reactivate spring for UL3 and bond R6s at next appt NV: July 2017</t>
  </si>
  <si>
    <t>Clinic:
Patient presents for appliance adjustment. Patient arrived on time: yes, early Minor patient accompanied by: [PARENT] Significant Med/Dental Hx/Changes Med/Dental Hx: no chanes Presenting OH: Good Alerts if any: * Describe if other alert: * Prophy needed? No Radiogrraph needed? No Faculty assigned: [DOCTOR] Covering faculty if different from assigned; [DOCTOR] Compliance: Good Molar/Canine: 2/2 OJ/OB: not measured today Treatment progress evaluation: good UAW: .014 NiTi LAW: .014 NiTi Elastics: none Appointment notes: cemented UR6 band, reactivated OCS NV: Augsut 2017 - next appt, bond all 6/7s and step up wire</t>
  </si>
  <si>
    <t>Clinic:
Patient presents for appliance adjustment. Patient arrived on time: yes Minor patient accompanied by: [PARENT] Significant Med/Dental Hx/Changes Med/Dental Hx: no changes Presenting OH: Needs improvement Alerts if any: * Describe if other alert: * Prophy needed? No Radiogrraph needed? No Faculty assigned: [DOCTOR] Covering faculty if different from assigned; [DOCTOR] Compliance: Good Molar/Canine: 2/2 OJ/OB: not measured tdoay, large overjet! Treatment progress evaluation: level and align still UAW: .014 Sentalloy LAW: .014 Sentalloy Elastics: none Appointment notes: LR5-LR6 brackets bonded. UL3 engaged in wire and LR5. Bite turbos U6s. Next visit, deliver CPHG and consider bonding all 7s. NV: September 2017</t>
  </si>
  <si>
    <t>Clinic:
Patient presents for appliance adjustment. Patient arrived on time: yes Minor patient accompanied by: [PARENT] Significant Med/Dental Hx/Changes Med/Dental Hx: cleaning scheduled tomorrow Presenting OH: Good Alerts if any: * Describe if other alert: * Prophy needed? No Radiogrraph needed? No Faculty assigned: [DOCTOR] Covering faculty if different from assigned; [DOCTOR] Compliance: Good Molar/Canine: 2/2 OJ/OB: not measured today Treatment progress evaluation: level and align, LR6 bracket rebonded. 7s will be tomorrow after prophy - too much plaque on molars currently UAW: no wire LAW: no wire Elastics: * Appointment notes: see above please NV: tomorrow, bond 7s and .018 Sentalloy U/L</t>
  </si>
  <si>
    <t xml:space="preserve">Clinic:
Patient presents for comfort visit. Patient arrived on time: yes, early Minor patient accompanied by: [PARENT] CC: wire in after prophy Appointment notes: .018 Sentalloy U and .016 Sentalloy L placed after prophy Faculty: [DOCTOR] NV: bond 7s (couldn't today bc of fluoride tx), October 2017
</t>
  </si>
  <si>
    <t>Clinic:
Patient presents for appliance adjustment. Patient arrived on time: yes Minor patient accompanied by: [PARENT] Significant Med/Dental Hx/Changes Med/Dental Hx: * Presenting OH: Good Alerts if any: * Describe if other alert: * Prophy needed? No Radiogrraph needed? No Faculty assigned: [DOCTOR] Covering faculty if different from assigned; [DOCTOR] Compliance: Good Molar/Canine: II/II OJ/OB: not measured today Treatment progress evaluation: level and align, bonded 7s today (LL7 debonded at end of appt, rebond at following visit) UAW: .018 Sentalloy LAW: 16x22 Sentalloy Elastics: none Appointment notes: deliver CPHG at next visit and rebond LL7, step up AW to U/L 19x25 NiTi NV: see above, Wednesday AM for HG delivery</t>
  </si>
  <si>
    <t>Clinic:
Patient presents for appliance adjustment. Patient arrived on time: yes, early Minor patient accompanied by: [PARENT] Significant Med/Dental Hx/Changes Med/Dental Hx: no changes Presenting OH: Good Alerts if any: * Describe if other alert: * Prophy needed? No Radiogrraph needed? No Faculty assigned: [DOCTOR] Covering faculty if different from assigned; [DOCTOR] Compliance: Good Molar/Canine: II/II OJ/OB: not measured, large OJ, deep bite Treatment progress evaluation: bonded LL7 again, delivered CPHG UAW: 19x25 Sentalloy LAW: 19x25 Sentalloy Elastics: none Appointment notes: instructed patient how to use CPHG, 12-14 hours per day, will see back in 3 weeks to check progress NV: with [DOCTOR], eval OJ/step up wires?</t>
  </si>
  <si>
    <t>Clinic:
Patient presents for appliance adjustment. Patient arrived on time: yes Minor patient accompanied by: [PARENT] Significant Med/Dental Hx/Changes Med/Dental Hx: no changes Presenting OH: good Alerts if any: * Describe if other alert: * Prophy needed? no Radiogrraph needed? no Faculty assigned: [DOCTOR] Covering faculty if different from assigned; [DOCTOR] Compliance: good Molar/Canine: end on R, full cusp L OJ/OB: not measured today - measure next time! Treatment progress evaluation: * UAW: 19x25 TMA Pitts broad LAW: 19x25 SS Elastics: none Appointment notes: patient didn't bring HG, told patient to wear it one hole tighter until he brings it in at the next visit. UL7 debonded at end of appt. rebond at next visit please NV: January 2018, eval OJ/cl II, replace missing brackets/check loose bands</t>
  </si>
  <si>
    <t xml:space="preserve">Clinic:
Patient presents for appliance adjustment. Patient arrived on time: yes Minor patient accompanied by: [PARENT] Significant Med/Dental Hx/Changes Med/Dental Hx: no changes Presenting OH: good Alerts if any: * Describe if other alert: * Prophy needed? no Radiogrraph needed? no Faculty assigned: [DOCTOR] Covering faculty if different from assigned; [DOCTOR] Compliance: good Molar/Canine: end on R, full cusp L OJ/OB: not measured today Treatment progress evaluation: * UAW: 19x25 NiTi LAW: 19x25 SS Elastics: cl II bear R/L Appointment notes: HG at night and cl II elastics at night. UL7 bracket bonded and UR6 band recemented. NV: February 2018, app adj
</t>
  </si>
  <si>
    <t>Clinic:
Patient presents for appliance adjustment. Patient arrived on time: yes, early Minor patient accompanied by: [PARENT]  Significant Med/Dental Hx/Changes Med/Dental Hx: no changes Presenting OH: good Alerts if any: * Describe if other alert: * Prophy needed? no Radiogrraph needed? no Faculty assigned: [DOCTOR] Covering faculty if different from assigned; [DOCTOR] Compliance: good Molar/Canine: * OJ/OB: * Treatment progress evaluation: not much change, switched to hole 8-9 (3rd from end still) UAW: 19x25 NiTi, recemented UR6 LAW: 19x25 SS Elastics: cl II bear R/L day time, and HG at night Appointment notes: consider HG until July, after that, make decision to ext U4s if needed NV: March 2018</t>
  </si>
  <si>
    <t>Code:
Patient's [PARENT]  informed resident that patient cannot miss school due to an important event - asked to rescehdule appt.</t>
  </si>
  <si>
    <t>Clinic:
Patient presents for appliance adjustment. Patient arrived on time: yes Minor patient accompanied by: [PARENT]  Significant Med/Dental Hx/Changes Med/Dental Hx: no change, slight abrasion noted UL 3 gingiva near MGJ - check next time - likely acute trauma Presenting OH: good Alerts if any: * Describe if other alert: * Prophy needed? scheduled for 3/30 Radiogrraph needed? no Faculty assigned: [DOCTOR] Covering faculty if different from assigned; [DOCTOR] Compliance: good Molar/Canine: * OJ/OB: * Treatment progress evaluation: couuldn't wear headgear for few weeks bc strap broken. replaced strap today. make EXT decision in august/september (maybe during transfer) UAW: 19x25 NiTi LAW: 19x25 SS, reduced PC 6-6 Elastics: kangaroo daytime Appointment notes: recemented U bands with fuji cement this time - UR24 and UL25 - no UL24 available and had to use next size up NV: check cl II and OJ - April 2018</t>
  </si>
  <si>
    <t>Clinic:
remove wires for cleaning</t>
  </si>
  <si>
    <t>Clinic:
Patient presents for comfort visit. Patient arrived on time: yes Minor patient accompanied by: [PARENT]  CC: wire in after prophy Appointment notes: see above please Faculty: [DOCTOR] NV: April 2018, for app adj</t>
  </si>
  <si>
    <t>Clinic:
Patient presents for appliance adjustment. Patient arrived on time: yes, early Minor patient accompanied by: [PARENT]  Significant Med/Dental Hx/Changes Med/Dental Hx: no change Presenting OH: * Alerts if any: * Describe if other alert: * Prophy needed? no Radiogrraph needed? no Faculty assigned: [DOCTOR] Covering faculty if different from assigned; [DOCTOR] Compliance: good Molar/Canine: L looks cl I, CR/CO shift may be presen OJ/OB: * Treatment progress evaluation: * UAW: 19x25 NiTi, reduced PC LAW: 19x25 SS, closed PC Elastics: bear daytime, HG nighttime Appointment notes: see above NV: May 2018, eval cl II, midlines, OJ, CR/CO shift</t>
  </si>
  <si>
    <t>Clinic:
Patient presents for appliance adjustment. Patient arrived on time: yes, early Minor patient accompanied by: [PARENT]  Significant Med/Dental Hx/Changes Med/Dental Hx: no change - wears HG well Presenting OH: great Alerts if any: * Describe if other alert: * Prophy needed? no Radiogrraph needed? yes, next visit Faculty assigned: [DOCTOR] Covering faculty if different from assigned; same Compliance: great! Molar/Canine: I/I 1 mm remaining on L OJ/OB: anterior contact arleady Treatment progress evaluation: * UAW: 19x25 NiTi, retie LAW: 19x25 SS, IPR lower 3-3 0.1 per contact Elastics: bear L full time, R NT Appointment notes: see above please NV: review CBCT / pano and repo PRN, June 2018</t>
  </si>
  <si>
    <t>Clinic:
Patient presents for appliance adjustment. Patient arrived on time: yes Minor patient accompanied by: [PARENT]  Significant Med/Dental Hx/Changes Med/Dental Hx: no change Presenting OH: great Alerts if any: * Describe if other alert: * Prophy needed? no Radiogrraph needed? no, cbct today - eval with faculty Faculty assigned: [DOCTOR] Covering faculty if different from assigned; same Compliance: good Molar/Canine: cl II R/L OJ/OB: excess OJ Treatment progress evaluation: still cl II. evaluated progress cbct. LL5 needs mesial root tip and mR issues UL4-5-6. no repo today, though, in order to continue wtih cl II mechanics. address later. today, placed root tip bend on LL5 UAW: 19x25 NiTi, retie LAW: 19x25 SS Elastics: kangaroo, daytime R/L and headgear NT Appointment notes: see above NV: August 2018,e val OJ and change U wire to TMA</t>
  </si>
  <si>
    <t>Clinic:
Patient presents for appliance adjustment. Patient arrived on time: yes Minor patient accompanied by: [PARENT]  Significant Med/Dental Hx/Changes Med/Dental Hx: no change Presenting OH: good! Alerts if any: * Describe if other alert: * Prophy needed? no Radiogrraph needed? no, taken in june Faculty assigned: [DOCTOR] Covering faculty if different from assigned; same Compliance: great Molar/Canine: R is slightly cl III OJ/OB: ideal OBOJ Treatment progress evaluation: R needs to rebound. once back to class I, start finishing bends or repo based on june cbct UAW: 19x25 TMA LAW: 19x25 SS Elastics: none Appointment notes: changed U wire NV: September 2018, with new resident, introduced pt to [DOCTOR]</t>
  </si>
  <si>
    <t>Code:
reviewed case with [DOCTOR] and [DOCTOR]. detailing bends needed or full repo - decide with faculty at next visit.</t>
  </si>
  <si>
    <t>Clinic:
Patient presents for appliance adjustment. Patient arrived on time: yes Minor patient accompanied by: [PARENT]  Significant Med/Dental Hx/Changes Med/Dental Hx: * Presenting OH: good Alerts if any: * Describe if other alert: * Prophy needed? * Radiogrraph needed? * Faculty assigned: [DOCTOR] Covering faculty if different from assigned; * Compliance: good Molar/Canine: CL III R OJ/OB: * Treatment progress evaluation: * UAW: 19*25 TMA LAW: 19*25 SS Elastics: Bear Appointment notes: CR-CO shift noted, run CL II both sides, aiming shift to be resolved, and run elastic to correct midline. NV: check CR-CO shift</t>
  </si>
  <si>
    <t>Clinic:
Removed arch wires for cleaning appointment.</t>
  </si>
  <si>
    <t>Clinic:
Patient presents for appliance adjustment. Patient arrived on time: yes Minor patient accompanied by: [PARENT]  Significant Med/Dental Hx/Changes Med/Dental Hx: * Presenting OH: good Alerts if any: * Describe if other alert: * Prophy needed? * Radiogrraph needed? * Faculty assigned: [DOCTOR] Covering faculty if different from assigned; * Compliance: good Molar/Canine: 2 OJ/OB: * Treatment progress evaluation: * UAW: 19*25 tma LAW: 19*25 ss Elastics: bear R side day time Appointment notes: restart HG, CR-CO shift presents, no pain during TMJ examination, but clicking sounds NV: *</t>
  </si>
  <si>
    <t>Clinic:
Patient presents for appliance adjustment. Patient arrived on time: yes Minor patient accompanied by: [PARENT]  Significant Med/Dental Hx/Changes Med/Dental Hx: * Presenting OH: good Alerts if any: * Describe if other alert: * Prophy needed? * Radiogrraph needed? * Faculty assigned: [DOCTOR] Covering faculty if different from assigned; cl i molar without shift R, cl ii L. space present on top Compliance: Good Molar/Canine: * OJ/OB: * Treatment progress evaluation: * UAW: 19*25 tma LAW: 19*25 ss Elastics: kangaroo cl II both sides Appointment notes: PC U6-6 NV: *</t>
  </si>
  <si>
    <t>Clinic:
Patient presents for appliance adjustment. Patient arrived on time: yes Minor patient accompanied by: [PARENT]  Significant Med/Dental Hx/Changes Med/Dental Hx: * Presenting OH: good Alerts if any: * Describe if other alert: * Prophy needed? * Radiogrraph needed? * Faculty assigned: [DOCTOR] Covering faculty if different from assigned; * Compliance: good Molar/Canine: * OJ/OB: * Treatment progress evaluation: * UAW: 19*25 tma LAW: 19*25 ss Elastics: kangaroo cl ii R only, Appointment notes: retie, continue HG, remove bite turbo NV: *</t>
  </si>
  <si>
    <t>Clinic:
Patient presents for appliance adjustment. Patient arrived on time: yes Minor patient accompanied by: [PARENT]  Significant Med/Dental Hx/Changes Med/Dental Hx: * Presenting OH: * Alerts if any: * Describe if other alert: * Prophy needed? * Radiogrraph needed? * Faculty assigned: * Covering faculty if different from assigned; * Compliance: * Molar/Canine: * OJ/OB: * Treatment progress evaluation: * UAW: 19*25 tma LAW: 19*25 ss Elastics: CL II L only bear Appointment notes: CR-CO shift 1 mm, midline off 1mm, no midline discrepancy WO shifting NV: debond</t>
  </si>
  <si>
    <t xml:space="preserve">Appointments:
Apr 12/19 D0470F C Final Diagnostic Casts Both
</t>
  </si>
  <si>
    <t>Clinic:
Patient arrived for delivery of retainers. Patient arrived on time: yes Minor patient accompanied by: * Significant Med/Dental Hx/Changes Med/Dental Hx: * Presenting OH: * Alerts if any: * Faculty assigned: * Covering faculty if different from assigned; * Type of retainers delivered:: * Retention protocol: * Appointments notes: deliver TT, fitting good NV: bond U3-L6</t>
  </si>
  <si>
    <t>Clinic:
Patient presents today for retainer check. Patient arrived on time: yes Minor patient accompanied by: * Significant Med/Dental Hx/Changes Med/Dental Hx: * Presenting OH: * Alerts if any: * Prophy needed? * Radiogrraph needed? * Faculty assigned: * Covering faculty if different from assigned; * Patient completion date: * Presenting retention protocol: * Compliance: * Significant findings: TT crack on UL3 Changes to retention protocol: TT NTO NV: *</t>
  </si>
  <si>
    <t>Clinic:
Patient presents today for retainer check. Patient arrived on time: yes Minor patient accompanied by: [PARENT]  Significant Med/Dental Hx/Changes Med/Dental Hx: No Presenting OH: Good Alerts if any: * Prophy needed? * Radiogrraph needed? * Faculty assigned: [DOCTOR] Covering faculty if different from assigned; [DOCTOR] (approved new TT U/L) Patient completion date: 04/12/2019 Presenting retention protocol: TT U/L NTO Compliance: Good Significant findings: UL3 Bu crack extending to incisal edge L TT has several occlusal cracks but have not gone through Changes to retention protocol: * NV: Deliver new retainer, no cost per [DOCTOR]</t>
  </si>
  <si>
    <t xml:space="preserve">Clinic:
Delivered repalcement U/L TT (no cost per [DOCTOR]): - U/L TT fitting well - Protocol: NTW - Gave care instructions NV: 6 month recall
</t>
  </si>
  <si>
    <t>Clinic:
Patient presents today for retainer check. Patient arrived on time: Yes Minor patient accompanied by: [PARENT]  Significant Med/Dental Hx/Changes Med/Dental Hx: No Presenting OH: Good Alerts if any: * Prophy needed? No Radiogrraph needed? No Faculty assigned: [DOCTOR] Covering faculty if different from assigned; [DOCTOR] Patient completion date: 4/12/2019 Presenting retention protocol: U/L TT NTW Compliance: Excellent Significant findings: Patient forgot to bring retainers with him, but patient stated that he isn't experiencing any issues with them. Retention is looking good. Changes to retention protocol: Continue U/L TT NTW NV: 12 mo recall</t>
  </si>
  <si>
    <t>Clinic:
Patient presents today for retainer check. Patient arrived on time: Yes Minor patient accompanied by: [PARENT]  Significant Med/Dental Hx/Changes Med/Dental Hx: * Presenting OH: Good Alerts if any: * Prophy needed? No Radiogrraph needed? No Faculty assigned: [DOCTOR] Covering faculty if different from assigned; * Patient completion date: 4/12/2019 Presenting retention protocol: U/L TT NTW Compliance: Excellent Significant findings: No relapse noted. Retainers fitting well. Changes to retention protocol: Continue U/L TT NTW. Patient understands no future visit is needed at this time. NV: None planned.</t>
  </si>
  <si>
    <t>Clinic:
Pt has broke his old retainers, could be due to bruxism. pt requested to get viveras over TT. scan taken and deposit paid.</t>
  </si>
  <si>
    <t>Clinic:
Patient arrived for delivery of retainers. Patient arrived on time: yes Minor patient accompanied by: [PARENT]  Significant Med/Dental Hx/Changes Med/Dental Hx: no change Presenting OH: good Alerts if any: * Faculty assigned: [DOCTOR] Covering faculty if different from assigned; * Type of retainers delivered:: Viv Retention protocol: NTW Appointments notes: Viveras fit well, went over proper home care, pt had no questions NV: retainer check PRN</t>
  </si>
  <si>
    <t>Clinic:
OR 52 [DOCTOR] to 12 y Female presents for consulation and bonding of U/L arches CC: My dentist suggested braces . RMHx: Pt denies any changes Significant Findings: * RDHx: pt denies any changes No contraindications to today's tx Has pt had cleaning since last visit? Unanswered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 [DOCTOR] (txp w [DOCTOR]) Appliance System: Victory brackets U+L 6-6 (upper 4s and lower 5s not bracketed - to be extracted) Upper Wire: None Lower Wire: None Mechanics Note: will need to repo UL2,3,5 at future appt NV: Post-extraction U4s, L5s; Insertion of archwire</t>
  </si>
  <si>
    <t>Clinic:
Bond material removed, teeth re-etched and bonded, and brackets replaced. Turbos placed on U6s lingual cusps using Triad gel. Worked w [DOCTOR].</t>
  </si>
  <si>
    <t>Clinic:
Extraction sites healing nicely - pt reports no pain. Pt reported missing brackets - UR6, LR6. Brackets were rebonded. Archwire placed U+L and steel-tied 3+6 (avoiding PMs). Bite turbos were replaced on U6s. Worked w [DOCTOR]. NV:</t>
  </si>
  <si>
    <t>Clinic:
Poking wire on UR steel tie</t>
  </si>
  <si>
    <t>Clinic:
Pt lost LR6 bracket and it was rebonded. Switched to .018 lower, and .018x.018 upper wires. Steel tied UR2 to better engage wire, and 3 was steel tied to 6 (bypassing the PMs) in all 4 quadrants. OH was reviewed w the pt. Worked w [DOCTOR]. NV: Appliance adjustment. Consider moving up to rectangular Niti wires.</t>
  </si>
  <si>
    <t>Clinic:
Assisted [DOCTOR] who took photos for patient.
Progress photos taken. U+L 7s were bonded and tied in to U+L .018x.018 Niti wires. Steel tied 3-6 in all four quadrants. Bite turbos replaced. NV: Consider moving up to 19x25 Niti then maybe TMA/SS.</t>
  </si>
  <si>
    <t>Clinic:
New wires placed 18x25 Niti U and L tied in from 7-7. Continued 3-6 steel ligature mechanics in all four quadrants. PC LR2 (mesial) to LL4 (mesial). Pt instructed to wear elastics - 4.5oz (bear) on R side only from U3 to L6. ww: [DOCTOR] NV: Consider stepping up wires.</t>
  </si>
  <si>
    <t>Clinic:
Step up to 18x25 SS upper w ACOS to intrude incisors, steel lace and PC 3-3. Step up to 17x25 SS lower w PC LR2-LL4. No longer steel tying 3-6 in all quadrants. Bear elastics UR3-LR6 on both sides. ww: [DOCTOR] NV: PC 6-6?</t>
  </si>
  <si>
    <t>Clinic:
Wire slightly disengaged from LL4 - M-in rotation. Moved down to 17x25 Nit to re-engage LL4, single ties, and PC LL6-LL4. U wire at 18x25 SS w ACOS single tied. Steel laced 3-3. Pt reports full-time wear of elastics (class 1 R, class 2 L end-on), pt told to continue. ww: [DOCTOR] NV: Steel lace U3-3 under the wire. Evaluate rotation of LL4. Eval space closure.</t>
  </si>
  <si>
    <t>Clinic:
Appliance adjustment ACOS added to upper wire (18x25 SS) and UL5 steel-tied to help get it in arch (tooth displaced slightly lingually). U3-3 steel laced under wire. RCOS added to lower 17x25 SS wire and light PC 6-6. Class 1 molar on L, Class 2 end-on on R. Pt told to continue class 2 elastics U3-L6s. ww: [DOCTOR] nv: Eval UL5 alignment. Continue RCOS/ACOS mechanics</t>
  </si>
  <si>
    <t>Clinic:
Appliance adjustment. Pt wearing elastics well. Class 1 molars bilaterally. Discussed w [DOCTOR] about growth direction and possible of extrusion of molars and opening the bite - may need to place palatal and/or buccal MIs to hold U6 position. Pt continuing class 2 elatics (bear) U3-L6 bilaterally. Upper: 18x25 SS w ACOS added Lower: 17x25 SS w RCOS added ww: [DOCTOR] nv: Eval need for MI placement to autorotate MN (reduce MPA) based on lat ceph tracing</t>
  </si>
  <si>
    <t>Clinic:
removed wire for cleaning apt.
Replaced wires after prophy. Steel laced U3-3</t>
  </si>
  <si>
    <t>Clinic:
Patient presents for appliance adjustment. Patient arrived on time: Yes Minor patient accompanied by: * Significant Med/Dental Hx/Changes Med/Dental Hx: * Presenting OH: Good Alerts if any: * Describe if other alert: * Prophy needed? * Radiogrraph needed? No Faculty assigned: [DOCTOR] Covering faculty if different from assigned; [DOCTOR] Compliance: Good Molar/Canine: 1/1 bilaterally OJ/OB: 2mm / 2mm Treatment progress evaluation: class 1 molars and canines w ideal ob/oj but spaces remaining. CBCT taken today to determine need for MIs to anchor U6s and pano/repo UAW: 18x25 SS 7-7 w ACOS LAW: 17x25 SS 7-7 w RCOS Elastics: bear U3-L6 bilaterally Appointment notes: Added more ACOS/RCOS to archwires at this visit NV: Determine need for MIs and/or pano-repo</t>
  </si>
  <si>
    <t>Clinic:
Patient presents for appliance adjustment. Patient arrived on time: Yes Minor patient accompanied by: * Significant Med/Dental Hx/Changes Med/Dental Hx: * Presenting OH: Good Alerts if any: * Describe if other alert: * Prophy needed? No Radiogrraph needed? * Faculty assigned: [DOCTOR] Covering faculty if different from assigned; [DOCTOR] Compliance: Good Molar/Canine: class 1 molars bilaterally OJ/OB: 2mm / 2mm Treatment progress evaluation: Achieved class 1 molars bilaterally UAW: .018 NITI 7-7 w steel lace 3-3 LAW: .018 NITI 7-7 Elastics: None Appointment notes: Pano Repo: UR5, UR2, UR1, LR4, LL3 NV: Eval alignment</t>
  </si>
  <si>
    <t>Clinic:
On Time: Y Presenting OH: Good Prophy needed: No Radiographs needed: None Faculty: [DOCTOR] Compliance: NA Buccal occlusion: Class 1 molars bilaterally OJ/OB: 2mm/2mm Observations: Spacing in upper and lower arch remains Today: Stepped up wires and PC upper and lower UAW: 19x25 niti PC 6-6 LAW: 19x25 niti PC 5-5 Elastics: bear class 2 bilaterally fulltime NV: Band U6s (double tube) for MI-TPA intrusion for posterior and intrusion arch for anterior</t>
  </si>
  <si>
    <t>Clinic:
More than enough space for seps - seps not placed. Replaced wire out of LL7. [PARENT] signed release for MI placement</t>
  </si>
  <si>
    <t>Clinic:
Patient presents for appliance adjustment. Patient arrived on time: yes Minor patient accompanied by: * Significant Med/Dental Hx/Changes Med/Dental Hx: * Presenting OH: Needs improvement Alerts if any: * Describe if other alert: * Prophy needed? Yes Radiogrraph needed? * Faculty assigned: [DOCTOR] Covering faculty if different from assigned; * Compliance: Good Molar/Canine: 2mm class 2 on L, 1mm class 2 on R OJ/OB: 2mm / 2mm Treatment progress evaluation: going well. space distal toLR5 UAW: 19x25 niti LAW: 19X25 niti (note LL7 bracket bent on distall) Elastics: bear class 2 bilat full time Appointment notes: switched out U6 brackets for bands. bent tpa for intrusion but did not fit it at this appt NV: deliver TPA. MI for intrusion. Extrusion arch upper</t>
  </si>
  <si>
    <t>Clinic:
Patient presents for appliance adjustment. Patient arrived on time: yes Minor patient accompanied by: * Significant Med/Dental Hx/Changes Med/Dental Hx: * Presenting OH: Needs improvement Alerts if any: * Describe if other alert: * Prophy needed? * Radiogrraph needed? No - last Aug 17 Faculty assigned: [DOCTOR] Covering faculty if different from assigned; * Compliance: Good Molar/Canine: 1mm class 2 on R OJ/OB: 2mm / 2mm Treatment progress evaluation: going well. space distal toLR6 UAW: 17x25 TMA LAW: 17x25 TMA (note LL7 bracket bent on distal) w PC extending to LR7 Elastics: bear class 2 bilat full time Appointment notes: switched out U6 brackets for bands. Did not fit TPA at this appiontment; plan was to do so in at least 17x25 SS wires. || Pt not interested in TPA intrusion. Explained reason for intrusion to pt and she stated that the gummy smile was not of any concern to her and that she'd prefer to not do the intrusion (pt concerned about the pain although I explained to pt that she would be numb, and that we could try and stop if she did think it were painful). NV: If not doing intrusion, detailing bends? || Eval space distal to LR6</t>
  </si>
  <si>
    <t>Clinic:
Patient presents for appliance adjustment. Patient arrived on time: yes Minor patient accompanied by: Friend [FRIEND] Significant Med/Dental Hx/Changes Med/Dental Hx: * Presenting OH: Okay Alerts if any: * Describe if other alert: * Prophy needed? Yes. Pt graduated from pedo and has number to call to schedule registration/screening/prophy in main clinic Radiogrraph needed? No - last Aug 17 Faculty assigned: [DOCTOR] Covering faculty if different from assigned; [DOCTOR] Compliance: Good Molar/Canine: 1mm class 2 bilaterally OJ/OB: 2mm / 2mm Treatment progress evaluation: Space distal to LR6 closed. U incisors retroclined UAW: 19x25 SS LAW: 19x25 SS w PC extending to LR7 Elastics: bear class 2 bilat full time Appointment notes: NOT DOING U ARCH INTRUSION. Stepped up wires to help express more torque upper/lower to allow for class 2 correction NV: Eval incisor inclinations upper/lower and class 2 correction.</t>
  </si>
  <si>
    <t>Clinic:
Patient presents for appliance adjustment. Patient arrived on time: yes Minor patient accompanied by: Mom Significant Med/Dental Hx/Changes Med/Dental Hx: * Presenting OH: Okay Alerts if any: * Describe if other alert: * Prophy needed? Yes. In process of scheduling appts in main clinic Radiogrraph needed? No - last Aug 17 Faculty assigned: [DOCTOR] Covering faculty if different from assigned; [DOCTOR] Compliance: Excellent Molar/Canine: &lt;1mm class 2 bilaterally OJ/OB: 2mm / 2mm Treatment progress evaluation: U incisors less retroclined. Silght space distal to UR3 UAW: 19x25 SS w PC 6-6 LAW: 19x25 SS w PC 6-6 Elastics: bear class 2 bilat full time, then kangaroo at night when she runs out Appointment notes: More torque of U incisors expected to be expressed w archwire || Not adjusting MRs of LR4 for risk of opening up ext space NV: Eval incisor inclinations upper/lower and class 2 correction.</t>
  </si>
  <si>
    <t>Clinic:
Patient presents for appliance adjustment. Patient arrived on time: yes Minor patient accompanied by: Mom Significant Med/Dental Hx/Changes Med/Dental Hx: * Presenting OH: Okay Alerts if any: * Describe if other alert: * Prophy needed? Yes Radiogrraph needed? No - last Aug 17 Faculty assigned: [DOCTOR] Compliance: Excellent Molar/Canine: &lt;1mm class 2 bilaterally OJ/OB: 2mm / 2mm (need more OJ to correct AP) Treatment progress evaluation: U incisors less retroclined, but still upright UAW: 19x25 SS single tied (steel lace only 2-2) LAW: 19x25 SS w PC 6-6 Elastics: Kangaroo class 2 bilat full time Appointment notes: More torque of U incisors expected to be expressed w archwire. Goal is to procline incisors, and then bodily retract (instead of root torque) || Not adjusting MRs of LR4 for risk of opening up ext space NV: Eval incisor inclinations upper/lower and class 2 correction.</t>
  </si>
  <si>
    <t>Clinic:
Patient presents for appliance adjustment. Patient arrived on time: yes Minor patient accompanied by: Self Presenting OH: Okay Prophy needed? Yes Radiogrraph needed? No - last Aug 17 Faculty assigned: [DOCTOR] Compliance: Excellent Molar/Canine: &lt;1mm class 2 bilaterally. Midlines on. OJ/OB: 2mm / 2mm (need more OJ to correct AP) Treatment progress evaluation: U incisors less upright than before. Slight space distal to U2s UAW: 19x25 SS w PC 6-6 LAW: 19x25 SS w PC 6-6 Elastics: Kangaroo class 2 bilat full time Appointment notes: PC to close spaces. || Not adjusting MRs of LR4 for risk of opening up ext space NV: Debond eval. Debond scheduled for 9/5 as per pt's request.</t>
  </si>
  <si>
    <t>Clinic:
Patient presents for appliance adjustment. Patient arrived on time: yes Minor patient accompanied by: cousin [COUSIN] Presenting OH: Okay Prophy needed? Yes - rescheduled appts in main clinic Radiogrraph needed? No - last Aug 17 Faculty assigned: [DOCTOR] Compliance: Excellent Molar/Canine: Class 1 molars/canines bilat. Midlines on. OJ/OB: 2mm / 2mm Treatment progress evaluation: U incisors less upright than before. No spaces present UAW: 19x25 SS w PC 6-6 LAW: 19x25 SS w PC 6-6 Elastics: Kangaroo class 2 bilat full time Appointment notes: Not adjusting MRs of LR4 for risk of opening up ext space NV: Debond!!!</t>
  </si>
  <si>
    <t>Clinic:
COMFORT VISIT Wire not in bracket on LL7. Adjusted wire to fit in LL7 tube.</t>
  </si>
  <si>
    <t>Appointments:
Sep 5/18 D0470F C Final Diagnostic Casts Both
Clinic:
Took U/L impressions for Hawley (Blue Color)
Patient presents today for: Treatment completion Form signed: Treatment completion Patient arrived on time? Yes Minor patient accompanied by: [FAMILY] Significant Med Hx: * Changes Med Hx: * Dental Hx Changes: * Prophy needed: Yes Radiograph needed: Yes - being taken today Presenting OH: Needs improvement Compliance: Good Alerts: * Describe if Other Alert * Assigned Faculty: [DOCTOR] Covering Faculty: * Removed: Brackets Describe if Other U6 bands Appointment notes including results deviating from ideal: Gummy smile - pt was not interested in tx to improve this NV: Retainer delivery - pink or blue?</t>
  </si>
  <si>
    <t xml:space="preserve">Clinic:
Patient arrived for delivery of retainers. Patient arrived on time: Yes Minor patient accompanied by: * Significant Med/Dental Hx/Changes Med/Dental Hx: - Presenting OH: Average - lots of staining present Alerts if any: * Faculty assigned: [DOCTOR] Covering faculty if different from assigned; [DOCTOR] Type of retainers delivered:: U/L hawleys Retention protocol: fulltime Appointments notes: Adjusted U/L hawleys. Hawley bow on U not straight but could not be adjusted to make it so. Sight bounce on UL, but will wait for some settling before attempting to adjust it more. Reviewed wear/care instructions w pt and delivered retainer cases. NV: 1mo retention check
</t>
  </si>
  <si>
    <t>Clinic:
Patient presents today for retainer check. Patient arrived on time: yes Minor patient accompanied by: * Significant Med/Dental Hx/Changes Med/Dental Hx: No Presenting OH: good Alerts if any: * Prophy needed? * Radiogrraph needed? no Faculty assigned: [DOCTOR] Covering faculty if different from assigned; [DOCTOR] Patient completion date: Sept 18 Presenting retention protocol: U/L Hawleys FT Compliance: Good Significant findings: Both retainers fit well, no wobbling, adequate retention. Teeth do not appear to have shifted since debond records. Pt has not noticed any tooth movement and is happy with current alignment Changes to retention protocol: none, continue FT NV: 3 mo ret chcek</t>
  </si>
  <si>
    <t>Clinic:
Patient presents today for retainer check. Patient arrived on time: yes Minor patient accompanied by: * Significant Med/Dental Hx/Changes Med/Dental Hx: No Presenting OH: good Alerts if any: * Prophy needed? No Radiogrraph needed? no Faculty assigned: [DOCTOR] Covering faculty if different from assigned; * Patient completion date: Sept '18 Presenting retention protocol: U/L Hawley FT Compliance: good Significant findings: Both retainers fit well, no complaints or movement of teeth. Changes to retention protocol: Nt wear, more prn NV: 6 mo ret check</t>
  </si>
  <si>
    <t>Clinic:
Patient presents today for retainer check. Patient arrived on time: yes Minor patient accompanied by: * Significant Med/Dental Hx/Changes Med/Dental Hx: No Presenting OH: good Alerts if any: * Prophy needed? No Radiogrraph needed? no Faculty assigned: [DOCTOR] Covering faculty if different from assigned; * Patient completion date: Sept '18 Presenting retention protocol: U/L Hawleys NT Compliance: good, pt wearing extra Significant findings: Teeth still in good alignment. Retainers fit well Changes to retention protocol: none. Continue NT wear NV: 1 year ret check</t>
  </si>
  <si>
    <t>Clinic:
Pt presented for retainer check Arrived on time: yes MHx: No Pt completion date: Sept 18 Retention protocol: U/L Hawley NT Findings: Teeth in good alignment, have settled well. Spaces are all closed. Pt misses braces No NV scheduled. Let pt know that she is welcome back any time for adjustments or retainer checks.</t>
  </si>
  <si>
    <t>Clinic:
Patient presents to the clinic with a "crack in my lower retainer". Lower hawley retainer has a small hairline crack right where the wire is on the lingual side of the lower hawley retainer between L 4/5. Let patient know that at this time we don't recommend getting a new retainer. Insturcted patient that if the retainer was to break in that area that indicates a good time to change retainers and that it would be a charge of $250. Overall fit of U/L hawley retainers fitting well. Patient understnads, all questions answered. Future appointments as needed.</t>
  </si>
  <si>
    <t>Clinic:
Male Pt presents with [PARENT] for Initial Orthodontic Consultation Note: plays soccer On time: on time Covering Faculty: [DOCTOR] Chief Concern: " I dont like how my tooth sticks out (UR3) " RMHx: No contraindications to today's consultation. Significant Findings: End on m/c bilaterally 7mmOJ, deep ob Severely rotated UR3, LR3 minimally erupted and has minimal space to errupt RDHx: Pt has general dentist, no caries present at this time EOE: Straight profile IOE: End on m/c bilaterally 7mmOJ, deep ob Severely rotated UR3, LR3 minimally erupted and has minimal space to errupt R Molar Classification: 2 L Molar Classification: 2 TMJ: ( No ) Crepitus, ( No ) , No Clicking of TMJ, Pain on Palpation, ( No ) Hx of Trauma Recommendations: No Records to be taken, CBCT ( Full + Report ) , IO and EO photographs, Scan/Models of Maxillary and Mandibular Arches. Full tx child fixed NV: Consultation of Tx Options, Begin Tx upon approval</t>
  </si>
  <si>
    <t>Clinic:
Took initial photos.
Patient was seen by [DOCTOR] and [DOCTOR]</t>
  </si>
  <si>
    <t xml:space="preserve">Clinic:
Male presents for consulation and bonding of U/L arches CC: UR3 sticks out . RMHx: Pt denies any changes Significant Findings: crowding RDHx: pt denies any changes No contraindications to today's tx Has pt had cleaning since last visit? No Tx: Discussed at length all RBA to treatment, discussed all findings on Radiographic Report, Presented Powerpoint Informed Consent, pt expressed understanding, had all questions answered, and would like to begin tx. All contracts and consents have been reviewed and signed by all parties. Covering Faculty:[DOCTOR] Appliance System: .018 MBT brackets from U/L 5-5. Placed seps on M and D of U6's Upper Wire: .014 Damon Niti Lower Wire: .014 Damon Niti Mechanics Note: level and align, OCS niti from LR2-4 NV: Bond L6's, Band U6's. Engage LR3 if possible
</t>
  </si>
  <si>
    <t>Clinic:
Bonded L6's, banded U6's with .018 champlain bands with vertical sheath. Appliance: .018 MBT brackets U:.014 Niti Damon L:.014 Niti Damon with OCS niti from LR2-4 with one bracket width length activation NV: TPA</t>
  </si>
  <si>
    <t>Clinic:
Brackets UL6 and L6's broken off Rebonded. U/L wires: .016Niti Damon OCS with stop from LR2-4 NV:TPA</t>
  </si>
  <si>
    <t>Clinic:
ADJ APT- Pt seen with [DOCTOR] cc-none Prob List: Skeletal/dental cl II, Deep bite, proclined U incisors w/minimal incisal display Today: Spacing opening up mesial to UR3, No TPA will be necesarry for this case OB:4mm/OJ:6mm U:.016 Niti L:.016 Niti with M wing of LR3 bracket steel tied to wire. NV/NNV: Bond 7's + Repo LR2 and place 16x22 Niti once 7's bonded</t>
  </si>
  <si>
    <t>Clinic:
ADJ APT- cc- going to mexico for over a month Prob List: Skeletal/dental cl II, Deep bite, proclined U incisors w/minimal incisal display U:.016 Niti re-tied L:.016 Niti with M wing of LR3 bracket steel tied to wire. retied NV: Bond 7's + Repo LR2 and place 16x22 Niti once 7's bonded</t>
  </si>
  <si>
    <t>Clinic:
ADJ APT-no cc Prob List: Skeletal/dental cl II, Deep bite, proclined U incisors w/minimal incisal display Today: Bonded U/L 7's, repo'd LR2 U: 16x22 Niti L:.16x22 Niti; steel tied LR2, LR1</t>
  </si>
  <si>
    <t xml:space="preserve">Clinic:
ADJ APT-no cc. Seen with [DOCTOR] Prob List: Skeletal/dental cl II, Deep bite, proclined U incisors w/minimal incisal display. Planning on elastics or forsus Today: U: 16x22 Niti Retied L:..018 Nitii; steel tied LR2 Mesial wing NV:Rebond L7's. Repo L3's, and maybe L2's. Progress to SS on upper.
</t>
  </si>
  <si>
    <t>Clinic:
ADJ APT-no cc. Seen with [DOCTOR] Prob List: Skeletal/dental cl II, Deep bite, proclined U incisors w/minimal incisal display. Planning on elastics or forsus Today: U: 16x22 SS L:..018 Nitii. REPO'd L3's, L2's. Rebonded L6's and 7's NV:Rebond UL7, PC U</t>
  </si>
  <si>
    <t>Clinic:
ADJ APT-no cc. Seen with [DOCTOR] Appliance: .018 MBT Prob List: Skeletal/dental cl II, Deep bite, proclined U incisors w/minimal incisal display. Planning on elastics or forsus Today: Pt debonded 6 brackets! Rebonded UL7, UL4, L6's and L7's U: 16x22 Niti L:.16x16 Niti</t>
  </si>
  <si>
    <t>Clinic:
ADJ APT-no cc. Seen with [DOCTOR], usually [DOCTOR] Appliance: .018 MBT Prob List: Skeletal/dental cl II, Deep bite, proclined U incisors w/minimal incisal display. Planning on elastics or forsus Today: Pt debonded LR 6 and LR7 Rebonded . U: 16x22 Niti L:.16x16 Niti</t>
  </si>
  <si>
    <t>Clinic:
ADJ APT-no cc. Seen with [DOCTOR], usually [DOCTOR] Appliance: .018 MBT Prob List: Skeletal/dental cl II, Deep bite, proclined U incisors w/minimal incisal display. Planning on elastics or forsus Today: Pt debonded LR 6 and LR7..again.. Rebonded . U: 16x22 Niti L:.16x16 SS NV: check bands</t>
  </si>
  <si>
    <t>Clinic:
ADJ APT-no cc. Seen with [DOCTOR], usually [DOCTOR] Appliance: .018 MBT Prob List: Skeletal/dental cl II, Deep bite, proclined U incisors w/minimal incisal display. Planning on elastics or forsus Today: UL band loose-rebanded U: 16x22 SS L:.16x16 SS pc to close some spaces Elatics: Impala cl ii NV:</t>
  </si>
  <si>
    <t>Clinic:
ADJ APT-no cc. Seen with [DOCTOR] Appliance: .018 MBT Prob List: Skeletal/dental cl II, Deep bite, proclined U incisors w/minimal incisal display. Planning on elastics or forsus Today: UL band loose-rebanded again, wire cut distal to UL6 U: 16x22 Sentaloy PC6-6 L:.16x16 Sentaloy PC7-7. Rebonded LR7 (pt had debonded) NV: RC on L when in SS, AP correction</t>
  </si>
  <si>
    <t>Clinic:
ADJ APT-no cc. Seen with [DOCTOR] Appliance: .018 MBT Prob List: Skeletal/dental cl II, Deep bite, proclined U incisors w/minimal incisal display. Planning on elastics or forsus Today: LL6 debonded. rebonded U: 16x22 Sentaloy PC6-6 L:.16x16 Sentaloy PC7-7. Rebonded LR7 (pt had debonded) NV: RC on L when in SS, AP correction</t>
  </si>
  <si>
    <t>Clinic:
ADJ APT-no cc. Seen with [DOCTOR], usually [DOCTOR] Appliance: .018 MBT Prob List: Skeletal/dental cl II, Deep bite, proclined U incisors w/minimal incisal display. Planning on elastics or forsus Today: OH: good U: 16x22 SS PC6-6 L:.16x22 Sentaloy PC7-7 NV: RC on L when in SS, AP correction</t>
  </si>
  <si>
    <t xml:space="preserve">Clinic:
ADJ APT-no cc. Seen with [DOCTOR], usually.[DOCTOR] Appliance: .018 MBT Prob List: Skeletal/dental cl II, Deep bite, proclined U incisors w/minimal incisal display. Planning on elastics or forsus Today: OH: good U: 16x22 SS PC6-6 L:.16x22 SS PC7-7 Placed FOrsus today edge to edge NV: AP correction
</t>
  </si>
  <si>
    <t>Clinic:
ADJ APT-no cc. Seen with [DOCTOR], usually.[DOCTOR] Appliance: .018 MBT Prob List: Skeletal/dental cl II, Deep bite, proclined U incisors w/minimal incisal display. Planning on elastics or forsus Today: OH: good U: 16x22 SS PC6-6 L:.16x22 SS PC7-7 Replaced Forsus arm to 32 today (previously 25). aka reactivated. NV: AP correction consider IPR3-3 and PC</t>
  </si>
  <si>
    <t>Clinic:
Patient presents for appliance adjustment. Patient arrived on time: y Minor patient accompanied by: * Significant Med/Dental Hx/Changes Med/Dental Hx: * Presenting OH: Needs improvement Alerts if any: * Describe if other alert: * Prophy needed? Yes Radiogrraph needed? Yes Faculty assigned: [DOCTOR] Covering faculty if different from assigned; * Compliance: * Molar/Canine: bilat 1mm class 2 OJ/OB: 2mm / 2mm &lt; hitting on thick MRs Treatment progress evaluation: class 2 correction appears to be progressing UAW: 16x22 SS LAW: 16x22 SS Elastics: NONE Appointment notes: Reduced MRs on U2-2 to provide clearance for retraction NV: Will need to step down LL2, and adjust torque on U1s to match</t>
  </si>
  <si>
    <t>Clinic:
Patient presents for appliance adjustment. Patient arrived on time: y Minor patient accompanied by: * Significant Med/Dental Hx/Changes Med/Dental Hx: * Presenting OH: Needs improvement Alerts if any: * Describe if other alert: * Prophy needed? Yes Radiogrraph needed? Yes Faculty assigned: [DOCTOR] Covering faculty if different from assigned; * Compliance: * Molar/Canine: Class 1 OJ/OB: 2mm / 2mm &lt; hitting on thick MRs Treatment progress evaluation: class 1 achieved UAW: 018 niti to recapture UR6 which debonded upon forsus removal LAW: 17x25 TMA Elastics: Bear class 2 (change at next visit to shorty vector or delta) Appointment notes: Removed forsus. Replaced broken UR6 and UL5 brackets NV: Step down LL2, and adjust torque on U1s to match || change elastics pattern</t>
  </si>
  <si>
    <t>Clinic:
Patient presents for appliance adjustment. Patient arrived on time: yes Minor patient accompanied by: * Significant Med/Dental Hx/Changes Med/Dental Hx: * Presenting OH: Needs improvement Alerts if any: * Describe if other alert: * Prophy needed? Yes Radiogrraph needed? Yes - to be scheduled for nxt visit Faculty assigned: [DOCTOR] Covering faculty if different from assigned; Cole Compliance: * Molar/Canine: Class 1 OJ/OB: 2mm / 2mm &lt; hitting on thick MRs (reduced today) Treatment progress evaluation: class 1 achieved UAW: 018 niti to recapture UL5 which had broken off LAW: 17x25 niti to recapture LR7 (rebonded for bracket position) Elastics: Bear class 2 Appointment notes: Replaced broken LR7 and UL5 brackets. || reduced marginal ridges of U2-2 and incisal edge of LL2 NV: adjust torque on U1s to match. Eval pano</t>
  </si>
  <si>
    <t>Clinic:
Spoke to dad about rescheduling 3p appt on 4/4 to 2:30 or for a different day. Dad will get back to me.</t>
  </si>
  <si>
    <t>Clinic:
SLOT Patient presents for appliance adjustment. Patient arrived on time: yes Minor patient accompanied by: * Significant Med/Dental Hx/Changes Med/Dental Hx: * Presenting OH: Fair. Reviewed risk of WSL w pt - some developing in interproximal areas? Prophy needed? Yes - called mom to schedule, but no response Radiogrraph needed? Taken today - to be evaluated before nv. Faculty assigned: [DOCTOR] Covering faculty if different from assigned; [DOCTOR] Compliance: Pt states he wears elastics "sometimes" Molar/Canine: Class 1 OJ/OB: 2mm / 2mm Treatment progress evaluation: class 1 achieved UAW: 16x22 niti 7-7 LAW: 16x22 niti 7-7 Elastics: Bear class 2 nights only Appointment notes: Replaced broken LR5 brackets. Changed wires - engaging all 7s. NV: Reband UL6 (loose) and consider rebonding UR6 || More torque needed on U1s?</t>
  </si>
  <si>
    <t>Clinic:
SLOT Patient presents for appliance adjustment. Patient arrived on time: yes Minor patient accompanied by: * Significant Med/Dental Hx/Changes Med/Dental Hx: * Presenting OH: Fair. Potential developing WSL Prophy needed? Yes Radiogrraph needed? No - taken 4/18 Faculty assigned: [DOCTOR] ([DOCTOR], today) Compliance: Pt has been better w elastics Molar/Canine: Class 1 OJ/OB: 2mm / 2mm Treatment progress evaluation: class 1 achieved UAW: 17x22 SS 7-7 LAW: 17x22 SS 7-7 Elastics: Bear class 2 nights only Appointment notes: Detailing bends - LR1d-out, UL5 stepped out. || Not rebonding U6s bc theyr're in good position NV: Debond Eval</t>
  </si>
  <si>
    <t>Clinic:
SLOT Patient presents for appliance adjustment. Patient arrived on time: yes Minor patient accompanied by: * Significant Med/Dental Hx/Changes Med/Dental Hx: * Presenting OH: Fair. Potential developing WSL Prophy needed? Yes Radiogrraph needed? No - taken 4/18 Faculty assigned: [DOCTOR] ([DOCTOR], today) Compliance: Pt has been better w elastics Molar/Canine: Class 1 OJ/OB: 2mm / 2mm Treatment progress evaluation: class 1 achieved UAW: 17x22 SS 7-7 LAW: 17x22 SS 7-7 Elastics: Bear class 2 nights only Appointment notes: Ready to debond! NV: Debond/Deband!</t>
  </si>
  <si>
    <t>Appointments:
Jul 25/18 D0470F C Final Diagnostic Casts Both
Clinic:
Took photos.
Did iTero scan for final record.
Took alginate impressions for U/L Hawley retainer.
Patient presents today for: Early Debond Form signed: Treatment completion Patient arrived on time? Yes Minor patient accompanied by: Mom Significant Med Hx: * Changes Med Hx: * Dental Hx Changes: * Prophy needed: Yes Radiograph needed: Yes - being taken today Presenting OH: Needs improvement Compliance: Average Alerts: * Describe if Other Alert * Assigned Faculty: [DOCTOR] Covering Faculty: [DOCTOR] Removed: Brackets Describe if Other Band on UL6 Appointment notes including results deviating from ideal: WSL at gingival margin - let pt know to continue regular OH routine at home for next few months and there's a chance it may improve, but it is likely to remain as is. || Proclined incisors, but given pts profile, would not have opted to treat w ext. NV: Retainer Delivery</t>
  </si>
  <si>
    <t>Clinic: Patient arrived for delivery of retainers. Patient arrived on time: Yes Minor patient accompanied by: * Significant Med/Dental Hx/Changes Med/Dental Hx: * Presenting OH: Good Alerts if any: * Faculty assigned: [DOCTOR] Covering faculty if different from assigned; * Type of retainers delivered:: U/L hawleys Retention protocol: fulltime Appointments notes: Reviewed OHI and wear/care instructions for retainers. NV: Eval occlusion and fit of retainers</t>
  </si>
  <si>
    <t>Clinic:
Reviewed case w/ Dr. [DOCTOR], [DOCTOR], and [DOCTOR] Discussed current case status and finishing goals. Case debonded. In retention</t>
  </si>
  <si>
    <t>Clinic:
Reviewed case w Dr. [DOCTOR], Dr. [DOCTOR], and [DOCTOR].</t>
  </si>
  <si>
    <t>Clinic:
Patient presents today for retainer check. Patient arrived on time: yes Minor patient accompanied by: * Significant Med/Dental Hx/Changes Med/Dental Hx: No Presenting OH: good Alerts if any: * Prophy needed? No Radiogrraph needed? no Faculty assigned: [DOCTOR] Covering faculty if different from assigned; [DOCTOR] Patient completion date: July 2018 Presenting retention protocol: U/L Hawleys FT Compliance: fair Significant findings: Wears retainers once he gets home from school and at night. Does not bring them to school because he might lose them. Rets are not tight when he puts them on, no discomfort noted. Dr. note: LR2 appears to have tipped slightly facial, but no incisor irregularity noted yet. Changes to retention protocol: Tightened lower labial bow, all C clasps on both retainers for better retention. Pt approves of fit. NV: 3 mo ret check</t>
  </si>
  <si>
    <t>Clinic:
Pt presents for 3 mo ret check U/L hawleys fit well, teeth still in good alignment. Pt wearing NT 6/7days of week. Adjusted U Hawley clasps to increase retention. Have good fit. NV: 6 mo ret check</t>
  </si>
  <si>
    <t>Hawley</t>
  </si>
  <si>
    <t>Additional notes</t>
  </si>
  <si>
    <t>Posterior Intrusion</t>
  </si>
  <si>
    <t>Posterior Extrusion</t>
  </si>
  <si>
    <t>Anterior Intrusion</t>
  </si>
  <si>
    <t>Anterior Extrusion</t>
  </si>
  <si>
    <t>Distalization</t>
  </si>
  <si>
    <t>Mesialization</t>
  </si>
  <si>
    <t>Tipping</t>
  </si>
  <si>
    <t>Torque</t>
  </si>
  <si>
    <t>Rotation</t>
  </si>
  <si>
    <t>Pain</t>
  </si>
  <si>
    <t>Clicking / Popping / Sound</t>
  </si>
  <si>
    <t>General Dentist</t>
  </si>
  <si>
    <t>Surgery</t>
  </si>
  <si>
    <t>ENT</t>
  </si>
  <si>
    <t>Endo</t>
  </si>
  <si>
    <t>PCP</t>
  </si>
  <si>
    <t>Periodontist</t>
  </si>
  <si>
    <t>Prosthodontics</t>
  </si>
  <si>
    <t>Pediatrics</t>
  </si>
  <si>
    <t>½ cusp class II</t>
  </si>
  <si>
    <t xml:space="preserve"> ¼ cusp class II</t>
  </si>
  <si>
    <t xml:space="preserve"> ¾ Class II</t>
  </si>
  <si>
    <t xml:space="preserve"> full cusp class II</t>
  </si>
  <si>
    <t xml:space="preserve"> class II</t>
  </si>
  <si>
    <t xml:space="preserve"> Class I</t>
  </si>
  <si>
    <t xml:space="preserve"> ½ cusp class III</t>
  </si>
  <si>
    <t xml:space="preserve"> ¼ cusp class III</t>
  </si>
  <si>
    <t xml:space="preserve"> full cusp class III</t>
  </si>
  <si>
    <t xml:space="preserve"> class III</t>
  </si>
  <si>
    <t>open bite</t>
  </si>
  <si>
    <t>deep bite</t>
  </si>
  <si>
    <t>edge to edge</t>
  </si>
  <si>
    <t>ideal</t>
  </si>
  <si>
    <t>negative</t>
  </si>
  <si>
    <t>positive</t>
  </si>
  <si>
    <t>Roth conventional 0.022"</t>
  </si>
  <si>
    <t>MBT conventional 0.022"</t>
  </si>
  <si>
    <t>Standard conventional 0.022"</t>
  </si>
  <si>
    <t>Damon Self Ligating 0.22"</t>
  </si>
  <si>
    <t>Roth conventional 0.018"</t>
  </si>
  <si>
    <t>MBT conventional 0.018"</t>
  </si>
  <si>
    <t>Standart conventional 0.018"</t>
  </si>
  <si>
    <t>AO Self Ligating 0.22"</t>
  </si>
  <si>
    <t>Pitts</t>
  </si>
  <si>
    <t xml:space="preserve">Other Self-Ligating </t>
  </si>
  <si>
    <t>NiTi</t>
  </si>
  <si>
    <t>CuNiTi</t>
  </si>
  <si>
    <t>SS</t>
  </si>
  <si>
    <t>TMA</t>
  </si>
  <si>
    <t>Bioforce</t>
  </si>
  <si>
    <t>Elgiloy</t>
  </si>
  <si>
    <t>0.012"</t>
  </si>
  <si>
    <t>0.013"</t>
  </si>
  <si>
    <t>0.014"</t>
  </si>
  <si>
    <t>0.016"</t>
  </si>
  <si>
    <t>0.018"</t>
  </si>
  <si>
    <t>0.020"</t>
  </si>
  <si>
    <t>0.016"x0.016"</t>
  </si>
  <si>
    <t>0.016"x0.022"</t>
  </si>
  <si>
    <t>0.017"x0.025"</t>
  </si>
  <si>
    <t>0.018"x0.025"</t>
  </si>
  <si>
    <t>0.019"x0.025"</t>
  </si>
  <si>
    <t>0.020"x0.020"</t>
  </si>
  <si>
    <t>0.021"x0.025"</t>
  </si>
  <si>
    <t>Other</t>
  </si>
  <si>
    <t>0.014"x0.025"</t>
  </si>
  <si>
    <t>0.016"x0.025"</t>
  </si>
  <si>
    <t>0.018"x0.018"</t>
  </si>
  <si>
    <t>0.015"x0.025"</t>
  </si>
  <si>
    <t>0.017"x.0.022"</t>
  </si>
  <si>
    <t>0.017"x0.017"</t>
  </si>
  <si>
    <t>Powerchain Upper</t>
  </si>
  <si>
    <t>Powerchain Lower</t>
  </si>
  <si>
    <t>Steel Lacing Upper</t>
  </si>
  <si>
    <t>Steel Lacing Lower</t>
  </si>
  <si>
    <t>Steel tight</t>
  </si>
  <si>
    <t>Elastic</t>
  </si>
  <si>
    <t>Steel Lacing Upper and Lower</t>
  </si>
  <si>
    <t>Power chain Upper and Lower</t>
  </si>
  <si>
    <t>discontinued</t>
  </si>
  <si>
    <t>Class I</t>
  </si>
  <si>
    <t>Class II</t>
  </si>
  <si>
    <t>Class III</t>
  </si>
  <si>
    <t>Cross-elastic</t>
  </si>
  <si>
    <t>Anterior Box</t>
  </si>
  <si>
    <t>Midline-elastic</t>
  </si>
  <si>
    <t>Hummingbird</t>
  </si>
  <si>
    <t>Quail</t>
  </si>
  <si>
    <t>Owl</t>
  </si>
  <si>
    <t>Parrot</t>
  </si>
  <si>
    <t>Road Runner</t>
  </si>
  <si>
    <t>Peacock</t>
  </si>
  <si>
    <t>Otter</t>
  </si>
  <si>
    <t>Seal</t>
  </si>
  <si>
    <t>Dolphin</t>
  </si>
  <si>
    <t>Turtle</t>
  </si>
  <si>
    <t>Donkey</t>
  </si>
  <si>
    <t>Chipmunk</t>
  </si>
  <si>
    <t>Rabbit</t>
  </si>
  <si>
    <t>Fox</t>
  </si>
  <si>
    <t>Penguin</t>
  </si>
  <si>
    <t>Monkey</t>
  </si>
  <si>
    <t>Kangaroo</t>
  </si>
  <si>
    <t>Bear</t>
  </si>
  <si>
    <t>Zebra</t>
  </si>
  <si>
    <t>Camel</t>
  </si>
  <si>
    <t>Impala</t>
  </si>
  <si>
    <t>Ram</t>
  </si>
  <si>
    <t>Moose</t>
  </si>
  <si>
    <t>Buffalo</t>
  </si>
  <si>
    <t>Forsus</t>
  </si>
  <si>
    <t>Herbst</t>
  </si>
  <si>
    <t>MARA</t>
  </si>
  <si>
    <t>Twinblock</t>
  </si>
  <si>
    <t>High Pull Head Gear</t>
  </si>
  <si>
    <t>Low pull head gear</t>
  </si>
  <si>
    <t>combi head gear</t>
  </si>
  <si>
    <t>pendulum</t>
  </si>
  <si>
    <t>carriere</t>
  </si>
  <si>
    <t>MARPE</t>
  </si>
  <si>
    <t>RPE</t>
  </si>
  <si>
    <t>FaceMask / Reverse pull headgear</t>
  </si>
  <si>
    <t>Quad Helix</t>
  </si>
  <si>
    <t>bite plate</t>
  </si>
  <si>
    <t>Poor</t>
  </si>
  <si>
    <t>Average</t>
  </si>
  <si>
    <t>Debonded Bracket or Band</t>
  </si>
  <si>
    <t>Pain or Discomfort</t>
  </si>
  <si>
    <t>Appliance breakage</t>
  </si>
  <si>
    <t>Wire poking</t>
  </si>
  <si>
    <t>Lost separator</t>
  </si>
  <si>
    <t>fixed bar</t>
  </si>
  <si>
    <t>Essix</t>
  </si>
  <si>
    <t>Trutain</t>
  </si>
  <si>
    <t>Trutain + fixed bar</t>
  </si>
  <si>
    <t>Renainer Check</t>
  </si>
  <si>
    <t>NORMAL</t>
  </si>
  <si>
    <t>ACCENTUATED</t>
  </si>
  <si>
    <t>REVERSE</t>
  </si>
  <si>
    <t>Steel Lacing Upper and Lower, Steel tie lower</t>
  </si>
  <si>
    <t>DISCONTINUED</t>
  </si>
  <si>
    <t>Quad Helix, Other</t>
  </si>
  <si>
    <t>DISCONTINUED, Other</t>
  </si>
  <si>
    <t>Elgiloy, CuNiTi</t>
  </si>
  <si>
    <t>0.017"x0.022", 0.016"</t>
  </si>
  <si>
    <t>Class I, Class II</t>
  </si>
  <si>
    <t>MARPE, FaceMask / Reverse pull headgear</t>
  </si>
  <si>
    <t>MARPE,DISCONTINUED</t>
  </si>
  <si>
    <t>tma</t>
  </si>
  <si>
    <t>0.019"x0.025", 0.017"x0.025"</t>
  </si>
  <si>
    <t>ss</t>
  </si>
  <si>
    <t>Powerchain Upper, Steel Tie</t>
  </si>
  <si>
    <t>impala, kangaroo</t>
  </si>
  <si>
    <t>fair</t>
  </si>
  <si>
    <t>good</t>
  </si>
  <si>
    <t>poor</t>
  </si>
  <si>
    <t>elastic</t>
  </si>
  <si>
    <t>Steel Lacing Upper, Elastic</t>
  </si>
  <si>
    <t>Powerchain Upper, Steel Lacing Lower</t>
  </si>
  <si>
    <t>Niti</t>
  </si>
  <si>
    <t>ZEBRA</t>
  </si>
  <si>
    <t>GOOD</t>
  </si>
  <si>
    <t>NiTi, TMA</t>
  </si>
  <si>
    <t xml:space="preserve">0.020"x0.020", 0.019"x0.025" </t>
  </si>
  <si>
    <t>High Pull Head Gear, TPA</t>
  </si>
  <si>
    <t>SS, TMA</t>
  </si>
  <si>
    <t>0.016", 0.017"X0.025"</t>
  </si>
  <si>
    <t>SS, CuNiTi</t>
  </si>
  <si>
    <t>0.019"X0.025", 0.014"</t>
  </si>
  <si>
    <t>Powerchain Lower, Steel Lacing Upper and Lower</t>
  </si>
  <si>
    <t>Steel Lacing Upper, Powerchain Lower</t>
  </si>
  <si>
    <t>Powerchain Lower, Steel Lacing Upper</t>
  </si>
  <si>
    <t>bear</t>
  </si>
  <si>
    <t>Bear, Kangaroo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</si>
</sst>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16">
    <font>
      <sz val="12"/>
      <color theme="1"/>
      <name val="Calibri"/>
      <family val="2"/>
      <scheme val="minor"/>
    </font>
    <font>
      <sz val="11"/>
      <color theme="1"/>
      <name val="Calibri"/>
      <family val="2"/>
      <scheme val="minor"/>
    </font>
    <font>
      <sz val="12"/>
      <color rgb="FF000000"/>
      <name val="Calibri"/>
      <family val="2"/>
      <scheme val="minor"/>
    </font>
    <font>
      <sz val="16"/>
      <color theme="1"/>
      <name val="Calibri"/>
      <family val="2"/>
      <scheme val="minor"/>
    </font>
    <font>
      <sz val="11"/>
      <color theme="1"/>
      <name val="Calibri"/>
      <family val="2"/>
      <scheme val="minor"/>
    </font>
    <font>
      <b/>
      <sz val="11"/>
      <name val="Calibri"/>
      <family val="2"/>
    </font>
    <font>
      <b/>
      <sz val="16"/>
      <name val="Calibri (Body)"/>
    </font>
    <font>
      <b/>
      <sz val="14"/>
      <name val="Calibri (Body)"/>
    </font>
    <font>
      <b/>
      <sz val="18"/>
      <name val="Calibri"/>
      <family val="2"/>
    </font>
    <font>
      <sz val="12"/>
      <name val="Calibri"/>
      <family val="2"/>
      <scheme val="minor"/>
    </font>
    <font>
      <b/>
      <sz val="18"/>
      <color rgb="FFFFFFFF"/>
      <name val="Calibri"/>
      <family val="2"/>
    </font>
    <font>
      <sz val="16"/>
      <color theme="1"/>
      <name val="Calibri"/>
      <family val="2"/>
      <scheme val="minor"/>
    </font>
    <font>
      <sz val="12"/>
      <color theme="1"/>
      <name val="Calibri"/>
      <family val="2"/>
      <scheme val="minor"/>
    </font>
    <font>
      <sz val="16"/>
      <color rgb="FF000000"/>
      <name val="Calibri"/>
      <family val="2"/>
      <scheme val="minor"/>
    </font>
    <font>
      <sz val="12"/>
      <color rgb="FFFF0000"/>
      <name val="Calibri"/>
      <family val="2"/>
      <scheme val="minor"/>
    </font>
    <font>
      <sz val="11"/>
      <color rgb="FF000000"/>
      <name val="Calibri"/>
      <family val="2"/>
      <scheme val="minor"/>
    </font>
  </fonts>
  <fills count="3">
    <fill>
      <patternFill patternType="none"/>
    </fill>
    <fill>
      <patternFill patternType="gray125"/>
    </fill>
    <fill>
      <patternFill patternType="solid">
        <fgColor rgb="FF366092"/>
        <bgColor rgb="FF366092"/>
      </patternFill>
    </fill>
  </fills>
  <borders count="5">
    <border>
      <left/>
      <right/>
      <top/>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xf numFmtId="0" fontId="4" fillId="0" borderId="0"/>
  </cellStyleXfs>
  <cellXfs count="39">
    <xf numFmtId="0" fontId="0" fillId="0" borderId="0" xfId="0"/>
    <xf numFmtId="0" fontId="0" fillId="0" borderId="0" xfId="0" applyAlignment="1">
      <alignment horizontal="center" vertical="center" wrapText="1"/>
    </xf>
    <xf numFmtId="14" fontId="0" fillId="0" borderId="0" xfId="0" applyNumberFormat="1" applyAlignment="1">
      <alignment horizontal="center" vertical="center" wrapText="1"/>
    </xf>
    <xf numFmtId="0" fontId="2" fillId="0" borderId="0" xfId="0" applyFont="1" applyAlignment="1">
      <alignment horizontal="center" vertical="center" wrapText="1"/>
    </xf>
    <xf numFmtId="14" fontId="2" fillId="0" borderId="0" xfId="0" applyNumberFormat="1" applyFont="1" applyAlignment="1">
      <alignment horizontal="center" vertical="center" wrapText="1"/>
    </xf>
    <xf numFmtId="0" fontId="3" fillId="0" borderId="0" xfId="0" applyFont="1" applyAlignment="1">
      <alignment horizontal="center" vertical="center"/>
    </xf>
    <xf numFmtId="0" fontId="4" fillId="0" borderId="0" xfId="1"/>
    <xf numFmtId="0" fontId="5" fillId="0" borderId="1" xfId="1" applyFont="1" applyBorder="1" applyAlignment="1">
      <alignment horizontal="center" vertical="top" wrapText="1"/>
    </xf>
    <xf numFmtId="0" fontId="4" fillId="0" borderId="0" xfId="1" applyAlignment="1">
      <alignment vertical="center" wrapText="1"/>
    </xf>
    <xf numFmtId="164" fontId="4" fillId="0" borderId="0" xfId="1" applyNumberFormat="1" applyAlignment="1">
      <alignment vertical="center" wrapText="1"/>
    </xf>
    <xf numFmtId="0" fontId="4" fillId="0" borderId="0" xfId="1" applyAlignment="1">
      <alignment horizontal="center" vertical="center" wrapText="1"/>
    </xf>
    <xf numFmtId="164" fontId="4" fillId="0" borderId="0" xfId="1" applyNumberFormat="1" applyAlignment="1">
      <alignment horizontal="center" vertical="center" wrapText="1"/>
    </xf>
    <xf numFmtId="0" fontId="6" fillId="0" borderId="1" xfId="0" applyFont="1" applyBorder="1" applyAlignment="1">
      <alignment horizontal="center" vertical="center" wrapText="1"/>
    </xf>
    <xf numFmtId="0" fontId="7" fillId="0" borderId="1" xfId="0" applyFont="1" applyBorder="1" applyAlignment="1">
      <alignment horizontal="center" vertical="center" wrapText="1"/>
    </xf>
    <xf numFmtId="0" fontId="8" fillId="0" borderId="1" xfId="0" applyFont="1" applyBorder="1" applyAlignment="1">
      <alignment horizontal="center" vertical="center" wrapText="1"/>
    </xf>
    <xf numFmtId="49" fontId="8" fillId="0" borderId="2" xfId="0" applyNumberFormat="1" applyFont="1" applyBorder="1" applyAlignment="1">
      <alignment horizontal="center" vertical="center" wrapText="1"/>
    </xf>
    <xf numFmtId="0" fontId="8" fillId="0" borderId="2" xfId="0" applyFont="1" applyBorder="1" applyAlignment="1">
      <alignment horizontal="center" vertical="center" wrapText="1"/>
    </xf>
    <xf numFmtId="0" fontId="9" fillId="0" borderId="0" xfId="0" applyFont="1" applyAlignment="1">
      <alignment horizontal="center" vertical="center" wrapText="1"/>
    </xf>
    <xf numFmtId="0" fontId="5" fillId="0" borderId="1" xfId="1" applyFont="1" applyBorder="1" applyAlignment="1">
      <alignment horizontal="center" vertical="center" wrapText="1"/>
    </xf>
    <xf numFmtId="0" fontId="4" fillId="0" borderId="0" xfId="1" applyAlignment="1">
      <alignment vertical="center"/>
    </xf>
    <xf numFmtId="0" fontId="10" fillId="2" borderId="3" xfId="0" applyFont="1" applyFill="1" applyBorder="1" applyAlignment="1">
      <alignment horizontal="left" vertical="center" wrapText="1"/>
    </xf>
    <xf numFmtId="0" fontId="11" fillId="0" borderId="0" xfId="0" applyFont="1" applyAlignment="1">
      <alignment horizontal="center" vertical="center"/>
    </xf>
    <xf numFmtId="0" fontId="12" fillId="0" borderId="0" xfId="0" applyFont="1" applyAlignment="1">
      <alignment horizontal="center" vertical="center"/>
    </xf>
    <xf numFmtId="0" fontId="12" fillId="0" borderId="0" xfId="0" applyFont="1"/>
    <xf numFmtId="0" fontId="11" fillId="0" borderId="0" xfId="0" quotePrefix="1" applyFont="1" applyAlignment="1">
      <alignment horizontal="center" vertical="center"/>
    </xf>
    <xf numFmtId="0" fontId="11" fillId="0" borderId="0" xfId="0" applyFont="1"/>
    <xf numFmtId="0" fontId="11" fillId="0" borderId="0" xfId="0" applyFont="1" applyAlignment="1">
      <alignment horizontal="center" vertical="center" wrapText="1"/>
    </xf>
    <xf numFmtId="49" fontId="10" fillId="2" borderId="4" xfId="0" applyNumberFormat="1" applyFont="1" applyFill="1" applyBorder="1" applyAlignment="1">
      <alignment horizontal="left" vertical="center" wrapText="1"/>
    </xf>
    <xf numFmtId="49" fontId="11" fillId="0" borderId="4" xfId="0" applyNumberFormat="1" applyFont="1" applyBorder="1" applyAlignment="1">
      <alignment horizontal="center" vertical="center" wrapText="1"/>
    </xf>
    <xf numFmtId="0" fontId="11" fillId="0" borderId="4" xfId="0" applyFont="1" applyBorder="1" applyAlignment="1">
      <alignment horizontal="center" vertical="center" wrapText="1"/>
    </xf>
    <xf numFmtId="0" fontId="11" fillId="0" borderId="3" xfId="0" applyFont="1" applyBorder="1" applyAlignment="1">
      <alignment horizontal="center" vertical="center" wrapText="1"/>
    </xf>
    <xf numFmtId="0" fontId="13" fillId="0" borderId="0" xfId="0" applyFont="1" applyAlignment="1">
      <alignment horizontal="center" vertical="center"/>
    </xf>
    <xf numFmtId="0" fontId="10" fillId="2" borderId="4" xfId="0" applyFont="1" applyFill="1" applyBorder="1" applyAlignment="1">
      <alignment horizontal="left" vertical="center" wrapText="1"/>
    </xf>
    <xf numFmtId="9" fontId="4" fillId="0" borderId="0" xfId="1" applyNumberFormat="1" applyAlignment="1">
      <alignment vertical="center" wrapText="1"/>
    </xf>
    <xf numFmtId="0" fontId="14" fillId="0" borderId="0" xfId="0" applyFont="1" applyAlignment="1">
      <alignment horizontal="center" vertical="center" wrapText="1"/>
    </xf>
    <xf numFmtId="0" fontId="0" fillId="0" borderId="0" xfId="0" applyAlignment="1">
      <alignment horizontal="center" wrapText="1"/>
    </xf>
    <xf numFmtId="0" fontId="1" fillId="0" borderId="0" xfId="1" applyFont="1" applyAlignment="1">
      <alignment horizontal="center" vertical="center" wrapText="1"/>
    </xf>
    <xf numFmtId="0" fontId="1" fillId="0" borderId="0" xfId="1" applyFont="1" applyAlignment="1">
      <alignment vertical="center" wrapText="1"/>
    </xf>
    <xf numFmtId="0" fontId="15" fillId="0" borderId="0" xfId="1" applyFont="1" applyAlignment="1">
      <alignment horizontal="center" vertical="center" wrapText="1"/>
    </xf>
  </cellXfs>
  <cellStyles count="2">
    <cellStyle name="Normal" xfId="0" builtinId="0"/>
    <cellStyle name="Normal 2" xfId="1" xr:uid="{00000000-0005-0000-0000-000001000000}"/>
  </cellStyles>
  <dxfs count="710">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numFmt numFmtId="165" formatCode="m/d/yy"/>
      <alignment horizontal="center" vertical="center" wrapText="1"/>
    </dxf>
    <dxf>
      <alignment horizontal="center" vertical="center" wrapText="1"/>
    </dxf>
    <dxf>
      <alignment horizontal="center" vertical="center" wrapText="1"/>
    </dxf>
    <dxf>
      <border outline="0">
        <top style="thin">
          <color auto="1"/>
        </top>
      </border>
    </dxf>
    <dxf>
      <alignment horizontal="center" vertical="center" wrapText="1"/>
    </dxf>
    <dxf>
      <border outline="0">
        <bottom style="thin">
          <color auto="1"/>
        </bottom>
      </border>
    </dxf>
    <dxf>
      <font>
        <b/>
        <strike val="0"/>
        <condense val="0"/>
        <extend val="0"/>
        <outline val="0"/>
        <shadow val="0"/>
        <vertAlign val="baseline"/>
        <sz val="18"/>
        <color auto="1"/>
        <name val="Calibri"/>
        <family val="2"/>
      </font>
      <fill>
        <patternFill>
          <fgColor indexed="64"/>
          <bgColor indexed="65"/>
        </patternFill>
      </fill>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numFmt numFmtId="165" formatCode="m/d/yy"/>
      <alignment horizontal="center" vertical="center" wrapText="1"/>
    </dxf>
    <dxf>
      <alignment horizontal="center" vertical="center" wrapText="1"/>
    </dxf>
    <dxf>
      <alignment horizontal="center" vertical="center" wrapText="1"/>
    </dxf>
    <dxf>
      <border outline="0">
        <top style="thin">
          <color auto="1"/>
        </top>
      </border>
    </dxf>
    <dxf>
      <alignment horizontal="center" vertical="center" wrapText="1"/>
    </dxf>
    <dxf>
      <border outline="0">
        <bottom style="thin">
          <color auto="1"/>
        </bottom>
      </border>
    </dxf>
    <dxf>
      <font>
        <b/>
        <strike val="0"/>
        <condense val="0"/>
        <extend val="0"/>
        <outline val="0"/>
        <shadow val="0"/>
        <vertAlign val="baseline"/>
        <sz val="18"/>
        <color auto="1"/>
        <name val="Calibri"/>
        <family val="2"/>
      </font>
      <fill>
        <patternFill>
          <fgColor indexed="64"/>
          <bgColor indexed="65"/>
        </patternFill>
      </fill>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numFmt numFmtId="165" formatCode="m/d/yy"/>
      <alignment horizontal="center" vertical="center" wrapText="1"/>
    </dxf>
    <dxf>
      <alignment horizontal="center" vertical="center" wrapText="1"/>
    </dxf>
    <dxf>
      <alignment horizontal="center" vertical="center" wrapText="1"/>
    </dxf>
    <dxf>
      <border outline="0">
        <top style="thin">
          <color auto="1"/>
        </top>
      </border>
    </dxf>
    <dxf>
      <alignment horizontal="center" vertical="center" wrapText="1"/>
    </dxf>
    <dxf>
      <border outline="0">
        <bottom style="thin">
          <color auto="1"/>
        </bottom>
      </border>
    </dxf>
    <dxf>
      <font>
        <b/>
        <strike val="0"/>
        <condense val="0"/>
        <extend val="0"/>
        <outline val="0"/>
        <shadow val="0"/>
        <vertAlign val="baseline"/>
        <sz val="18"/>
        <color auto="1"/>
        <name val="Calibri"/>
        <family val="2"/>
      </font>
      <fill>
        <patternFill>
          <fgColor indexed="64"/>
          <bgColor indexed="65"/>
        </patternFill>
      </fill>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numFmt numFmtId="164" formatCode="yyyy\-mm\-dd"/>
      <alignment horizontal="center" vertical="center" wrapText="1"/>
    </dxf>
    <dxf>
      <alignment horizontal="center" vertical="center" wrapText="1"/>
    </dxf>
    <dxf>
      <alignment horizontal="center" vertical="center" wrapText="1"/>
    </dxf>
    <dxf>
      <border outline="0">
        <top style="thin">
          <color auto="1"/>
        </top>
      </border>
    </dxf>
    <dxf>
      <alignment horizontal="center" vertical="center" wrapText="1"/>
    </dxf>
    <dxf>
      <border outline="0">
        <bottom style="thin">
          <color auto="1"/>
        </bottom>
      </border>
    </dxf>
    <dxf>
      <font>
        <b/>
        <strike val="0"/>
        <condense val="0"/>
        <extend val="0"/>
        <outline val="0"/>
        <shadow val="0"/>
        <vertAlign val="baseline"/>
        <sz val="11"/>
        <color auto="1"/>
        <name val="Calibri"/>
      </font>
      <alignment horizontal="center" vertical="center" wrapText="1"/>
      <border outline="0">
        <left style="thin">
          <color auto="1"/>
        </left>
        <right style="thin">
          <color auto="1"/>
        </right>
        <top/>
        <bottom/>
      </border>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numFmt numFmtId="164" formatCode="yyyy\-mm\-dd"/>
      <alignment horizontal="general" vertical="center" wrapText="1"/>
    </dxf>
    <dxf>
      <alignment horizontal="general" vertical="center" wrapText="1"/>
    </dxf>
    <dxf>
      <alignment horizontal="general" vertical="center" wrapText="1"/>
    </dxf>
    <dxf>
      <border outline="0">
        <top style="thin">
          <color auto="1"/>
        </top>
      </border>
    </dxf>
    <dxf>
      <alignment horizontal="general" vertical="center" wrapText="1"/>
    </dxf>
    <dxf>
      <border outline="0">
        <bottom style="thin">
          <color auto="1"/>
        </bottom>
      </border>
    </dxf>
    <dxf>
      <font>
        <b/>
        <strike val="0"/>
        <condense val="0"/>
        <extend val="0"/>
        <outline val="0"/>
        <shadow val="0"/>
        <vertAlign val="baseline"/>
        <sz val="11"/>
        <color auto="1"/>
        <name val="Calibri"/>
      </font>
      <alignment horizontal="center" vertical="center" wrapText="1"/>
      <border outline="0">
        <left style="thin">
          <color auto="1"/>
        </left>
        <right style="thin">
          <color auto="1"/>
        </right>
        <top/>
        <bottom/>
      </border>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numFmt numFmtId="165" formatCode="m/d/yy"/>
      <alignment horizontal="center" vertical="center" wrapText="1"/>
    </dxf>
    <dxf>
      <alignment horizontal="center" vertical="center" wrapText="1"/>
    </dxf>
    <dxf>
      <alignment horizontal="center" vertical="center" wrapText="1"/>
    </dxf>
    <dxf>
      <border outline="0">
        <top style="thin">
          <color auto="1"/>
        </top>
      </border>
    </dxf>
    <dxf>
      <alignment horizontal="center" vertical="center" wrapText="1"/>
    </dxf>
    <dxf>
      <border outline="0">
        <bottom style="thin">
          <color auto="1"/>
        </bottom>
      </border>
    </dxf>
    <dxf>
      <font>
        <b/>
        <strike val="0"/>
        <condense val="0"/>
        <extend val="0"/>
        <outline val="0"/>
        <shadow val="0"/>
        <vertAlign val="baseline"/>
        <sz val="18"/>
        <color auto="1"/>
        <name val="Calibri"/>
        <family val="2"/>
      </font>
      <fill>
        <patternFill>
          <fgColor indexed="64"/>
          <bgColor auto="1"/>
        </patternFill>
      </fill>
      <alignment horizontal="center"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alignment horizontal="general" vertical="center" wrapText="1"/>
    </dxf>
    <dxf>
      <numFmt numFmtId="164" formatCode="yyyy\-mm\-dd"/>
      <alignment horizontal="general" vertical="center" wrapText="1"/>
    </dxf>
    <dxf>
      <alignment horizontal="general" vertical="center" wrapText="1"/>
    </dxf>
    <dxf>
      <alignment horizontal="general" vertical="center" wrapText="1"/>
    </dxf>
    <dxf>
      <border outline="0">
        <top style="thin">
          <color auto="1"/>
        </top>
      </border>
    </dxf>
    <dxf>
      <alignment horizontal="general" vertical="center" wrapText="1"/>
    </dxf>
    <dxf>
      <border outline="0">
        <bottom style="thin">
          <color auto="1"/>
        </bottom>
      </border>
    </dxf>
    <dxf>
      <font>
        <b/>
        <strike val="0"/>
        <condense val="0"/>
        <extend val="0"/>
        <outline val="0"/>
        <shadow val="0"/>
        <vertAlign val="baseline"/>
        <sz val="11"/>
        <color auto="1"/>
        <name val="Calibri"/>
      </font>
      <alignment horizontal="center" vertical="center" wrapText="1"/>
      <border outline="0">
        <left style="thin">
          <color auto="1"/>
        </left>
        <right style="thin">
          <color auto="1"/>
        </right>
        <top/>
        <bottom/>
      </border>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alignment horizontal="center" vertical="center" wrapText="1"/>
      <protection locked="1" hidden="0"/>
    </dxf>
    <dxf>
      <numFmt numFmtId="164" formatCode="yyyy\-mm\-dd"/>
      <alignment horizontal="center" vertical="center" wrapText="1"/>
      <protection locked="1" hidden="0"/>
    </dxf>
    <dxf>
      <alignment horizontal="center" vertical="center" wrapText="1"/>
      <protection locked="1" hidden="0"/>
    </dxf>
    <dxf>
      <alignment horizontal="center" vertical="center" wrapText="1"/>
      <protection locked="1" hidden="0"/>
    </dxf>
    <dxf>
      <border outline="0">
        <top style="thin">
          <color auto="1"/>
        </top>
      </border>
    </dxf>
    <dxf>
      <alignment horizontal="center" vertical="center" wrapText="1"/>
      <protection locked="1" hidden="0"/>
    </dxf>
    <dxf>
      <border outline="0">
        <bottom style="thin">
          <color auto="1"/>
        </bottom>
      </border>
    </dxf>
    <dxf>
      <font>
        <b/>
        <strike val="0"/>
        <condense val="0"/>
        <extend val="0"/>
        <outline val="0"/>
        <shadow val="0"/>
        <vertAlign val="baseline"/>
        <sz val="11"/>
        <color auto="1"/>
        <name val="Calibri"/>
      </font>
      <alignment horizontal="center" vertical="top" wrapText="1"/>
      <border outline="0">
        <left style="thin">
          <color auto="1"/>
        </left>
        <right style="thin">
          <color auto="1"/>
        </right>
        <top/>
        <bottom/>
      </border>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numFmt numFmtId="165" formatCode="m/d/yy"/>
      <alignment horizontal="center" vertical="center" wrapText="1"/>
    </dxf>
    <dxf>
      <alignment horizontal="center" vertical="center" wrapText="1"/>
    </dxf>
    <dxf>
      <alignment horizontal="center" vertical="center" wrapText="1"/>
    </dxf>
    <dxf>
      <border outline="0">
        <top style="thin">
          <color auto="1"/>
        </top>
      </border>
    </dxf>
    <dxf>
      <alignment horizontal="center" vertical="center" wrapText="1"/>
    </dxf>
    <dxf>
      <border outline="0">
        <bottom style="thin">
          <color auto="1"/>
        </bottom>
      </border>
    </dxf>
    <dxf>
      <font>
        <b/>
        <strike val="0"/>
        <condense val="0"/>
        <extend val="0"/>
        <outline val="0"/>
        <shadow val="0"/>
        <vertAlign val="baseline"/>
        <sz val="18"/>
        <color auto="1"/>
        <name val="Calibri"/>
        <family val="2"/>
      </font>
      <fill>
        <patternFill>
          <fgColor indexed="64"/>
          <bgColor indexed="65"/>
        </patternFill>
      </fill>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alignment horizontal="center" vertical="center" wrapText="1"/>
    </dxf>
    <dxf>
      <numFmt numFmtId="164" formatCode="yyyy\-mm\-dd"/>
      <alignment horizontal="center" vertical="center" wrapText="1"/>
    </dxf>
    <dxf>
      <alignment horizontal="center" vertical="center" wrapText="1"/>
    </dxf>
    <dxf>
      <alignment horizontal="center" vertical="center" wrapText="1"/>
    </dxf>
    <dxf>
      <border outline="0">
        <top style="thin">
          <color auto="1"/>
        </top>
      </border>
    </dxf>
    <dxf>
      <alignment horizontal="center" vertical="center" wrapText="1"/>
    </dxf>
    <dxf>
      <border outline="0">
        <bottom style="thin">
          <color auto="1"/>
        </bottom>
      </border>
    </dxf>
    <dxf>
      <font>
        <b/>
        <strike val="0"/>
        <condense val="0"/>
        <extend val="0"/>
        <outline val="0"/>
        <shadow val="0"/>
        <vertAlign val="baseline"/>
        <sz val="11"/>
        <color auto="1"/>
        <name val="Calibri"/>
      </font>
      <alignment horizontal="center" vertical="top" wrapText="1"/>
      <border outline="0">
        <left style="thin">
          <color auto="1"/>
        </left>
        <right style="thin">
          <color auto="1"/>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1:BO36" totalsRowShown="0" headerRowDxfId="709" dataDxfId="707" headerRowBorderDxfId="708" tableBorderDxfId="706" headerRowCellStyle="Normal 2" dataCellStyle="Normal 2">
  <autoFilter ref="A1:BO36" xr:uid="{00000000-0009-0000-0100-000001000000}"/>
  <tableColumns count="67">
    <tableColumn id="1" xr3:uid="{00000000-0010-0000-0000-000001000000}" name="Record ID" dataDxfId="705" dataCellStyle="Normal 2"/>
    <tableColumn id="2" xr3:uid="{00000000-0010-0000-0000-000002000000}" name="Patient ID" dataDxfId="704" dataCellStyle="Normal 2"/>
    <tableColumn id="3" xr3:uid="{00000000-0010-0000-0000-000003000000}" name="Note Date" dataDxfId="703" dataCellStyle="Normal 2"/>
    <tableColumn id="4" xr3:uid="{00000000-0010-0000-0000-000004000000}" name="Note Month" dataDxfId="702" dataCellStyle="Normal 2"/>
    <tableColumn id="5" xr3:uid="{00000000-0010-0000-0000-000005000000}" name="Raw Note Text" dataDxfId="701" dataCellStyle="Normal 2"/>
    <tableColumn id="6" xr3:uid="{00000000-0010-0000-0000-000006000000}" name="Annotated" dataDxfId="700" dataCellStyle="Normal 2"/>
    <tableColumn id="7" xr3:uid="{00000000-0010-0000-0000-000007000000}" name="Recods Taken (x-rays; IOS; Photos, Facial scanning)" dataDxfId="699" dataCellStyle="Normal 2"/>
    <tableColumn id="8" xr3:uid="{00000000-0010-0000-0000-000008000000}" name="Upper Bonding" dataDxfId="698" dataCellStyle="Normal 2"/>
    <tableColumn id="9" xr3:uid="{00000000-0010-0000-0000-000009000000}" name="Upper Banding" dataDxfId="697" dataCellStyle="Normal 2"/>
    <tableColumn id="10" xr3:uid="{00000000-0010-0000-0000-00000A000000}" name="Lower Bonding" dataDxfId="696" dataCellStyle="Normal 2"/>
    <tableColumn id="11" xr3:uid="{00000000-0010-0000-0000-00000B000000}" name="Lower Banding" dataDxfId="695" dataCellStyle="Normal 2"/>
    <tableColumn id="12" xr3:uid="{00000000-0010-0000-0000-00000C000000}" name="Prescription and Bracket Slot" dataDxfId="694" dataCellStyle="Normal 2"/>
    <tableColumn id="13" xr3:uid="{00000000-0010-0000-0000-00000D000000}" name="Active Space Closure" dataDxfId="693" dataCellStyle="Normal 2"/>
    <tableColumn id="14" xr3:uid="{00000000-0010-0000-0000-00000E000000}" name="IPR" dataDxfId="692" dataCellStyle="Normal 2"/>
    <tableColumn id="15" xr3:uid="{00000000-0010-0000-0000-00000F000000}" name="Enameloplasty" dataDxfId="691" dataCellStyle="Normal 2"/>
    <tableColumn id="16" xr3:uid="{00000000-0010-0000-0000-000010000000}" name="Extractions" dataDxfId="690" dataCellStyle="Normal 2"/>
    <tableColumn id="17" xr3:uid="{00000000-0010-0000-0000-000011000000}" name="TMJ symptoms" dataDxfId="689" dataCellStyle="Normal 2"/>
    <tableColumn id="18" xr3:uid="{00000000-0010-0000-0000-000012000000}" name="Referral" dataDxfId="688" dataCellStyle="Normal 2"/>
    <tableColumn id="19" xr3:uid="{00000000-0010-0000-0000-000013000000}" name="Right Canine Class" dataDxfId="687" dataCellStyle="Normal 2"/>
    <tableColumn id="20" xr3:uid="{00000000-0010-0000-0000-000014000000}" name="Right Molar Class" dataDxfId="686" dataCellStyle="Normal 2"/>
    <tableColumn id="21" xr3:uid="{00000000-0010-0000-0000-000015000000}" name="Left Canine Class" dataDxfId="685" dataCellStyle="Normal 2"/>
    <tableColumn id="22" xr3:uid="{00000000-0010-0000-0000-000016000000}" name="Left Molar Class" dataDxfId="684" dataCellStyle="Normal 2"/>
    <tableColumn id="23" xr3:uid="{00000000-0010-0000-0000-000017000000}" name="Overbite (mm)" dataDxfId="683" dataCellStyle="Normal 2"/>
    <tableColumn id="24" xr3:uid="{00000000-0010-0000-0000-000018000000}" name="Overjet (mm)" dataDxfId="682" dataCellStyle="Normal 2"/>
    <tableColumn id="25" xr3:uid="{00000000-0010-0000-0000-000019000000}" name="Anterior Crossbite" dataDxfId="681" dataCellStyle="Normal 2"/>
    <tableColumn id="26" xr3:uid="{00000000-0010-0000-0000-00001A000000}" name="Posterior Crossbite" dataDxfId="680" dataCellStyle="Normal 2"/>
    <tableColumn id="27" xr3:uid="{00000000-0010-0000-0000-00001B000000}" name="Re-tie Appointment" dataDxfId="679" dataCellStyle="Normal 2"/>
    <tableColumn id="28" xr3:uid="{00000000-0010-0000-0000-00001C000000}" name="Changed Upper Arch Wire" dataDxfId="678" dataCellStyle="Normal 2"/>
    <tableColumn id="29" xr3:uid="{00000000-0010-0000-0000-00001D000000}" name="Changed Lower Arch Wire" dataDxfId="677" dataCellStyle="Normal 2"/>
    <tableColumn id="30" xr3:uid="{00000000-0010-0000-0000-00001E000000}" name="Upper Wire Material" dataDxfId="676" dataCellStyle="Normal 2"/>
    <tableColumn id="31" xr3:uid="{00000000-0010-0000-0000-00001F000000}" name="Upper Wire Size" dataDxfId="675" dataCellStyle="Normal 2"/>
    <tableColumn id="32" xr3:uid="{00000000-0010-0000-0000-000020000000}" name="Lower Wire Material" dataDxfId="674" dataCellStyle="Normal 2"/>
    <tableColumn id="33" xr3:uid="{00000000-0010-0000-0000-000021000000}" name="Lower Wire Size" dataDxfId="673" dataCellStyle="Normal 2"/>
    <tableColumn id="34" xr3:uid="{00000000-0010-0000-0000-000022000000}" name="Ligature Method" dataDxfId="672" dataCellStyle="Normal 2"/>
    <tableColumn id="35" xr3:uid="{00000000-0010-0000-0000-000023000000}" name="Elastic Pattern Right" dataDxfId="671" dataCellStyle="Normal 2"/>
    <tableColumn id="36" xr3:uid="{00000000-0010-0000-0000-000024000000}" name="Elastic Type Right" dataDxfId="670" dataCellStyle="Normal 2"/>
    <tableColumn id="37" xr3:uid="{00000000-0010-0000-0000-000025000000}" name="Elastic Pattern Left" dataDxfId="669" dataCellStyle="Normal 2"/>
    <tableColumn id="38" xr3:uid="{00000000-0010-0000-0000-000026000000}" name="Elastic Type Left" dataDxfId="668" dataCellStyle="Normal 2"/>
    <tableColumn id="39" xr3:uid="{00000000-0010-0000-0000-000027000000}" name="Appliance" dataDxfId="667" dataCellStyle="Normal 2"/>
    <tableColumn id="40" xr3:uid="{00000000-0010-0000-0000-000028000000}" name="Open Spring" dataDxfId="666" dataCellStyle="Normal 2"/>
    <tableColumn id="41" xr3:uid="{00000000-0010-0000-0000-000029000000}" name="Closed Spring" dataDxfId="665" dataCellStyle="Normal 2"/>
    <tableColumn id="42" xr3:uid="{00000000-0010-0000-0000-00002A000000}" name="Anterior Bite Turbos" dataDxfId="664" dataCellStyle="Normal 2"/>
    <tableColumn id="43" xr3:uid="{00000000-0010-0000-0000-00002B000000}" name="Posterior Bite Turbos" dataDxfId="663" dataCellStyle="Normal 2"/>
    <tableColumn id="44" xr3:uid="{00000000-0010-0000-0000-00002C000000}" name="Cantilever" dataDxfId="662" dataCellStyle="Normal 2"/>
    <tableColumn id="45" xr3:uid="{00000000-0010-0000-0000-00002D000000}" name="NANCE" dataDxfId="661" dataCellStyle="Normal 2"/>
    <tableColumn id="46" xr3:uid="{00000000-0010-0000-0000-00002E000000}" name="TADs" dataDxfId="660" dataCellStyle="Normal 2"/>
    <tableColumn id="47" xr3:uid="{00000000-0010-0000-0000-00002F000000}" name="Mandibular Advancement Appliance" dataDxfId="659" dataCellStyle="Normal 2"/>
    <tableColumn id="48" xr3:uid="{00000000-0010-0000-0000-000030000000}" name="Maxillary Expander" dataDxfId="658" dataCellStyle="Normal 2"/>
    <tableColumn id="49" xr3:uid="{00000000-0010-0000-0000-000031000000}" name="TPA" dataDxfId="657" dataCellStyle="Normal 2"/>
    <tableColumn id="50" xr3:uid="{00000000-0010-0000-0000-000032000000}" name="LLHA" dataDxfId="656" dataCellStyle="Normal 2"/>
    <tableColumn id="51" xr3:uid="{00000000-0010-0000-0000-000033000000}" name="Tongue Crib" dataDxfId="655" dataCellStyle="Normal 2"/>
    <tableColumn id="52" xr3:uid="{00000000-0010-0000-0000-000034000000}" name="FaceMask" dataDxfId="654" dataCellStyle="Normal 2"/>
    <tableColumn id="53" xr3:uid="{00000000-0010-0000-0000-000035000000}" name="Oral Hygiene" dataDxfId="653" dataCellStyle="Normal 2"/>
    <tableColumn id="54" xr3:uid="{00000000-0010-0000-0000-000036000000}" name="Compliance" dataDxfId="652" dataCellStyle="Normal 2"/>
    <tableColumn id="55" xr3:uid="{00000000-0010-0000-0000-000037000000}" name="Bracket OR BAND Repositioning" dataDxfId="651" dataCellStyle="Normal 2"/>
    <tableColumn id="56" xr3:uid="{00000000-0010-0000-0000-000038000000}" name="EMERGENCY" dataDxfId="650" dataCellStyle="Normal 2"/>
    <tableColumn id="57" xr3:uid="{00000000-0010-0000-0000-000039000000}" name="Emergency Type" dataDxfId="649" dataCellStyle="Normal 2"/>
    <tableColumn id="58" xr3:uid="{00000000-0010-0000-0000-00003A000000}" name="Debonded Bracket" dataDxfId="648" dataCellStyle="Normal 2"/>
    <tableColumn id="59" xr3:uid="{00000000-0010-0000-0000-00003B000000}" name="Retainer" dataDxfId="647" dataCellStyle="Normal 2"/>
    <tableColumn id="60" xr3:uid="{00000000-0010-0000-0000-00003C000000}" name="Upper Arch Bends" dataDxfId="646" dataCellStyle="Normal 2"/>
    <tableColumn id="61" xr3:uid="{00000000-0010-0000-0000-00003D000000}" name="Lower Arch Bends" dataDxfId="645" dataCellStyle="Normal 2"/>
    <tableColumn id="62" xr3:uid="{00000000-0010-0000-0000-00003E000000}" name="COS upper" dataDxfId="644" dataCellStyle="Normal 2"/>
    <tableColumn id="63" xr3:uid="{00000000-0010-0000-0000-00003F000000}" name="COS lower" dataDxfId="643" dataCellStyle="Normal 2"/>
    <tableColumn id="64" xr3:uid="{00000000-0010-0000-0000-000040000000}" name="Upper Debond" dataDxfId="642" dataCellStyle="Normal 2"/>
    <tableColumn id="65" xr3:uid="{00000000-0010-0000-0000-000041000000}" name="Lower Debond" dataDxfId="641" dataCellStyle="Normal 2"/>
    <tableColumn id="66" xr3:uid="{00000000-0010-0000-0000-000042000000}" name="Retainer Check" dataDxfId="640" dataCellStyle="Normal 2"/>
    <tableColumn id="67" xr3:uid="{00000000-0010-0000-0000-000043000000}" name="Relapse" dataDxfId="639" dataCellStyle="Normal 2"/>
  </tableColumns>
  <tableStyleInfo name="TableStyleLight13"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5" displayName="Table5" ref="A1:BO53" totalsRowShown="0" headerRowDxfId="638" dataDxfId="636" headerRowBorderDxfId="637" tableBorderDxfId="635">
  <autoFilter ref="A1:BO53" xr:uid="{00000000-0009-0000-0100-000003000000}"/>
  <tableColumns count="67">
    <tableColumn id="1" xr3:uid="{00000000-0010-0000-0200-000001000000}" name="Record ID" dataDxfId="634"/>
    <tableColumn id="2" xr3:uid="{00000000-0010-0000-0200-000002000000}" name="Patient ID" dataDxfId="633"/>
    <tableColumn id="3" xr3:uid="{00000000-0010-0000-0200-000003000000}" name="Note Date" dataDxfId="632"/>
    <tableColumn id="4" xr3:uid="{00000000-0010-0000-0200-000004000000}" name="Note Month" dataDxfId="631"/>
    <tableColumn id="5" xr3:uid="{00000000-0010-0000-0200-000005000000}" name="Raw Note Text" dataDxfId="630"/>
    <tableColumn id="6" xr3:uid="{00000000-0010-0000-0200-000006000000}" name="Annotated" dataDxfId="629"/>
    <tableColumn id="7" xr3:uid="{00000000-0010-0000-0200-000007000000}" name="Recods Taken (x-rays; IOS; Photos, Facial scanning)" dataDxfId="628"/>
    <tableColumn id="8" xr3:uid="{00000000-0010-0000-0200-000008000000}" name="Upper Bonding" dataDxfId="627"/>
    <tableColumn id="9" xr3:uid="{00000000-0010-0000-0200-000009000000}" name="Upper Banding" dataDxfId="626"/>
    <tableColumn id="10" xr3:uid="{00000000-0010-0000-0200-00000A000000}" name="Lower Bonding" dataDxfId="625"/>
    <tableColumn id="11" xr3:uid="{00000000-0010-0000-0200-00000B000000}" name="Lower Banding" dataDxfId="624"/>
    <tableColumn id="12" xr3:uid="{00000000-0010-0000-0200-00000C000000}" name="Prescription and Bracket Slot" dataDxfId="623"/>
    <tableColumn id="13" xr3:uid="{00000000-0010-0000-0200-00000D000000}" name="Active Space Closure_x000a_" dataDxfId="622"/>
    <tableColumn id="14" xr3:uid="{00000000-0010-0000-0200-00000E000000}" name="IPR" dataDxfId="621"/>
    <tableColumn id="15" xr3:uid="{00000000-0010-0000-0200-00000F000000}" name="Enameloplasty" dataDxfId="620"/>
    <tableColumn id="16" xr3:uid="{00000000-0010-0000-0200-000010000000}" name="Extractions" dataDxfId="619"/>
    <tableColumn id="17" xr3:uid="{00000000-0010-0000-0200-000011000000}" name="TMJ symptoms" dataDxfId="618"/>
    <tableColumn id="18" xr3:uid="{00000000-0010-0000-0200-000012000000}" name="Referral" dataDxfId="617"/>
    <tableColumn id="19" xr3:uid="{00000000-0010-0000-0200-000013000000}" name="Right Canine Class" dataDxfId="616"/>
    <tableColumn id="20" xr3:uid="{00000000-0010-0000-0200-000014000000}" name="Right Molar Class" dataDxfId="615"/>
    <tableColumn id="21" xr3:uid="{00000000-0010-0000-0200-000015000000}" name="Left Canine Class" dataDxfId="614"/>
    <tableColumn id="22" xr3:uid="{00000000-0010-0000-0200-000016000000}" name="Left Molar Class" dataDxfId="613"/>
    <tableColumn id="23" xr3:uid="{00000000-0010-0000-0200-000017000000}" name="Overbite (mm)" dataDxfId="612"/>
    <tableColumn id="24" xr3:uid="{00000000-0010-0000-0200-000018000000}" name="Overjet (mm)" dataDxfId="611"/>
    <tableColumn id="25" xr3:uid="{00000000-0010-0000-0200-000019000000}" name="Anterior Crossbite" dataDxfId="610"/>
    <tableColumn id="26" xr3:uid="{00000000-0010-0000-0200-00001A000000}" name="Posterior Crossbite" dataDxfId="609"/>
    <tableColumn id="27" xr3:uid="{00000000-0010-0000-0200-00001B000000}" name="Re-tie Appointment" dataDxfId="608"/>
    <tableColumn id="28" xr3:uid="{00000000-0010-0000-0200-00001C000000}" name="Changed Upper Arch Wire" dataDxfId="607"/>
    <tableColumn id="29" xr3:uid="{00000000-0010-0000-0200-00001D000000}" name="Changed Lower Arch Wire" dataDxfId="606"/>
    <tableColumn id="30" xr3:uid="{00000000-0010-0000-0200-00001E000000}" name="Upper Wire Material" dataDxfId="605"/>
    <tableColumn id="31" xr3:uid="{00000000-0010-0000-0200-00001F000000}" name="Upper Wire Size" dataDxfId="604"/>
    <tableColumn id="32" xr3:uid="{00000000-0010-0000-0200-000020000000}" name="Lower Wire Material" dataDxfId="603"/>
    <tableColumn id="33" xr3:uid="{00000000-0010-0000-0200-000021000000}" name="Lower Wire Size" dataDxfId="602"/>
    <tableColumn id="34" xr3:uid="{00000000-0010-0000-0200-000022000000}" name="Ligature Method" dataDxfId="601"/>
    <tableColumn id="35" xr3:uid="{00000000-0010-0000-0200-000023000000}" name="Elastic Pattern Right" dataDxfId="600"/>
    <tableColumn id="36" xr3:uid="{00000000-0010-0000-0200-000024000000}" name="Elastic Type Right" dataDxfId="599"/>
    <tableColumn id="37" xr3:uid="{00000000-0010-0000-0200-000025000000}" name="Elastic Pattern Left" dataDxfId="598"/>
    <tableColumn id="38" xr3:uid="{00000000-0010-0000-0200-000026000000}" name="Elastic Type Left" dataDxfId="597"/>
    <tableColumn id="39" xr3:uid="{00000000-0010-0000-0200-000027000000}" name="Appliance" dataDxfId="596"/>
    <tableColumn id="40" xr3:uid="{00000000-0010-0000-0200-000028000000}" name="Open Spring" dataDxfId="595"/>
    <tableColumn id="41" xr3:uid="{00000000-0010-0000-0200-000029000000}" name="Closed Spring" dataDxfId="594"/>
    <tableColumn id="42" xr3:uid="{00000000-0010-0000-0200-00002A000000}" name="Anterior Bite Turbos" dataDxfId="593"/>
    <tableColumn id="43" xr3:uid="{00000000-0010-0000-0200-00002B000000}" name="Posterior Bite Turbos" dataDxfId="592"/>
    <tableColumn id="44" xr3:uid="{00000000-0010-0000-0200-00002C000000}" name="Cantilever" dataDxfId="591"/>
    <tableColumn id="45" xr3:uid="{00000000-0010-0000-0200-00002D000000}" name="NANCE" dataDxfId="590"/>
    <tableColumn id="46" xr3:uid="{00000000-0010-0000-0200-00002E000000}" name="TADs" dataDxfId="589"/>
    <tableColumn id="47" xr3:uid="{00000000-0010-0000-0200-00002F000000}" name="Mandibular Advancement Appliance" dataDxfId="588"/>
    <tableColumn id="48" xr3:uid="{00000000-0010-0000-0200-000030000000}" name="Maxillary Expander" dataDxfId="587"/>
    <tableColumn id="49" xr3:uid="{00000000-0010-0000-0200-000031000000}" name="TPA" dataDxfId="586"/>
    <tableColumn id="50" xr3:uid="{00000000-0010-0000-0200-000032000000}" name="LLHA" dataDxfId="585"/>
    <tableColumn id="51" xr3:uid="{00000000-0010-0000-0200-000033000000}" name="Tongue Crib" dataDxfId="584"/>
    <tableColumn id="52" xr3:uid="{00000000-0010-0000-0200-000034000000}" name="FaceMask" dataDxfId="583"/>
    <tableColumn id="53" xr3:uid="{00000000-0010-0000-0200-000035000000}" name="Oral Hygiene" dataDxfId="582"/>
    <tableColumn id="54" xr3:uid="{00000000-0010-0000-0200-000036000000}" name="Compliance" dataDxfId="581"/>
    <tableColumn id="55" xr3:uid="{00000000-0010-0000-0200-000037000000}" name="Bracket OR BAND Repositioning" dataDxfId="580"/>
    <tableColumn id="56" xr3:uid="{00000000-0010-0000-0200-000038000000}" name="EMERGENCY" dataDxfId="579"/>
    <tableColumn id="57" xr3:uid="{00000000-0010-0000-0200-000039000000}" name="Emergency Type" dataDxfId="578"/>
    <tableColumn id="58" xr3:uid="{00000000-0010-0000-0200-00003A000000}" name="Debonded Bracket" dataDxfId="577"/>
    <tableColumn id="59" xr3:uid="{00000000-0010-0000-0200-00003B000000}" name="Retainer" dataDxfId="576"/>
    <tableColumn id="60" xr3:uid="{00000000-0010-0000-0200-00003C000000}" name="Upper Arch Bends" dataDxfId="575"/>
    <tableColumn id="61" xr3:uid="{00000000-0010-0000-0200-00003D000000}" name="Lower Arch Bends" dataDxfId="574"/>
    <tableColumn id="62" xr3:uid="{00000000-0010-0000-0200-00003E000000}" name="COS upper" dataDxfId="573"/>
    <tableColumn id="63" xr3:uid="{00000000-0010-0000-0200-00003F000000}" name="COS lower" dataDxfId="572"/>
    <tableColumn id="64" xr3:uid="{00000000-0010-0000-0200-000040000000}" name="Upper Debond" dataDxfId="571"/>
    <tableColumn id="65" xr3:uid="{00000000-0010-0000-0200-000041000000}" name="Lower Debond" dataDxfId="570"/>
    <tableColumn id="66" xr3:uid="{00000000-0010-0000-0200-000042000000}" name="Retainer Check" dataDxfId="569"/>
    <tableColumn id="67" xr3:uid="{00000000-0010-0000-0200-000043000000}" name="Relapse" dataDxfId="568"/>
  </tableColumns>
  <tableStyleInfo name="TableStyleLight1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1" displayName="Table11" ref="A1:BO36" totalsRowShown="0" headerRowDxfId="567" dataDxfId="565" headerRowBorderDxfId="566" tableBorderDxfId="564" headerRowCellStyle="Normal 2" dataCellStyle="Normal 2">
  <autoFilter ref="A1:BO36" xr:uid="{00000000-0009-0000-0100-000004000000}"/>
  <tableColumns count="67">
    <tableColumn id="1" xr3:uid="{00000000-0010-0000-0300-000001000000}" name="Record ID" dataDxfId="563" dataCellStyle="Normal 2"/>
    <tableColumn id="2" xr3:uid="{00000000-0010-0000-0300-000002000000}" name="Patient ID" dataDxfId="562" dataCellStyle="Normal 2"/>
    <tableColumn id="3" xr3:uid="{00000000-0010-0000-0300-000003000000}" name="Note Date" dataDxfId="561" dataCellStyle="Normal 2"/>
    <tableColumn id="4" xr3:uid="{00000000-0010-0000-0300-000004000000}" name="Note Month" dataDxfId="560" dataCellStyle="Normal 2"/>
    <tableColumn id="5" xr3:uid="{00000000-0010-0000-0300-000005000000}" name="Raw Note Text" dataDxfId="559" dataCellStyle="Normal 2"/>
    <tableColumn id="6" xr3:uid="{00000000-0010-0000-0300-000006000000}" name="Annotated" dataDxfId="558" dataCellStyle="Normal 2"/>
    <tableColumn id="7" xr3:uid="{00000000-0010-0000-0300-000007000000}" name="Recods Taken (x-rays; IOS; Photos, Facial scanning)" dataDxfId="557" dataCellStyle="Normal 2"/>
    <tableColumn id="8" xr3:uid="{00000000-0010-0000-0300-000008000000}" name="Upper Bonding" dataDxfId="556" dataCellStyle="Normal 2"/>
    <tableColumn id="9" xr3:uid="{00000000-0010-0000-0300-000009000000}" name="Upper Banding" dataDxfId="555" dataCellStyle="Normal 2"/>
    <tableColumn id="10" xr3:uid="{00000000-0010-0000-0300-00000A000000}" name="Lower Bonding" dataDxfId="554" dataCellStyle="Normal 2"/>
    <tableColumn id="11" xr3:uid="{00000000-0010-0000-0300-00000B000000}" name="Lower Banding" dataDxfId="553" dataCellStyle="Normal 2"/>
    <tableColumn id="12" xr3:uid="{00000000-0010-0000-0300-00000C000000}" name="Prescription and Bracket Slot" dataDxfId="552" dataCellStyle="Normal 2"/>
    <tableColumn id="13" xr3:uid="{00000000-0010-0000-0300-00000D000000}" name="Active Space Closure" dataDxfId="551" dataCellStyle="Normal 2"/>
    <tableColumn id="14" xr3:uid="{00000000-0010-0000-0300-00000E000000}" name="IPR" dataDxfId="550" dataCellStyle="Normal 2"/>
    <tableColumn id="15" xr3:uid="{00000000-0010-0000-0300-00000F000000}" name="Enameloplasty" dataDxfId="549" dataCellStyle="Normal 2"/>
    <tableColumn id="16" xr3:uid="{00000000-0010-0000-0300-000010000000}" name="Extractions" dataDxfId="548" dataCellStyle="Normal 2"/>
    <tableColumn id="17" xr3:uid="{00000000-0010-0000-0300-000011000000}" name="TMJ symptoms" dataDxfId="547" dataCellStyle="Normal 2"/>
    <tableColumn id="18" xr3:uid="{00000000-0010-0000-0300-000012000000}" name="Referral" dataDxfId="546" dataCellStyle="Normal 2"/>
    <tableColumn id="19" xr3:uid="{00000000-0010-0000-0300-000013000000}" name="Right Canine Class" dataDxfId="545" dataCellStyle="Normal 2"/>
    <tableColumn id="20" xr3:uid="{00000000-0010-0000-0300-000014000000}" name="Right Molar Class" dataDxfId="544" dataCellStyle="Normal 2"/>
    <tableColumn id="21" xr3:uid="{00000000-0010-0000-0300-000015000000}" name="Left Canine Class" dataDxfId="543" dataCellStyle="Normal 2"/>
    <tableColumn id="22" xr3:uid="{00000000-0010-0000-0300-000016000000}" name="Left Molar Class" dataDxfId="542" dataCellStyle="Normal 2"/>
    <tableColumn id="23" xr3:uid="{00000000-0010-0000-0300-000017000000}" name="Overbite (mm)" dataDxfId="541" dataCellStyle="Normal 2"/>
    <tableColumn id="24" xr3:uid="{00000000-0010-0000-0300-000018000000}" name="Overjet (mm)" dataDxfId="540" dataCellStyle="Normal 2"/>
    <tableColumn id="25" xr3:uid="{00000000-0010-0000-0300-000019000000}" name="Anterior Crossbite" dataDxfId="539" dataCellStyle="Normal 2"/>
    <tableColumn id="26" xr3:uid="{00000000-0010-0000-0300-00001A000000}" name="Posterior Crossbite" dataDxfId="538" dataCellStyle="Normal 2"/>
    <tableColumn id="27" xr3:uid="{00000000-0010-0000-0300-00001B000000}" name="Re-tie Appointment" dataDxfId="537" dataCellStyle="Normal 2"/>
    <tableColumn id="28" xr3:uid="{00000000-0010-0000-0300-00001C000000}" name="Changed Upper Arch Wire" dataDxfId="536" dataCellStyle="Normal 2"/>
    <tableColumn id="29" xr3:uid="{00000000-0010-0000-0300-00001D000000}" name="Changed Lower Arch Wire" dataDxfId="535" dataCellStyle="Normal 2"/>
    <tableColumn id="30" xr3:uid="{00000000-0010-0000-0300-00001E000000}" name="Upper Wire Material" dataDxfId="534" dataCellStyle="Normal 2"/>
    <tableColumn id="31" xr3:uid="{00000000-0010-0000-0300-00001F000000}" name="Upper Wire Size" dataDxfId="533" dataCellStyle="Normal 2"/>
    <tableColumn id="32" xr3:uid="{00000000-0010-0000-0300-000020000000}" name="Lower Wire Material" dataDxfId="532" dataCellStyle="Normal 2"/>
    <tableColumn id="33" xr3:uid="{00000000-0010-0000-0300-000021000000}" name="Lower Wire Size" dataDxfId="531" dataCellStyle="Normal 2"/>
    <tableColumn id="34" xr3:uid="{00000000-0010-0000-0300-000022000000}" name="Ligature Method" dataDxfId="530" dataCellStyle="Normal 2"/>
    <tableColumn id="35" xr3:uid="{00000000-0010-0000-0300-000023000000}" name="Elastic Pattern Right" dataDxfId="529" dataCellStyle="Normal 2"/>
    <tableColumn id="36" xr3:uid="{00000000-0010-0000-0300-000024000000}" name="Elastic Type Right" dataDxfId="528" dataCellStyle="Normal 2"/>
    <tableColumn id="37" xr3:uid="{00000000-0010-0000-0300-000025000000}" name="Elastic Pattern Left" dataDxfId="527" dataCellStyle="Normal 2"/>
    <tableColumn id="38" xr3:uid="{00000000-0010-0000-0300-000026000000}" name="Elastic Type Left" dataDxfId="526" dataCellStyle="Normal 2"/>
    <tableColumn id="39" xr3:uid="{00000000-0010-0000-0300-000027000000}" name="Appliance" dataDxfId="525" dataCellStyle="Normal 2"/>
    <tableColumn id="40" xr3:uid="{00000000-0010-0000-0300-000028000000}" name="Open Spring" dataDxfId="524" dataCellStyle="Normal 2"/>
    <tableColumn id="41" xr3:uid="{00000000-0010-0000-0300-000029000000}" name="Closed Spring" dataDxfId="523" dataCellStyle="Normal 2"/>
    <tableColumn id="42" xr3:uid="{00000000-0010-0000-0300-00002A000000}" name="Anterior Bite Turbos" dataDxfId="522" dataCellStyle="Normal 2"/>
    <tableColumn id="43" xr3:uid="{00000000-0010-0000-0300-00002B000000}" name="Posterior Bite Turbos" dataDxfId="521" dataCellStyle="Normal 2"/>
    <tableColumn id="44" xr3:uid="{00000000-0010-0000-0300-00002C000000}" name="Cantilever" dataDxfId="520" dataCellStyle="Normal 2"/>
    <tableColumn id="45" xr3:uid="{00000000-0010-0000-0300-00002D000000}" name="NANCE" dataDxfId="519" dataCellStyle="Normal 2"/>
    <tableColumn id="46" xr3:uid="{00000000-0010-0000-0300-00002E000000}" name="TADs" dataDxfId="518" dataCellStyle="Normal 2"/>
    <tableColumn id="47" xr3:uid="{00000000-0010-0000-0300-00002F000000}" name="Mandibular Advancement Appliance" dataDxfId="517" dataCellStyle="Normal 2"/>
    <tableColumn id="48" xr3:uid="{00000000-0010-0000-0300-000030000000}" name="Maxillary Expander" dataDxfId="516" dataCellStyle="Normal 2"/>
    <tableColumn id="49" xr3:uid="{00000000-0010-0000-0300-000031000000}" name="TPA" dataDxfId="515" dataCellStyle="Normal 2"/>
    <tableColumn id="50" xr3:uid="{00000000-0010-0000-0300-000032000000}" name="LLHA" dataDxfId="514" dataCellStyle="Normal 2"/>
    <tableColumn id="51" xr3:uid="{00000000-0010-0000-0300-000033000000}" name="Tongue Crib" dataDxfId="513" dataCellStyle="Normal 2"/>
    <tableColumn id="52" xr3:uid="{00000000-0010-0000-0300-000034000000}" name="FaceMask" dataDxfId="512" dataCellStyle="Normal 2"/>
    <tableColumn id="53" xr3:uid="{00000000-0010-0000-0300-000035000000}" name="Oral Hygiene" dataDxfId="511" dataCellStyle="Normal 2"/>
    <tableColumn id="54" xr3:uid="{00000000-0010-0000-0300-000036000000}" name="Compliance" dataDxfId="510" dataCellStyle="Normal 2"/>
    <tableColumn id="55" xr3:uid="{00000000-0010-0000-0300-000037000000}" name="Bracket OR BAND Repositioning" dataDxfId="509" dataCellStyle="Normal 2"/>
    <tableColumn id="56" xr3:uid="{00000000-0010-0000-0300-000038000000}" name="EMERGENCY" dataDxfId="508" dataCellStyle="Normal 2"/>
    <tableColumn id="57" xr3:uid="{00000000-0010-0000-0300-000039000000}" name="Emergency Type" dataDxfId="507" dataCellStyle="Normal 2"/>
    <tableColumn id="58" xr3:uid="{00000000-0010-0000-0300-00003A000000}" name="Debonded Bracket" dataDxfId="506" dataCellStyle="Normal 2"/>
    <tableColumn id="59" xr3:uid="{00000000-0010-0000-0300-00003B000000}" name="Retainer" dataDxfId="505" dataCellStyle="Normal 2"/>
    <tableColumn id="60" xr3:uid="{00000000-0010-0000-0300-00003C000000}" name="Upper Arch Bends" dataDxfId="504" dataCellStyle="Normal 2"/>
    <tableColumn id="61" xr3:uid="{00000000-0010-0000-0300-00003D000000}" name="Lower Arch Bends" dataDxfId="503" dataCellStyle="Normal 2"/>
    <tableColumn id="62" xr3:uid="{00000000-0010-0000-0300-00003E000000}" name="COS upper" dataDxfId="502" dataCellStyle="Normal 2"/>
    <tableColumn id="63" xr3:uid="{00000000-0010-0000-0300-00003F000000}" name="COS lower" dataDxfId="501" dataCellStyle="Normal 2"/>
    <tableColumn id="64" xr3:uid="{00000000-0010-0000-0300-000040000000}" name="Upper Debond" dataDxfId="500" dataCellStyle="Normal 2"/>
    <tableColumn id="65" xr3:uid="{00000000-0010-0000-0300-000041000000}" name="Lower Debond" dataDxfId="499" dataCellStyle="Normal 2"/>
    <tableColumn id="66" xr3:uid="{00000000-0010-0000-0300-000042000000}" name="Retainer Check" dataDxfId="498" dataCellStyle="Normal 2"/>
    <tableColumn id="67" xr3:uid="{00000000-0010-0000-0300-000043000000}" name="Relapse" dataDxfId="497" dataCellStyle="Normal 2"/>
  </tableColumns>
  <tableStyleInfo name="TableStyleLight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 displayName="Table1" ref="A1:BO31" totalsRowShown="0" headerRowDxfId="496" dataDxfId="494" headerRowBorderDxfId="495" tableBorderDxfId="493" headerRowCellStyle="Normal 2" dataCellStyle="Normal 2">
  <autoFilter ref="A1:BO31" xr:uid="{00000000-0009-0000-0100-000005000000}"/>
  <tableColumns count="67">
    <tableColumn id="1" xr3:uid="{00000000-0010-0000-0400-000001000000}" name="Record ID" dataDxfId="492" dataCellStyle="Normal 2"/>
    <tableColumn id="2" xr3:uid="{00000000-0010-0000-0400-000002000000}" name="Patient ID" dataDxfId="491" dataCellStyle="Normal 2"/>
    <tableColumn id="3" xr3:uid="{00000000-0010-0000-0400-000003000000}" name="Note Date" dataDxfId="490" dataCellStyle="Normal 2"/>
    <tableColumn id="4" xr3:uid="{00000000-0010-0000-0400-000004000000}" name="Note Month" dataDxfId="489" dataCellStyle="Normal 2"/>
    <tableColumn id="5" xr3:uid="{00000000-0010-0000-0400-000005000000}" name="Raw Note Text" dataDxfId="488" dataCellStyle="Normal 2"/>
    <tableColumn id="6" xr3:uid="{00000000-0010-0000-0400-000006000000}" name="Annotated" dataDxfId="487" dataCellStyle="Normal 2"/>
    <tableColumn id="7" xr3:uid="{00000000-0010-0000-0400-000007000000}" name="Recods Taken (x-rays; IOS; Photos, Facial scanning)" dataDxfId="486" dataCellStyle="Normal 2"/>
    <tableColumn id="8" xr3:uid="{00000000-0010-0000-0400-000008000000}" name="Upper Bonding" dataDxfId="485" dataCellStyle="Normal 2"/>
    <tableColumn id="9" xr3:uid="{00000000-0010-0000-0400-000009000000}" name="Upper Banding" dataDxfId="484" dataCellStyle="Normal 2"/>
    <tableColumn id="10" xr3:uid="{00000000-0010-0000-0400-00000A000000}" name="Lower Bonding" dataDxfId="483" dataCellStyle="Normal 2"/>
    <tableColumn id="11" xr3:uid="{00000000-0010-0000-0400-00000B000000}" name="Lower Banding" dataDxfId="482" dataCellStyle="Normal 2"/>
    <tableColumn id="12" xr3:uid="{00000000-0010-0000-0400-00000C000000}" name="Prescription and Bracket Slot" dataDxfId="481" dataCellStyle="Normal 2"/>
    <tableColumn id="13" xr3:uid="{00000000-0010-0000-0400-00000D000000}" name="Active Space Closure" dataDxfId="480" dataCellStyle="Normal 2"/>
    <tableColumn id="14" xr3:uid="{00000000-0010-0000-0400-00000E000000}" name="IPR" dataDxfId="479" dataCellStyle="Normal 2"/>
    <tableColumn id="15" xr3:uid="{00000000-0010-0000-0400-00000F000000}" name="Enameloplasty" dataDxfId="478" dataCellStyle="Normal 2"/>
    <tableColumn id="16" xr3:uid="{00000000-0010-0000-0400-000010000000}" name="Extractions" dataDxfId="477" dataCellStyle="Normal 2"/>
    <tableColumn id="17" xr3:uid="{00000000-0010-0000-0400-000011000000}" name="TMJ symptoms" dataDxfId="476" dataCellStyle="Normal 2"/>
    <tableColumn id="18" xr3:uid="{00000000-0010-0000-0400-000012000000}" name="Referral" dataDxfId="475" dataCellStyle="Normal 2"/>
    <tableColumn id="19" xr3:uid="{00000000-0010-0000-0400-000013000000}" name="Right Canine Class" dataDxfId="474" dataCellStyle="Normal 2"/>
    <tableColumn id="20" xr3:uid="{00000000-0010-0000-0400-000014000000}" name="Right Molar Class" dataDxfId="473" dataCellStyle="Normal 2"/>
    <tableColumn id="21" xr3:uid="{00000000-0010-0000-0400-000015000000}" name="Left Canine Class" dataDxfId="472" dataCellStyle="Normal 2"/>
    <tableColumn id="22" xr3:uid="{00000000-0010-0000-0400-000016000000}" name="Left Molar Class" dataDxfId="471" dataCellStyle="Normal 2"/>
    <tableColumn id="23" xr3:uid="{00000000-0010-0000-0400-000017000000}" name="Overbite (mm)" dataDxfId="470" dataCellStyle="Normal 2"/>
    <tableColumn id="24" xr3:uid="{00000000-0010-0000-0400-000018000000}" name="Overjet (mm)" dataDxfId="469" dataCellStyle="Normal 2"/>
    <tableColumn id="25" xr3:uid="{00000000-0010-0000-0400-000019000000}" name="Anterior Crossbite" dataDxfId="468" dataCellStyle="Normal 2"/>
    <tableColumn id="26" xr3:uid="{00000000-0010-0000-0400-00001A000000}" name="Posterior Crossbite" dataDxfId="467" dataCellStyle="Normal 2"/>
    <tableColumn id="27" xr3:uid="{00000000-0010-0000-0400-00001B000000}" name="Re-tie Appointment" dataDxfId="466" dataCellStyle="Normal 2"/>
    <tableColumn id="28" xr3:uid="{00000000-0010-0000-0400-00001C000000}" name="Changed Upper Arch Wire" dataDxfId="465" dataCellStyle="Normal 2"/>
    <tableColumn id="29" xr3:uid="{00000000-0010-0000-0400-00001D000000}" name="Changed Lower Arch Wire" dataDxfId="464" dataCellStyle="Normal 2"/>
    <tableColumn id="30" xr3:uid="{00000000-0010-0000-0400-00001E000000}" name="Upper Wire Material" dataDxfId="463" dataCellStyle="Normal 2"/>
    <tableColumn id="31" xr3:uid="{00000000-0010-0000-0400-00001F000000}" name="Upper Wire Size" dataDxfId="462" dataCellStyle="Normal 2"/>
    <tableColumn id="32" xr3:uid="{00000000-0010-0000-0400-000020000000}" name="Lower Wire Material" dataDxfId="461" dataCellStyle="Normal 2"/>
    <tableColumn id="33" xr3:uid="{00000000-0010-0000-0400-000021000000}" name="Lower Wire Size" dataDxfId="460" dataCellStyle="Normal 2"/>
    <tableColumn id="34" xr3:uid="{00000000-0010-0000-0400-000022000000}" name="Ligature Method" dataDxfId="459" dataCellStyle="Normal 2"/>
    <tableColumn id="35" xr3:uid="{00000000-0010-0000-0400-000023000000}" name="Elastic Pattern Right" dataDxfId="458" dataCellStyle="Normal 2"/>
    <tableColumn id="36" xr3:uid="{00000000-0010-0000-0400-000024000000}" name="Elastic Type Right" dataDxfId="457" dataCellStyle="Normal 2"/>
    <tableColumn id="37" xr3:uid="{00000000-0010-0000-0400-000025000000}" name="Elastic Pattern Left" dataDxfId="456" dataCellStyle="Normal 2"/>
    <tableColumn id="38" xr3:uid="{00000000-0010-0000-0400-000026000000}" name="Elastic Type Left" dataDxfId="455" dataCellStyle="Normal 2"/>
    <tableColumn id="39" xr3:uid="{00000000-0010-0000-0400-000027000000}" name="Appliance" dataDxfId="454" dataCellStyle="Normal 2"/>
    <tableColumn id="40" xr3:uid="{00000000-0010-0000-0400-000028000000}" name="Open Spring" dataDxfId="453" dataCellStyle="Normal 2"/>
    <tableColumn id="41" xr3:uid="{00000000-0010-0000-0400-000029000000}" name="Closed Spring" dataDxfId="452" dataCellStyle="Normal 2"/>
    <tableColumn id="42" xr3:uid="{00000000-0010-0000-0400-00002A000000}" name="Anterior Bite Turbos" dataDxfId="451" dataCellStyle="Normal 2"/>
    <tableColumn id="43" xr3:uid="{00000000-0010-0000-0400-00002B000000}" name="Posterior Bite Turbos" dataDxfId="450" dataCellStyle="Normal 2"/>
    <tableColumn id="44" xr3:uid="{00000000-0010-0000-0400-00002C000000}" name="Cantilever" dataDxfId="449" dataCellStyle="Normal 2"/>
    <tableColumn id="45" xr3:uid="{00000000-0010-0000-0400-00002D000000}" name="NANCE" dataDxfId="448" dataCellStyle="Normal 2"/>
    <tableColumn id="46" xr3:uid="{00000000-0010-0000-0400-00002E000000}" name="TADs" dataDxfId="447" dataCellStyle="Normal 2"/>
    <tableColumn id="47" xr3:uid="{00000000-0010-0000-0400-00002F000000}" name="Mandibular Advancement Appliance" dataDxfId="446" dataCellStyle="Normal 2"/>
    <tableColumn id="48" xr3:uid="{00000000-0010-0000-0400-000030000000}" name="Maxillary Expander" dataDxfId="445" dataCellStyle="Normal 2"/>
    <tableColumn id="49" xr3:uid="{00000000-0010-0000-0400-000031000000}" name="TPA" dataDxfId="444" dataCellStyle="Normal 2"/>
    <tableColumn id="50" xr3:uid="{00000000-0010-0000-0400-000032000000}" name="LLHA" dataDxfId="443" dataCellStyle="Normal 2"/>
    <tableColumn id="51" xr3:uid="{00000000-0010-0000-0400-000033000000}" name="Tongue Crib" dataDxfId="442" dataCellStyle="Normal 2"/>
    <tableColumn id="52" xr3:uid="{00000000-0010-0000-0400-000034000000}" name="FaceMask" dataDxfId="441" dataCellStyle="Normal 2"/>
    <tableColumn id="53" xr3:uid="{00000000-0010-0000-0400-000035000000}" name="Oral Hygiene" dataDxfId="440" dataCellStyle="Normal 2"/>
    <tableColumn id="54" xr3:uid="{00000000-0010-0000-0400-000036000000}" name="Compliance" dataDxfId="439" dataCellStyle="Normal 2"/>
    <tableColumn id="55" xr3:uid="{00000000-0010-0000-0400-000037000000}" name="Bracket OR BAND Repositioning" dataDxfId="438" dataCellStyle="Normal 2"/>
    <tableColumn id="56" xr3:uid="{00000000-0010-0000-0400-000038000000}" name="EMERGENCY" dataDxfId="437" dataCellStyle="Normal 2"/>
    <tableColumn id="57" xr3:uid="{00000000-0010-0000-0400-000039000000}" name="Emergency Type" dataDxfId="436" dataCellStyle="Normal 2"/>
    <tableColumn id="58" xr3:uid="{00000000-0010-0000-0400-00003A000000}" name="Debonded Bracket" dataDxfId="435" dataCellStyle="Normal 2"/>
    <tableColumn id="59" xr3:uid="{00000000-0010-0000-0400-00003B000000}" name="Retainer" dataDxfId="434" dataCellStyle="Normal 2"/>
    <tableColumn id="60" xr3:uid="{00000000-0010-0000-0400-00003C000000}" name="Upper Arch Bends" dataDxfId="433" dataCellStyle="Normal 2"/>
    <tableColumn id="61" xr3:uid="{00000000-0010-0000-0400-00003D000000}" name="Lower Arch Bends" dataDxfId="432" dataCellStyle="Normal 2"/>
    <tableColumn id="62" xr3:uid="{00000000-0010-0000-0400-00003E000000}" name="COS upper" dataDxfId="431" dataCellStyle="Normal 2"/>
    <tableColumn id="63" xr3:uid="{00000000-0010-0000-0400-00003F000000}" name="COS lower" dataDxfId="430" dataCellStyle="Normal 2"/>
    <tableColumn id="64" xr3:uid="{00000000-0010-0000-0400-000040000000}" name="Upper Debond" dataDxfId="429" dataCellStyle="Normal 2"/>
    <tableColumn id="65" xr3:uid="{00000000-0010-0000-0400-000041000000}" name="Lower Debond" dataDxfId="428" dataCellStyle="Normal 2"/>
    <tableColumn id="66" xr3:uid="{00000000-0010-0000-0400-000042000000}" name="Retainer Check" dataDxfId="427" dataCellStyle="Normal 2"/>
    <tableColumn id="67" xr3:uid="{00000000-0010-0000-0400-000043000000}" name="Relapse" dataDxfId="426" dataCellStyle="Normal 2"/>
  </tableColumns>
  <tableStyleInfo name="TableStyleLight13"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1:BO42" totalsRowShown="0" headerRowDxfId="425" dataDxfId="423" headerRowBorderDxfId="424" tableBorderDxfId="422">
  <autoFilter ref="A1:BO42" xr:uid="{00000000-0009-0000-0100-000002000000}"/>
  <tableColumns count="67">
    <tableColumn id="1" xr3:uid="{00000000-0010-0000-0100-000001000000}" name="Record ID" dataDxfId="421"/>
    <tableColumn id="2" xr3:uid="{00000000-0010-0000-0100-000002000000}" name="Patient ID" dataDxfId="420"/>
    <tableColumn id="3" xr3:uid="{00000000-0010-0000-0100-000003000000}" name="Note Date" dataDxfId="419"/>
    <tableColumn id="4" xr3:uid="{00000000-0010-0000-0100-000004000000}" name="Note Month" dataDxfId="418"/>
    <tableColumn id="5" xr3:uid="{00000000-0010-0000-0100-000005000000}" name="Raw Note Text" dataDxfId="417"/>
    <tableColumn id="6" xr3:uid="{00000000-0010-0000-0100-000006000000}" name="Annotated" dataDxfId="416"/>
    <tableColumn id="7" xr3:uid="{00000000-0010-0000-0100-000007000000}" name="Recods Taken (x-rays; IOS; Photos, Facial scanning)" dataDxfId="415"/>
    <tableColumn id="8" xr3:uid="{00000000-0010-0000-0100-000008000000}" name="Upper Bonding" dataDxfId="414"/>
    <tableColumn id="9" xr3:uid="{00000000-0010-0000-0100-000009000000}" name="Upper Banding" dataDxfId="413"/>
    <tableColumn id="10" xr3:uid="{00000000-0010-0000-0100-00000A000000}" name="Lower Bonding" dataDxfId="412"/>
    <tableColumn id="11" xr3:uid="{00000000-0010-0000-0100-00000B000000}" name="Lower Banding" dataDxfId="411"/>
    <tableColumn id="12" xr3:uid="{00000000-0010-0000-0100-00000C000000}" name="Prescription and Bracket Slot" dataDxfId="410"/>
    <tableColumn id="13" xr3:uid="{00000000-0010-0000-0100-00000D000000}" name="Active Space Closure_x000a_" dataDxfId="409"/>
    <tableColumn id="14" xr3:uid="{00000000-0010-0000-0100-00000E000000}" name="IPR" dataDxfId="408"/>
    <tableColumn id="15" xr3:uid="{00000000-0010-0000-0100-00000F000000}" name="Enameloplasty" dataDxfId="407"/>
    <tableColumn id="16" xr3:uid="{00000000-0010-0000-0100-000010000000}" name="Extractions" dataDxfId="406"/>
    <tableColumn id="17" xr3:uid="{00000000-0010-0000-0100-000011000000}" name="TMJ symptoms" dataDxfId="405"/>
    <tableColumn id="18" xr3:uid="{00000000-0010-0000-0100-000012000000}" name="Referral" dataDxfId="404"/>
    <tableColumn id="19" xr3:uid="{00000000-0010-0000-0100-000013000000}" name="Right Canine Class" dataDxfId="403"/>
    <tableColumn id="20" xr3:uid="{00000000-0010-0000-0100-000014000000}" name="Right Molar Class" dataDxfId="402"/>
    <tableColumn id="21" xr3:uid="{00000000-0010-0000-0100-000015000000}" name="Left Canine Class" dataDxfId="401"/>
    <tableColumn id="22" xr3:uid="{00000000-0010-0000-0100-000016000000}" name="Left Molar Class" dataDxfId="400"/>
    <tableColumn id="23" xr3:uid="{00000000-0010-0000-0100-000017000000}" name="Overbite (mm)" dataDxfId="399"/>
    <tableColumn id="24" xr3:uid="{00000000-0010-0000-0100-000018000000}" name="Overjet (mm)" dataDxfId="398"/>
    <tableColumn id="25" xr3:uid="{00000000-0010-0000-0100-000019000000}" name="Anterior Crossbite" dataDxfId="397"/>
    <tableColumn id="26" xr3:uid="{00000000-0010-0000-0100-00001A000000}" name="Posterior Crossbite" dataDxfId="396"/>
    <tableColumn id="27" xr3:uid="{00000000-0010-0000-0100-00001B000000}" name="Re-tie Appointment" dataDxfId="395"/>
    <tableColumn id="28" xr3:uid="{00000000-0010-0000-0100-00001C000000}" name="Changed Upper Arch Wire" dataDxfId="394"/>
    <tableColumn id="29" xr3:uid="{00000000-0010-0000-0100-00001D000000}" name="Changed Lower Arch Wire" dataDxfId="393"/>
    <tableColumn id="30" xr3:uid="{00000000-0010-0000-0100-00001E000000}" name="Upper Wire Material" dataDxfId="392"/>
    <tableColumn id="31" xr3:uid="{00000000-0010-0000-0100-00001F000000}" name="Upper Wire Size" dataDxfId="391"/>
    <tableColumn id="32" xr3:uid="{00000000-0010-0000-0100-000020000000}" name="Lower Wire Material" dataDxfId="390"/>
    <tableColumn id="33" xr3:uid="{00000000-0010-0000-0100-000021000000}" name="Lower Wire Size" dataDxfId="389"/>
    <tableColumn id="34" xr3:uid="{00000000-0010-0000-0100-000022000000}" name="Ligature Method" dataDxfId="388"/>
    <tableColumn id="35" xr3:uid="{00000000-0010-0000-0100-000023000000}" name="Elastic Pattern Right" dataDxfId="387"/>
    <tableColumn id="36" xr3:uid="{00000000-0010-0000-0100-000024000000}" name="Elastic Type Right" dataDxfId="386"/>
    <tableColumn id="37" xr3:uid="{00000000-0010-0000-0100-000025000000}" name="Elastic Pattern Left" dataDxfId="385"/>
    <tableColumn id="38" xr3:uid="{00000000-0010-0000-0100-000026000000}" name="Elastic Type Left" dataDxfId="384"/>
    <tableColumn id="39" xr3:uid="{00000000-0010-0000-0100-000027000000}" name="Appliance" dataDxfId="383"/>
    <tableColumn id="40" xr3:uid="{00000000-0010-0000-0100-000028000000}" name="Open Spring" dataDxfId="382"/>
    <tableColumn id="41" xr3:uid="{00000000-0010-0000-0100-000029000000}" name="Closed Spring" dataDxfId="381"/>
    <tableColumn id="42" xr3:uid="{00000000-0010-0000-0100-00002A000000}" name="Anterior Bite Turbos" dataDxfId="380"/>
    <tableColumn id="43" xr3:uid="{00000000-0010-0000-0100-00002B000000}" name="Posterior Bite Turbos" dataDxfId="379"/>
    <tableColumn id="44" xr3:uid="{00000000-0010-0000-0100-00002C000000}" name="Cantilever" dataDxfId="378"/>
    <tableColumn id="45" xr3:uid="{00000000-0010-0000-0100-00002D000000}" name="NANCE" dataDxfId="377"/>
    <tableColumn id="46" xr3:uid="{00000000-0010-0000-0100-00002E000000}" name="TADs" dataDxfId="376"/>
    <tableColumn id="47" xr3:uid="{00000000-0010-0000-0100-00002F000000}" name="Mandibular Advancement Appliance" dataDxfId="375"/>
    <tableColumn id="48" xr3:uid="{00000000-0010-0000-0100-000030000000}" name="Maxillary Expander" dataDxfId="374"/>
    <tableColumn id="49" xr3:uid="{00000000-0010-0000-0100-000031000000}" name="TPA" dataDxfId="373"/>
    <tableColumn id="50" xr3:uid="{00000000-0010-0000-0100-000032000000}" name="LLHA" dataDxfId="372"/>
    <tableColumn id="51" xr3:uid="{00000000-0010-0000-0100-000033000000}" name="Tongue Crib" dataDxfId="371"/>
    <tableColumn id="52" xr3:uid="{00000000-0010-0000-0100-000034000000}" name="FaceMask" dataDxfId="370"/>
    <tableColumn id="53" xr3:uid="{00000000-0010-0000-0100-000035000000}" name="Oral Hygiene" dataDxfId="369"/>
    <tableColumn id="54" xr3:uid="{00000000-0010-0000-0100-000036000000}" name="Compliance" dataDxfId="368"/>
    <tableColumn id="55" xr3:uid="{00000000-0010-0000-0100-000037000000}" name="Bracket OR BAND Repositioning" dataDxfId="367"/>
    <tableColumn id="56" xr3:uid="{00000000-0010-0000-0100-000038000000}" name="EMERGENCY" dataDxfId="366"/>
    <tableColumn id="57" xr3:uid="{00000000-0010-0000-0100-000039000000}" name="Emergency Type" dataDxfId="365"/>
    <tableColumn id="58" xr3:uid="{00000000-0010-0000-0100-00003A000000}" name="Debonded Bracket" dataDxfId="364"/>
    <tableColumn id="59" xr3:uid="{00000000-0010-0000-0100-00003B000000}" name="Retainer" dataDxfId="363"/>
    <tableColumn id="60" xr3:uid="{00000000-0010-0000-0100-00003C000000}" name="Upper Arch Bends" dataDxfId="362"/>
    <tableColumn id="61" xr3:uid="{00000000-0010-0000-0100-00003D000000}" name="Lower Arch Bends" dataDxfId="361"/>
    <tableColumn id="62" xr3:uid="{00000000-0010-0000-0100-00003E000000}" name="COS upper" dataDxfId="360"/>
    <tableColumn id="63" xr3:uid="{00000000-0010-0000-0100-00003F000000}" name="COS lower" dataDxfId="359"/>
    <tableColumn id="64" xr3:uid="{00000000-0010-0000-0100-000040000000}" name="Upper Debond" dataDxfId="358"/>
    <tableColumn id="65" xr3:uid="{00000000-0010-0000-0100-000041000000}" name="Lower Debond" dataDxfId="357"/>
    <tableColumn id="66" xr3:uid="{00000000-0010-0000-0100-000042000000}" name="Retainer Check" dataDxfId="356"/>
    <tableColumn id="67" xr3:uid="{00000000-0010-0000-0100-000043000000}" name="Relapse" dataDxfId="355"/>
  </tableColumns>
  <tableStyleInfo name="TableStyleLight1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0" displayName="Table10" ref="A1:BO33" totalsRowShown="0" headerRowDxfId="354" dataDxfId="352" headerRowBorderDxfId="353" tableBorderDxfId="351" headerRowCellStyle="Normal 2" dataCellStyle="Normal 2">
  <autoFilter ref="A1:BO33" xr:uid="{00000000-0009-0000-0100-000006000000}"/>
  <tableColumns count="67">
    <tableColumn id="1" xr3:uid="{00000000-0010-0000-0500-000001000000}" name="Record ID" dataDxfId="350" dataCellStyle="Normal 2"/>
    <tableColumn id="2" xr3:uid="{00000000-0010-0000-0500-000002000000}" name="Patient ID" dataDxfId="349" dataCellStyle="Normal 2"/>
    <tableColumn id="3" xr3:uid="{00000000-0010-0000-0500-000003000000}" name="Note Date" dataDxfId="348" dataCellStyle="Normal 2"/>
    <tableColumn id="4" xr3:uid="{00000000-0010-0000-0500-000004000000}" name="Note Month" dataDxfId="347" dataCellStyle="Normal 2"/>
    <tableColumn id="5" xr3:uid="{00000000-0010-0000-0500-000005000000}" name="Raw Note Text" dataDxfId="346" dataCellStyle="Normal 2"/>
    <tableColumn id="6" xr3:uid="{00000000-0010-0000-0500-000006000000}" name="Annotated" dataDxfId="345" dataCellStyle="Normal 2"/>
    <tableColumn id="7" xr3:uid="{00000000-0010-0000-0500-000007000000}" name="Recods Taken (x-rays; IOS; Photos, Facial scanning)" dataDxfId="344" dataCellStyle="Normal 2"/>
    <tableColumn id="8" xr3:uid="{00000000-0010-0000-0500-000008000000}" name="Upper Bonding" dataDxfId="343" dataCellStyle="Normal 2"/>
    <tableColumn id="9" xr3:uid="{00000000-0010-0000-0500-000009000000}" name="Upper Banding" dataDxfId="342" dataCellStyle="Normal 2"/>
    <tableColumn id="10" xr3:uid="{00000000-0010-0000-0500-00000A000000}" name="Lower Bonding" dataDxfId="341" dataCellStyle="Normal 2"/>
    <tableColumn id="11" xr3:uid="{00000000-0010-0000-0500-00000B000000}" name="Lower Banding" dataDxfId="340" dataCellStyle="Normal 2"/>
    <tableColumn id="12" xr3:uid="{00000000-0010-0000-0500-00000C000000}" name="Prescription and Bracket Slot" dataDxfId="339" dataCellStyle="Normal 2"/>
    <tableColumn id="13" xr3:uid="{00000000-0010-0000-0500-00000D000000}" name="Active Space Closure" dataDxfId="338" dataCellStyle="Normal 2"/>
    <tableColumn id="14" xr3:uid="{00000000-0010-0000-0500-00000E000000}" name="IPR" dataDxfId="337" dataCellStyle="Normal 2"/>
    <tableColumn id="15" xr3:uid="{00000000-0010-0000-0500-00000F000000}" name="Enameloplasty" dataDxfId="336" dataCellStyle="Normal 2"/>
    <tableColumn id="16" xr3:uid="{00000000-0010-0000-0500-000010000000}" name="Extractions" dataDxfId="335" dataCellStyle="Normal 2"/>
    <tableColumn id="17" xr3:uid="{00000000-0010-0000-0500-000011000000}" name="TMJ symptoms" dataDxfId="334" dataCellStyle="Normal 2"/>
    <tableColumn id="18" xr3:uid="{00000000-0010-0000-0500-000012000000}" name="Referral" dataDxfId="333" dataCellStyle="Normal 2"/>
    <tableColumn id="19" xr3:uid="{00000000-0010-0000-0500-000013000000}" name="Right Canine Class" dataDxfId="332" dataCellStyle="Normal 2"/>
    <tableColumn id="20" xr3:uid="{00000000-0010-0000-0500-000014000000}" name="Right Molar Class" dataDxfId="331" dataCellStyle="Normal 2"/>
    <tableColumn id="21" xr3:uid="{00000000-0010-0000-0500-000015000000}" name="Left Canine Class" dataDxfId="330" dataCellStyle="Normal 2"/>
    <tableColumn id="22" xr3:uid="{00000000-0010-0000-0500-000016000000}" name="Left Molar Class" dataDxfId="329" dataCellStyle="Normal 2"/>
    <tableColumn id="23" xr3:uid="{00000000-0010-0000-0500-000017000000}" name="Overbite (mm)" dataDxfId="328" dataCellStyle="Normal 2"/>
    <tableColumn id="24" xr3:uid="{00000000-0010-0000-0500-000018000000}" name="Overjet (mm)" dataDxfId="327" dataCellStyle="Normal 2"/>
    <tableColumn id="25" xr3:uid="{00000000-0010-0000-0500-000019000000}" name="Anterior Crossbite" dataDxfId="326" dataCellStyle="Normal 2"/>
    <tableColumn id="26" xr3:uid="{00000000-0010-0000-0500-00001A000000}" name="Posterior Crossbite" dataDxfId="325" dataCellStyle="Normal 2"/>
    <tableColumn id="27" xr3:uid="{00000000-0010-0000-0500-00001B000000}" name="Re-tie Appointment" dataDxfId="324" dataCellStyle="Normal 2"/>
    <tableColumn id="28" xr3:uid="{00000000-0010-0000-0500-00001C000000}" name="Changed Upper Arch Wire" dataDxfId="323" dataCellStyle="Normal 2"/>
    <tableColumn id="29" xr3:uid="{00000000-0010-0000-0500-00001D000000}" name="Changed Lower Arch Wire" dataDxfId="322" dataCellStyle="Normal 2"/>
    <tableColumn id="30" xr3:uid="{00000000-0010-0000-0500-00001E000000}" name="Upper Wire Material" dataDxfId="321" dataCellStyle="Normal 2"/>
    <tableColumn id="31" xr3:uid="{00000000-0010-0000-0500-00001F000000}" name="Upper Wire Size" dataDxfId="320" dataCellStyle="Normal 2"/>
    <tableColumn id="32" xr3:uid="{00000000-0010-0000-0500-000020000000}" name="Lower Wire Material" dataDxfId="319" dataCellStyle="Normal 2"/>
    <tableColumn id="33" xr3:uid="{00000000-0010-0000-0500-000021000000}" name="Lower Wire Size" dataDxfId="318" dataCellStyle="Normal 2"/>
    <tableColumn id="34" xr3:uid="{00000000-0010-0000-0500-000022000000}" name="Ligature Method" dataDxfId="317" dataCellStyle="Normal 2"/>
    <tableColumn id="35" xr3:uid="{00000000-0010-0000-0500-000023000000}" name="Elastic Pattern Right" dataDxfId="316" dataCellStyle="Normal 2"/>
    <tableColumn id="36" xr3:uid="{00000000-0010-0000-0500-000024000000}" name="Elastic Type Right" dataDxfId="315" dataCellStyle="Normal 2"/>
    <tableColumn id="37" xr3:uid="{00000000-0010-0000-0500-000025000000}" name="Elastic Pattern Left" dataDxfId="314" dataCellStyle="Normal 2"/>
    <tableColumn id="38" xr3:uid="{00000000-0010-0000-0500-000026000000}" name="Elastic Type Left" dataDxfId="313" dataCellStyle="Normal 2"/>
    <tableColumn id="39" xr3:uid="{00000000-0010-0000-0500-000027000000}" name="Appliance" dataDxfId="312" dataCellStyle="Normal 2"/>
    <tableColumn id="40" xr3:uid="{00000000-0010-0000-0500-000028000000}" name="Open Spring" dataDxfId="311" dataCellStyle="Normal 2"/>
    <tableColumn id="41" xr3:uid="{00000000-0010-0000-0500-000029000000}" name="Closed Spring" dataDxfId="310" dataCellStyle="Normal 2"/>
    <tableColumn id="42" xr3:uid="{00000000-0010-0000-0500-00002A000000}" name="Anterior Bite Turbos" dataDxfId="309" dataCellStyle="Normal 2"/>
    <tableColumn id="43" xr3:uid="{00000000-0010-0000-0500-00002B000000}" name="Posterior Bite Turbos" dataDxfId="308" dataCellStyle="Normal 2"/>
    <tableColumn id="44" xr3:uid="{00000000-0010-0000-0500-00002C000000}" name="Cantilever" dataDxfId="307" dataCellStyle="Normal 2"/>
    <tableColumn id="45" xr3:uid="{00000000-0010-0000-0500-00002D000000}" name="NANCE" dataDxfId="306" dataCellStyle="Normal 2"/>
    <tableColumn id="46" xr3:uid="{00000000-0010-0000-0500-00002E000000}" name="TADs" dataDxfId="305" dataCellStyle="Normal 2"/>
    <tableColumn id="47" xr3:uid="{00000000-0010-0000-0500-00002F000000}" name="Mandibular Advancement Appliance" dataDxfId="304" dataCellStyle="Normal 2"/>
    <tableColumn id="48" xr3:uid="{00000000-0010-0000-0500-000030000000}" name="Maxillary Expander" dataDxfId="303" dataCellStyle="Normal 2"/>
    <tableColumn id="49" xr3:uid="{00000000-0010-0000-0500-000031000000}" name="TPA" dataDxfId="302" dataCellStyle="Normal 2"/>
    <tableColumn id="50" xr3:uid="{00000000-0010-0000-0500-000032000000}" name="LLHA" dataDxfId="301" dataCellStyle="Normal 2"/>
    <tableColumn id="51" xr3:uid="{00000000-0010-0000-0500-000033000000}" name="Tongue Crib" dataDxfId="300" dataCellStyle="Normal 2"/>
    <tableColumn id="52" xr3:uid="{00000000-0010-0000-0500-000034000000}" name="FaceMask" dataDxfId="299" dataCellStyle="Normal 2"/>
    <tableColumn id="53" xr3:uid="{00000000-0010-0000-0500-000035000000}" name="Oral Hygiene" dataDxfId="298" dataCellStyle="Normal 2"/>
    <tableColumn id="54" xr3:uid="{00000000-0010-0000-0500-000036000000}" name="Compliance" dataDxfId="297" dataCellStyle="Normal 2"/>
    <tableColumn id="55" xr3:uid="{00000000-0010-0000-0500-000037000000}" name="Bracket OR BAND Repositioning" dataDxfId="296" dataCellStyle="Normal 2"/>
    <tableColumn id="56" xr3:uid="{00000000-0010-0000-0500-000038000000}" name="EMERGENCY" dataDxfId="295" dataCellStyle="Normal 2"/>
    <tableColumn id="57" xr3:uid="{00000000-0010-0000-0500-000039000000}" name="Emergency Type" dataDxfId="294" dataCellStyle="Normal 2"/>
    <tableColumn id="58" xr3:uid="{00000000-0010-0000-0500-00003A000000}" name="Debonded Bracket" dataDxfId="293" dataCellStyle="Normal 2"/>
    <tableColumn id="59" xr3:uid="{00000000-0010-0000-0500-00003B000000}" name="Retainer" dataDxfId="292" dataCellStyle="Normal 2"/>
    <tableColumn id="60" xr3:uid="{00000000-0010-0000-0500-00003C000000}" name="Upper Arch Bends" dataDxfId="291" dataCellStyle="Normal 2"/>
    <tableColumn id="61" xr3:uid="{00000000-0010-0000-0500-00003D000000}" name="Lower Arch Bends" dataDxfId="290" dataCellStyle="Normal 2"/>
    <tableColumn id="62" xr3:uid="{00000000-0010-0000-0500-00003E000000}" name="COS upper" dataDxfId="289" dataCellStyle="Normal 2"/>
    <tableColumn id="63" xr3:uid="{00000000-0010-0000-0500-00003F000000}" name="COS lower" dataDxfId="288" dataCellStyle="Normal 2"/>
    <tableColumn id="64" xr3:uid="{00000000-0010-0000-0500-000040000000}" name="Upper Debond" dataDxfId="287" dataCellStyle="Normal 2"/>
    <tableColumn id="65" xr3:uid="{00000000-0010-0000-0500-000041000000}" name="Lower Debond" dataDxfId="286" dataCellStyle="Normal 2"/>
    <tableColumn id="66" xr3:uid="{00000000-0010-0000-0500-000042000000}" name="Retainer Check" dataDxfId="285" dataCellStyle="Normal 2"/>
    <tableColumn id="67" xr3:uid="{00000000-0010-0000-0500-000043000000}" name="Relapse" dataDxfId="284" dataCellStyle="Normal 2"/>
  </tableColumns>
  <tableStyleInfo name="TableStyleLight1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2" displayName="Table12" ref="A1:BO35" totalsRowShown="0" headerRowDxfId="283" dataDxfId="281" headerRowBorderDxfId="282" tableBorderDxfId="280" headerRowCellStyle="Normal 2" dataCellStyle="Normal 2">
  <autoFilter ref="A1:BO35" xr:uid="{00000000-0009-0000-0100-000007000000}"/>
  <tableColumns count="67">
    <tableColumn id="1" xr3:uid="{00000000-0010-0000-0600-000001000000}" name="Record ID" dataDxfId="279" dataCellStyle="Normal 2"/>
    <tableColumn id="2" xr3:uid="{00000000-0010-0000-0600-000002000000}" name="Patient ID" dataDxfId="278" dataCellStyle="Normal 2"/>
    <tableColumn id="3" xr3:uid="{00000000-0010-0000-0600-000003000000}" name="Note Date" dataDxfId="277" dataCellStyle="Normal 2"/>
    <tableColumn id="4" xr3:uid="{00000000-0010-0000-0600-000004000000}" name="Note Month" dataDxfId="276" dataCellStyle="Normal 2"/>
    <tableColumn id="5" xr3:uid="{00000000-0010-0000-0600-000005000000}" name="Raw Note Text" dataDxfId="275" dataCellStyle="Normal 2"/>
    <tableColumn id="6" xr3:uid="{00000000-0010-0000-0600-000006000000}" name="Annotated" dataDxfId="274" dataCellStyle="Normal 2"/>
    <tableColumn id="7" xr3:uid="{00000000-0010-0000-0600-000007000000}" name="Recods Taken (x-rays; IOS; Photos, Facial scanning)" dataDxfId="273" dataCellStyle="Normal 2"/>
    <tableColumn id="8" xr3:uid="{00000000-0010-0000-0600-000008000000}" name="Upper Bonding" dataDxfId="272" dataCellStyle="Normal 2"/>
    <tableColumn id="9" xr3:uid="{00000000-0010-0000-0600-000009000000}" name="Upper Banding" dataDxfId="271" dataCellStyle="Normal 2"/>
    <tableColumn id="10" xr3:uid="{00000000-0010-0000-0600-00000A000000}" name="Lower Bonding" dataDxfId="270" dataCellStyle="Normal 2"/>
    <tableColumn id="11" xr3:uid="{00000000-0010-0000-0600-00000B000000}" name="Lower Banding" dataDxfId="269" dataCellStyle="Normal 2"/>
    <tableColumn id="12" xr3:uid="{00000000-0010-0000-0600-00000C000000}" name="Prescription and Bracket Slot" dataDxfId="268" dataCellStyle="Normal 2"/>
    <tableColumn id="13" xr3:uid="{00000000-0010-0000-0600-00000D000000}" name="Active Space Closure" dataDxfId="267" dataCellStyle="Normal 2"/>
    <tableColumn id="14" xr3:uid="{00000000-0010-0000-0600-00000E000000}" name="IPR" dataDxfId="266" dataCellStyle="Normal 2"/>
    <tableColumn id="15" xr3:uid="{00000000-0010-0000-0600-00000F000000}" name="Enameloplasty" dataDxfId="265" dataCellStyle="Normal 2"/>
    <tableColumn id="16" xr3:uid="{00000000-0010-0000-0600-000010000000}" name="Extractions" dataDxfId="264" dataCellStyle="Normal 2"/>
    <tableColumn id="17" xr3:uid="{00000000-0010-0000-0600-000011000000}" name="TMJ symptoms" dataDxfId="263" dataCellStyle="Normal 2"/>
    <tableColumn id="18" xr3:uid="{00000000-0010-0000-0600-000012000000}" name="Referral" dataDxfId="262" dataCellStyle="Normal 2"/>
    <tableColumn id="19" xr3:uid="{00000000-0010-0000-0600-000013000000}" name="Right Canine Class" dataDxfId="261" dataCellStyle="Normal 2"/>
    <tableColumn id="20" xr3:uid="{00000000-0010-0000-0600-000014000000}" name="Right Molar Class" dataDxfId="260" dataCellStyle="Normal 2"/>
    <tableColumn id="21" xr3:uid="{00000000-0010-0000-0600-000015000000}" name="Left Canine Class" dataDxfId="259" dataCellStyle="Normal 2"/>
    <tableColumn id="22" xr3:uid="{00000000-0010-0000-0600-000016000000}" name="Left Molar Class" dataDxfId="258" dataCellStyle="Normal 2"/>
    <tableColumn id="23" xr3:uid="{00000000-0010-0000-0600-000017000000}" name="Overbite (mm)" dataDxfId="257" dataCellStyle="Normal 2"/>
    <tableColumn id="24" xr3:uid="{00000000-0010-0000-0600-000018000000}" name="Overjet (mm)" dataDxfId="256" dataCellStyle="Normal 2"/>
    <tableColumn id="25" xr3:uid="{00000000-0010-0000-0600-000019000000}" name="Anterior Crossbite" dataDxfId="255" dataCellStyle="Normal 2"/>
    <tableColumn id="26" xr3:uid="{00000000-0010-0000-0600-00001A000000}" name="Posterior Crossbite" dataDxfId="254" dataCellStyle="Normal 2"/>
    <tableColumn id="27" xr3:uid="{00000000-0010-0000-0600-00001B000000}" name="Re-tie Appointment" dataDxfId="253" dataCellStyle="Normal 2"/>
    <tableColumn id="28" xr3:uid="{00000000-0010-0000-0600-00001C000000}" name="Changed Upper Arch Wire" dataDxfId="252" dataCellStyle="Normal 2"/>
    <tableColumn id="29" xr3:uid="{00000000-0010-0000-0600-00001D000000}" name="Changed Lower Arch Wire" dataDxfId="251" dataCellStyle="Normal 2"/>
    <tableColumn id="30" xr3:uid="{00000000-0010-0000-0600-00001E000000}" name="Upper Wire Material" dataDxfId="250" dataCellStyle="Normal 2"/>
    <tableColumn id="31" xr3:uid="{00000000-0010-0000-0600-00001F000000}" name="Upper Wire Size" dataDxfId="249" dataCellStyle="Normal 2"/>
    <tableColumn id="32" xr3:uid="{00000000-0010-0000-0600-000020000000}" name="Lower Wire Material" dataDxfId="248" dataCellStyle="Normal 2"/>
    <tableColumn id="33" xr3:uid="{00000000-0010-0000-0600-000021000000}" name="Lower Wire Size" dataDxfId="247" dataCellStyle="Normal 2"/>
    <tableColumn id="34" xr3:uid="{00000000-0010-0000-0600-000022000000}" name="Ligature Method" dataDxfId="246" dataCellStyle="Normal 2"/>
    <tableColumn id="35" xr3:uid="{00000000-0010-0000-0600-000023000000}" name="Elastic Pattern Right" dataDxfId="245" dataCellStyle="Normal 2"/>
    <tableColumn id="36" xr3:uid="{00000000-0010-0000-0600-000024000000}" name="Elastic Type Right" dataDxfId="244" dataCellStyle="Normal 2"/>
    <tableColumn id="37" xr3:uid="{00000000-0010-0000-0600-000025000000}" name="Elastic Pattern Left" dataDxfId="243" dataCellStyle="Normal 2"/>
    <tableColumn id="38" xr3:uid="{00000000-0010-0000-0600-000026000000}" name="Elastic Type Left" dataDxfId="242" dataCellStyle="Normal 2"/>
    <tableColumn id="39" xr3:uid="{00000000-0010-0000-0600-000027000000}" name="Appliance" dataDxfId="241" dataCellStyle="Normal 2"/>
    <tableColumn id="40" xr3:uid="{00000000-0010-0000-0600-000028000000}" name="Open Spring" dataDxfId="240" dataCellStyle="Normal 2"/>
    <tableColumn id="41" xr3:uid="{00000000-0010-0000-0600-000029000000}" name="Closed Spring" dataDxfId="239" dataCellStyle="Normal 2"/>
    <tableColumn id="42" xr3:uid="{00000000-0010-0000-0600-00002A000000}" name="Anterior Bite Turbos" dataDxfId="238" dataCellStyle="Normal 2"/>
    <tableColumn id="43" xr3:uid="{00000000-0010-0000-0600-00002B000000}" name="Posterior Bite Turbos" dataDxfId="237" dataCellStyle="Normal 2"/>
    <tableColumn id="44" xr3:uid="{00000000-0010-0000-0600-00002C000000}" name="Cantilever" dataDxfId="236" dataCellStyle="Normal 2"/>
    <tableColumn id="45" xr3:uid="{00000000-0010-0000-0600-00002D000000}" name="NANCE" dataDxfId="235" dataCellStyle="Normal 2"/>
    <tableColumn id="46" xr3:uid="{00000000-0010-0000-0600-00002E000000}" name="TADs" dataDxfId="234" dataCellStyle="Normal 2"/>
    <tableColumn id="47" xr3:uid="{00000000-0010-0000-0600-00002F000000}" name="Mandibular Advancement Appliance" dataDxfId="233" dataCellStyle="Normal 2"/>
    <tableColumn id="48" xr3:uid="{00000000-0010-0000-0600-000030000000}" name="Maxillary Expander" dataDxfId="232" dataCellStyle="Normal 2"/>
    <tableColumn id="49" xr3:uid="{00000000-0010-0000-0600-000031000000}" name="TPA" dataDxfId="231" dataCellStyle="Normal 2"/>
    <tableColumn id="50" xr3:uid="{00000000-0010-0000-0600-000032000000}" name="LLHA" dataDxfId="230" dataCellStyle="Normal 2"/>
    <tableColumn id="51" xr3:uid="{00000000-0010-0000-0600-000033000000}" name="Tongue Crib" dataDxfId="229" dataCellStyle="Normal 2"/>
    <tableColumn id="52" xr3:uid="{00000000-0010-0000-0600-000034000000}" name="FaceMask" dataDxfId="228" dataCellStyle="Normal 2"/>
    <tableColumn id="53" xr3:uid="{00000000-0010-0000-0600-000035000000}" name="Oral Hygiene" dataDxfId="227" dataCellStyle="Normal 2"/>
    <tableColumn id="54" xr3:uid="{00000000-0010-0000-0600-000036000000}" name="Compliance" dataDxfId="226" dataCellStyle="Normal 2"/>
    <tableColumn id="55" xr3:uid="{00000000-0010-0000-0600-000037000000}" name="Bracket OR BAND Repositioning" dataDxfId="225" dataCellStyle="Normal 2"/>
    <tableColumn id="56" xr3:uid="{00000000-0010-0000-0600-000038000000}" name="EMERGENCY" dataDxfId="224" dataCellStyle="Normal 2"/>
    <tableColumn id="57" xr3:uid="{00000000-0010-0000-0600-000039000000}" name="Emergency Type" dataDxfId="223" dataCellStyle="Normal 2"/>
    <tableColumn id="58" xr3:uid="{00000000-0010-0000-0600-00003A000000}" name="Debonded Bracket" dataDxfId="222" dataCellStyle="Normal 2"/>
    <tableColumn id="59" xr3:uid="{00000000-0010-0000-0600-00003B000000}" name="Retainer" dataDxfId="221" dataCellStyle="Normal 2"/>
    <tableColumn id="60" xr3:uid="{00000000-0010-0000-0600-00003C000000}" name="Upper Arch Bends" dataDxfId="220" dataCellStyle="Normal 2"/>
    <tableColumn id="61" xr3:uid="{00000000-0010-0000-0600-00003D000000}" name="Lower Arch Bends" dataDxfId="219" dataCellStyle="Normal 2"/>
    <tableColumn id="62" xr3:uid="{00000000-0010-0000-0600-00003E000000}" name="COS upper" dataDxfId="218" dataCellStyle="Normal 2"/>
    <tableColumn id="63" xr3:uid="{00000000-0010-0000-0600-00003F000000}" name="COS lower" dataDxfId="217" dataCellStyle="Normal 2"/>
    <tableColumn id="64" xr3:uid="{00000000-0010-0000-0600-000040000000}" name="Upper Debond" dataDxfId="216" dataCellStyle="Normal 2"/>
    <tableColumn id="65" xr3:uid="{00000000-0010-0000-0600-000041000000}" name="Lower Debond" dataDxfId="215" dataCellStyle="Normal 2"/>
    <tableColumn id="66" xr3:uid="{00000000-0010-0000-0600-000042000000}" name="Retainer Check" dataDxfId="214" dataCellStyle="Normal 2"/>
    <tableColumn id="67" xr3:uid="{00000000-0010-0000-0600-000043000000}" name="Relapse" dataDxfId="213" dataCellStyle="Normal 2"/>
  </tableColumns>
  <tableStyleInfo name="TableStyleLight1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6" displayName="Table6" ref="A1:BO40" totalsRowShown="0" headerRowDxfId="212" dataDxfId="210" headerRowBorderDxfId="211" tableBorderDxfId="209">
  <autoFilter ref="A1:BO40" xr:uid="{00000000-0009-0000-0100-000008000000}"/>
  <tableColumns count="67">
    <tableColumn id="1" xr3:uid="{00000000-0010-0000-0700-000001000000}" name="Record ID" dataDxfId="208"/>
    <tableColumn id="2" xr3:uid="{00000000-0010-0000-0700-000002000000}" name="Patient ID" dataDxfId="207"/>
    <tableColumn id="3" xr3:uid="{00000000-0010-0000-0700-000003000000}" name="Note Date" dataDxfId="206"/>
    <tableColumn id="4" xr3:uid="{00000000-0010-0000-0700-000004000000}" name="Note Month" dataDxfId="205">
      <calculatedColumnFormula>DATEDIF($C$2, C2, "M")</calculatedColumnFormula>
    </tableColumn>
    <tableColumn id="5" xr3:uid="{00000000-0010-0000-0700-000005000000}" name="Raw Note Text" dataDxfId="204"/>
    <tableColumn id="6" xr3:uid="{00000000-0010-0000-0700-000006000000}" name="Annotated" dataDxfId="203"/>
    <tableColumn id="7" xr3:uid="{00000000-0010-0000-0700-000007000000}" name="Recods Taken (x-rays; IOS; Photos, Facial scanning)" dataDxfId="202"/>
    <tableColumn id="8" xr3:uid="{00000000-0010-0000-0700-000008000000}" name="Upper Bonding" dataDxfId="201"/>
    <tableColumn id="9" xr3:uid="{00000000-0010-0000-0700-000009000000}" name="Upper Banding" dataDxfId="200"/>
    <tableColumn id="10" xr3:uid="{00000000-0010-0000-0700-00000A000000}" name="Lower Bonding" dataDxfId="199"/>
    <tableColumn id="11" xr3:uid="{00000000-0010-0000-0700-00000B000000}" name="Lower Banding" dataDxfId="198"/>
    <tableColumn id="12" xr3:uid="{00000000-0010-0000-0700-00000C000000}" name="Prescription and Bracket Slot" dataDxfId="197"/>
    <tableColumn id="13" xr3:uid="{00000000-0010-0000-0700-00000D000000}" name="Active Space Closure_x000a_" dataDxfId="196"/>
    <tableColumn id="14" xr3:uid="{00000000-0010-0000-0700-00000E000000}" name="IPR" dataDxfId="195"/>
    <tableColumn id="15" xr3:uid="{00000000-0010-0000-0700-00000F000000}" name="Enameloplasty" dataDxfId="194"/>
    <tableColumn id="16" xr3:uid="{00000000-0010-0000-0700-000010000000}" name="Extractions" dataDxfId="193"/>
    <tableColumn id="17" xr3:uid="{00000000-0010-0000-0700-000011000000}" name="TMJ symptoms" dataDxfId="192"/>
    <tableColumn id="18" xr3:uid="{00000000-0010-0000-0700-000012000000}" name="Referral" dataDxfId="191"/>
    <tableColumn id="19" xr3:uid="{00000000-0010-0000-0700-000013000000}" name="Right Canine Class" dataDxfId="190"/>
    <tableColumn id="20" xr3:uid="{00000000-0010-0000-0700-000014000000}" name="Right Molar Class" dataDxfId="189"/>
    <tableColumn id="21" xr3:uid="{00000000-0010-0000-0700-000015000000}" name="Left Canine Class" dataDxfId="188"/>
    <tableColumn id="22" xr3:uid="{00000000-0010-0000-0700-000016000000}" name="Left Molar Class" dataDxfId="187"/>
    <tableColumn id="23" xr3:uid="{00000000-0010-0000-0700-000017000000}" name="Overbite (mm)" dataDxfId="186"/>
    <tableColumn id="24" xr3:uid="{00000000-0010-0000-0700-000018000000}" name="Overjet (mm)" dataDxfId="185"/>
    <tableColumn id="25" xr3:uid="{00000000-0010-0000-0700-000019000000}" name="Anterior Crossbite" dataDxfId="184"/>
    <tableColumn id="26" xr3:uid="{00000000-0010-0000-0700-00001A000000}" name="Posterior Crossbite" dataDxfId="183"/>
    <tableColumn id="27" xr3:uid="{00000000-0010-0000-0700-00001B000000}" name="Re-tie Appointment" dataDxfId="182"/>
    <tableColumn id="28" xr3:uid="{00000000-0010-0000-0700-00001C000000}" name="Changed Upper Arch Wire" dataDxfId="181"/>
    <tableColumn id="29" xr3:uid="{00000000-0010-0000-0700-00001D000000}" name="Changed Lower Arch Wire" dataDxfId="180"/>
    <tableColumn id="30" xr3:uid="{00000000-0010-0000-0700-00001E000000}" name="Upper Wire Material" dataDxfId="179"/>
    <tableColumn id="31" xr3:uid="{00000000-0010-0000-0700-00001F000000}" name="Upper Wire Size" dataDxfId="178"/>
    <tableColumn id="32" xr3:uid="{00000000-0010-0000-0700-000020000000}" name="Lower Wire Material" dataDxfId="177"/>
    <tableColumn id="33" xr3:uid="{00000000-0010-0000-0700-000021000000}" name="Lower Wire Size" dataDxfId="176"/>
    <tableColumn id="34" xr3:uid="{00000000-0010-0000-0700-000022000000}" name="Ligature Method" dataDxfId="175"/>
    <tableColumn id="35" xr3:uid="{00000000-0010-0000-0700-000023000000}" name="Elastic Pattern Right" dataDxfId="174"/>
    <tableColumn id="36" xr3:uid="{00000000-0010-0000-0700-000024000000}" name="Elastic Type Right" dataDxfId="173"/>
    <tableColumn id="37" xr3:uid="{00000000-0010-0000-0700-000025000000}" name="Elastic Pattern Left" dataDxfId="172"/>
    <tableColumn id="38" xr3:uid="{00000000-0010-0000-0700-000026000000}" name="Elastic Type Left" dataDxfId="171"/>
    <tableColumn id="39" xr3:uid="{00000000-0010-0000-0700-000027000000}" name="Appliance" dataDxfId="170"/>
    <tableColumn id="40" xr3:uid="{00000000-0010-0000-0700-000028000000}" name="Open Spring" dataDxfId="169"/>
    <tableColumn id="41" xr3:uid="{00000000-0010-0000-0700-000029000000}" name="Closed Spring" dataDxfId="168"/>
    <tableColumn id="42" xr3:uid="{00000000-0010-0000-0700-00002A000000}" name="Anterior Bite Turbos" dataDxfId="167"/>
    <tableColumn id="43" xr3:uid="{00000000-0010-0000-0700-00002B000000}" name="Posterior Bite Turbos" dataDxfId="166"/>
    <tableColumn id="44" xr3:uid="{00000000-0010-0000-0700-00002C000000}" name="Cantilever" dataDxfId="165"/>
    <tableColumn id="45" xr3:uid="{00000000-0010-0000-0700-00002D000000}" name="NANCE" dataDxfId="164"/>
    <tableColumn id="46" xr3:uid="{00000000-0010-0000-0700-00002E000000}" name="TADs" dataDxfId="163"/>
    <tableColumn id="47" xr3:uid="{00000000-0010-0000-0700-00002F000000}" name="Mandibular Advancement Appliance" dataDxfId="162"/>
    <tableColumn id="48" xr3:uid="{00000000-0010-0000-0700-000030000000}" name="Maxillary Expander" dataDxfId="161"/>
    <tableColumn id="49" xr3:uid="{00000000-0010-0000-0700-000031000000}" name="TPA" dataDxfId="160"/>
    <tableColumn id="50" xr3:uid="{00000000-0010-0000-0700-000032000000}" name="LLHA" dataDxfId="159"/>
    <tableColumn id="51" xr3:uid="{00000000-0010-0000-0700-000033000000}" name="Tongue Crib" dataDxfId="158"/>
    <tableColumn id="52" xr3:uid="{00000000-0010-0000-0700-000034000000}" name="FaceMask" dataDxfId="157"/>
    <tableColumn id="53" xr3:uid="{00000000-0010-0000-0700-000035000000}" name="Oral Hygiene" dataDxfId="156"/>
    <tableColumn id="54" xr3:uid="{00000000-0010-0000-0700-000036000000}" name="Compliance" dataDxfId="155"/>
    <tableColumn id="55" xr3:uid="{00000000-0010-0000-0700-000037000000}" name="Bracket OR BAND Repositioning" dataDxfId="154"/>
    <tableColumn id="56" xr3:uid="{00000000-0010-0000-0700-000038000000}" name="EMERGENCY" dataDxfId="153"/>
    <tableColumn id="57" xr3:uid="{00000000-0010-0000-0700-000039000000}" name="Emergency Type" dataDxfId="152"/>
    <tableColumn id="58" xr3:uid="{00000000-0010-0000-0700-00003A000000}" name="Debonded Bracket" dataDxfId="151"/>
    <tableColumn id="59" xr3:uid="{00000000-0010-0000-0700-00003B000000}" name="Retainer" dataDxfId="150"/>
    <tableColumn id="60" xr3:uid="{00000000-0010-0000-0700-00003C000000}" name="Upper Arch Bends" dataDxfId="149"/>
    <tableColumn id="61" xr3:uid="{00000000-0010-0000-0700-00003D000000}" name="Lower Arch Bends" dataDxfId="148"/>
    <tableColumn id="62" xr3:uid="{00000000-0010-0000-0700-00003E000000}" name="COS upper" dataDxfId="147"/>
    <tableColumn id="63" xr3:uid="{00000000-0010-0000-0700-00003F000000}" name="COS lower" dataDxfId="146"/>
    <tableColumn id="64" xr3:uid="{00000000-0010-0000-0700-000040000000}" name="Upper Debond" dataDxfId="145"/>
    <tableColumn id="65" xr3:uid="{00000000-0010-0000-0700-000041000000}" name="Lower Debond" dataDxfId="144"/>
    <tableColumn id="66" xr3:uid="{00000000-0010-0000-0700-000042000000}" name="Retainer Check" dataDxfId="143"/>
    <tableColumn id="67" xr3:uid="{00000000-0010-0000-0700-000043000000}" name="Relapse" dataDxfId="142"/>
  </tableColumns>
  <tableStyleInfo name="TableStyleLight1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8" displayName="Table8" ref="A1:BO32" totalsRowShown="0" headerRowDxfId="141" dataDxfId="139" headerRowBorderDxfId="140" tableBorderDxfId="138">
  <autoFilter ref="A1:BO32" xr:uid="{00000000-0009-0000-0100-000009000000}"/>
  <tableColumns count="67">
    <tableColumn id="1" xr3:uid="{00000000-0010-0000-0800-000001000000}" name="Record ID" dataDxfId="137"/>
    <tableColumn id="2" xr3:uid="{00000000-0010-0000-0800-000002000000}" name="Patient ID" dataDxfId="136"/>
    <tableColumn id="3" xr3:uid="{00000000-0010-0000-0800-000003000000}" name="Note Date" dataDxfId="135"/>
    <tableColumn id="4" xr3:uid="{00000000-0010-0000-0800-000004000000}" name="Note Month" dataDxfId="134">
      <calculatedColumnFormula>DATEDIF($C$2, C2, "M")</calculatedColumnFormula>
    </tableColumn>
    <tableColumn id="5" xr3:uid="{00000000-0010-0000-0800-000005000000}" name="Raw Note Text" dataDxfId="133"/>
    <tableColumn id="6" xr3:uid="{00000000-0010-0000-0800-000006000000}" name="Annotated" dataDxfId="132"/>
    <tableColumn id="7" xr3:uid="{00000000-0010-0000-0800-000007000000}" name="Recods Taken (x-rays; IOS; Photos, Facial scanning)" dataDxfId="131"/>
    <tableColumn id="8" xr3:uid="{00000000-0010-0000-0800-000008000000}" name="Upper Bonding" dataDxfId="130"/>
    <tableColumn id="9" xr3:uid="{00000000-0010-0000-0800-000009000000}" name="Upper Banding" dataDxfId="129"/>
    <tableColumn id="10" xr3:uid="{00000000-0010-0000-0800-00000A000000}" name="Lower Bonding" dataDxfId="128"/>
    <tableColumn id="11" xr3:uid="{00000000-0010-0000-0800-00000B000000}" name="Lower Banding" dataDxfId="127"/>
    <tableColumn id="12" xr3:uid="{00000000-0010-0000-0800-00000C000000}" name="Prescription and Bracket Slot" dataDxfId="126"/>
    <tableColumn id="13" xr3:uid="{00000000-0010-0000-0800-00000D000000}" name="Active Space Closure_x000a_" dataDxfId="125"/>
    <tableColumn id="14" xr3:uid="{00000000-0010-0000-0800-00000E000000}" name="IPR" dataDxfId="124"/>
    <tableColumn id="15" xr3:uid="{00000000-0010-0000-0800-00000F000000}" name="Enameloplasty" dataDxfId="123"/>
    <tableColumn id="16" xr3:uid="{00000000-0010-0000-0800-000010000000}" name="Extractions" dataDxfId="122"/>
    <tableColumn id="17" xr3:uid="{00000000-0010-0000-0800-000011000000}" name="TMJ symptoms" dataDxfId="121"/>
    <tableColumn id="18" xr3:uid="{00000000-0010-0000-0800-000012000000}" name="Referral" dataDxfId="120"/>
    <tableColumn id="19" xr3:uid="{00000000-0010-0000-0800-000013000000}" name="Right Canine Class" dataDxfId="119"/>
    <tableColumn id="20" xr3:uid="{00000000-0010-0000-0800-000014000000}" name="Right Molar Class" dataDxfId="118"/>
    <tableColumn id="21" xr3:uid="{00000000-0010-0000-0800-000015000000}" name="Left Canine Class" dataDxfId="117"/>
    <tableColumn id="22" xr3:uid="{00000000-0010-0000-0800-000016000000}" name="Left Molar Class" dataDxfId="116"/>
    <tableColumn id="23" xr3:uid="{00000000-0010-0000-0800-000017000000}" name="Overbite (mm)" dataDxfId="115"/>
    <tableColumn id="24" xr3:uid="{00000000-0010-0000-0800-000018000000}" name="Overjet (mm)" dataDxfId="114"/>
    <tableColumn id="25" xr3:uid="{00000000-0010-0000-0800-000019000000}" name="Anterior Crossbite" dataDxfId="113"/>
    <tableColumn id="26" xr3:uid="{00000000-0010-0000-0800-00001A000000}" name="Posterior Crossbite" dataDxfId="112"/>
    <tableColumn id="27" xr3:uid="{00000000-0010-0000-0800-00001B000000}" name="Re-tie Appointment" dataDxfId="111"/>
    <tableColumn id="28" xr3:uid="{00000000-0010-0000-0800-00001C000000}" name="Changed Upper Arch Wire" dataDxfId="110"/>
    <tableColumn id="29" xr3:uid="{00000000-0010-0000-0800-00001D000000}" name="Changed Lower Arch Wire" dataDxfId="109"/>
    <tableColumn id="30" xr3:uid="{00000000-0010-0000-0800-00001E000000}" name="Upper Wire Material" dataDxfId="108"/>
    <tableColumn id="31" xr3:uid="{00000000-0010-0000-0800-00001F000000}" name="Upper Wire Size" dataDxfId="107"/>
    <tableColumn id="32" xr3:uid="{00000000-0010-0000-0800-000020000000}" name="Lower Wire Material" dataDxfId="106"/>
    <tableColumn id="33" xr3:uid="{00000000-0010-0000-0800-000021000000}" name="Lower Wire Size" dataDxfId="105"/>
    <tableColumn id="34" xr3:uid="{00000000-0010-0000-0800-000022000000}" name="Ligature Method" dataDxfId="104"/>
    <tableColumn id="35" xr3:uid="{00000000-0010-0000-0800-000023000000}" name="Elastic Pattern Right" dataDxfId="103"/>
    <tableColumn id="36" xr3:uid="{00000000-0010-0000-0800-000024000000}" name="Elastic Type Right" dataDxfId="102"/>
    <tableColumn id="37" xr3:uid="{00000000-0010-0000-0800-000025000000}" name="Elastic Pattern Left" dataDxfId="101"/>
    <tableColumn id="38" xr3:uid="{00000000-0010-0000-0800-000026000000}" name="Elastic Type Left" dataDxfId="100"/>
    <tableColumn id="39" xr3:uid="{00000000-0010-0000-0800-000027000000}" name="Appliance" dataDxfId="99"/>
    <tableColumn id="40" xr3:uid="{00000000-0010-0000-0800-000028000000}" name="Open Spring" dataDxfId="98"/>
    <tableColumn id="41" xr3:uid="{00000000-0010-0000-0800-000029000000}" name="Closed Spring" dataDxfId="97"/>
    <tableColumn id="42" xr3:uid="{00000000-0010-0000-0800-00002A000000}" name="Anterior Bite Turbos" dataDxfId="96"/>
    <tableColumn id="43" xr3:uid="{00000000-0010-0000-0800-00002B000000}" name="Posterior Bite Turbos" dataDxfId="95"/>
    <tableColumn id="44" xr3:uid="{00000000-0010-0000-0800-00002C000000}" name="Cantilever" dataDxfId="94"/>
    <tableColumn id="45" xr3:uid="{00000000-0010-0000-0800-00002D000000}" name="NANCE" dataDxfId="93"/>
    <tableColumn id="46" xr3:uid="{00000000-0010-0000-0800-00002E000000}" name="TADs" dataDxfId="92"/>
    <tableColumn id="47" xr3:uid="{00000000-0010-0000-0800-00002F000000}" name="Mandibular Advancement Appliance" dataDxfId="91"/>
    <tableColumn id="48" xr3:uid="{00000000-0010-0000-0800-000030000000}" name="Maxillary Expander" dataDxfId="90"/>
    <tableColumn id="49" xr3:uid="{00000000-0010-0000-0800-000031000000}" name="TPA" dataDxfId="89"/>
    <tableColumn id="50" xr3:uid="{00000000-0010-0000-0800-000032000000}" name="LLHA" dataDxfId="88"/>
    <tableColumn id="51" xr3:uid="{00000000-0010-0000-0800-000033000000}" name="Tongue Crib" dataDxfId="87"/>
    <tableColumn id="52" xr3:uid="{00000000-0010-0000-0800-000034000000}" name="FaceMask" dataDxfId="86"/>
    <tableColumn id="53" xr3:uid="{00000000-0010-0000-0800-000035000000}" name="Oral Hygiene" dataDxfId="85"/>
    <tableColumn id="54" xr3:uid="{00000000-0010-0000-0800-000036000000}" name="Compliance" dataDxfId="84"/>
    <tableColumn id="55" xr3:uid="{00000000-0010-0000-0800-000037000000}" name="Bracket OR BAND Repositioning" dataDxfId="83"/>
    <tableColumn id="56" xr3:uid="{00000000-0010-0000-0800-000038000000}" name="EMERGENCY" dataDxfId="82"/>
    <tableColumn id="57" xr3:uid="{00000000-0010-0000-0800-000039000000}" name="Emergency Type" dataDxfId="81"/>
    <tableColumn id="58" xr3:uid="{00000000-0010-0000-0800-00003A000000}" name="Debonded Bracket" dataDxfId="80"/>
    <tableColumn id="59" xr3:uid="{00000000-0010-0000-0800-00003B000000}" name="Retainer" dataDxfId="79"/>
    <tableColumn id="60" xr3:uid="{00000000-0010-0000-0800-00003C000000}" name="Upper Arch Bends" dataDxfId="78"/>
    <tableColumn id="61" xr3:uid="{00000000-0010-0000-0800-00003D000000}" name="Lower Arch Bends" dataDxfId="77"/>
    <tableColumn id="62" xr3:uid="{00000000-0010-0000-0800-00003E000000}" name="COS upper" dataDxfId="76"/>
    <tableColumn id="63" xr3:uid="{00000000-0010-0000-0800-00003F000000}" name="COS lower" dataDxfId="75"/>
    <tableColumn id="64" xr3:uid="{00000000-0010-0000-0800-000040000000}" name="Upper Debond" dataDxfId="74"/>
    <tableColumn id="65" xr3:uid="{00000000-0010-0000-0800-000041000000}" name="Lower Debond" dataDxfId="73"/>
    <tableColumn id="66" xr3:uid="{00000000-0010-0000-0800-000042000000}" name="Retainer Check" dataDxfId="72"/>
    <tableColumn id="67" xr3:uid="{00000000-0010-0000-0800-000043000000}" name="Relapse" dataDxfId="71"/>
  </tableColumns>
  <tableStyleInfo name="TableStyleLight1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9" displayName="Table9" ref="A1:BO33" totalsRowShown="0" headerRowDxfId="70" dataDxfId="68" headerRowBorderDxfId="69" tableBorderDxfId="67">
  <autoFilter ref="A1:BO33" xr:uid="{00000000-0009-0000-0100-00000A000000}"/>
  <tableColumns count="67">
    <tableColumn id="1" xr3:uid="{00000000-0010-0000-0900-000001000000}" name="Record ID" dataDxfId="66"/>
    <tableColumn id="2" xr3:uid="{00000000-0010-0000-0900-000002000000}" name="Patient ID" dataDxfId="65"/>
    <tableColumn id="3" xr3:uid="{00000000-0010-0000-0900-000003000000}" name="Note Date" dataDxfId="64"/>
    <tableColumn id="4" xr3:uid="{00000000-0010-0000-0900-000004000000}" name="Note Month" dataDxfId="63">
      <calculatedColumnFormula>DATEDIF($C$2, C2, "M")</calculatedColumnFormula>
    </tableColumn>
    <tableColumn id="5" xr3:uid="{00000000-0010-0000-0900-000005000000}" name="Raw Note Text" dataDxfId="62"/>
    <tableColumn id="6" xr3:uid="{00000000-0010-0000-0900-000006000000}" name="Annotated" dataDxfId="61"/>
    <tableColumn id="7" xr3:uid="{00000000-0010-0000-0900-000007000000}" name="Recods Taken (x-rays; IOS; Photos, Facial scanning)" dataDxfId="60"/>
    <tableColumn id="8" xr3:uid="{00000000-0010-0000-0900-000008000000}" name="Upper Bonding" dataDxfId="59"/>
    <tableColumn id="9" xr3:uid="{00000000-0010-0000-0900-000009000000}" name="Upper Banding" dataDxfId="58"/>
    <tableColumn id="10" xr3:uid="{00000000-0010-0000-0900-00000A000000}" name="Lower Bonding" dataDxfId="57"/>
    <tableColumn id="11" xr3:uid="{00000000-0010-0000-0900-00000B000000}" name="Lower Banding" dataDxfId="56"/>
    <tableColumn id="12" xr3:uid="{00000000-0010-0000-0900-00000C000000}" name="Prescription and Bracket Slot" dataDxfId="55"/>
    <tableColumn id="13" xr3:uid="{00000000-0010-0000-0900-00000D000000}" name="Active Space Closure_x000a_" dataDxfId="54"/>
    <tableColumn id="14" xr3:uid="{00000000-0010-0000-0900-00000E000000}" name="IPR" dataDxfId="53"/>
    <tableColumn id="15" xr3:uid="{00000000-0010-0000-0900-00000F000000}" name="Enameloplasty" dataDxfId="52"/>
    <tableColumn id="16" xr3:uid="{00000000-0010-0000-0900-000010000000}" name="Extractions" dataDxfId="51"/>
    <tableColumn id="17" xr3:uid="{00000000-0010-0000-0900-000011000000}" name="TMJ symptoms" dataDxfId="50"/>
    <tableColumn id="18" xr3:uid="{00000000-0010-0000-0900-000012000000}" name="Referral" dataDxfId="49"/>
    <tableColumn id="19" xr3:uid="{00000000-0010-0000-0900-000013000000}" name="Right Canine Class" dataDxfId="48"/>
    <tableColumn id="20" xr3:uid="{00000000-0010-0000-0900-000014000000}" name="Right Molar Class" dataDxfId="47"/>
    <tableColumn id="21" xr3:uid="{00000000-0010-0000-0900-000015000000}" name="Left Canine Class" dataDxfId="46"/>
    <tableColumn id="22" xr3:uid="{00000000-0010-0000-0900-000016000000}" name="Left Molar Class" dataDxfId="45"/>
    <tableColumn id="23" xr3:uid="{00000000-0010-0000-0900-000017000000}" name="Overbite (mm)" dataDxfId="44"/>
    <tableColumn id="24" xr3:uid="{00000000-0010-0000-0900-000018000000}" name="Overjet (mm)" dataDxfId="43"/>
    <tableColumn id="25" xr3:uid="{00000000-0010-0000-0900-000019000000}" name="Anterior Crossbite" dataDxfId="42"/>
    <tableColumn id="26" xr3:uid="{00000000-0010-0000-0900-00001A000000}" name="Posterior Crossbite" dataDxfId="41"/>
    <tableColumn id="27" xr3:uid="{00000000-0010-0000-0900-00001B000000}" name="Re-tie Appointment" dataDxfId="40"/>
    <tableColumn id="28" xr3:uid="{00000000-0010-0000-0900-00001C000000}" name="Changed Upper Arch Wire" dataDxfId="39"/>
    <tableColumn id="29" xr3:uid="{00000000-0010-0000-0900-00001D000000}" name="Changed Lower Arch Wire" dataDxfId="38"/>
    <tableColumn id="30" xr3:uid="{00000000-0010-0000-0900-00001E000000}" name="Upper Wire Material" dataDxfId="37"/>
    <tableColumn id="31" xr3:uid="{00000000-0010-0000-0900-00001F000000}" name="Upper Wire Size" dataDxfId="36"/>
    <tableColumn id="32" xr3:uid="{00000000-0010-0000-0900-000020000000}" name="Lower Wire Material" dataDxfId="35"/>
    <tableColumn id="33" xr3:uid="{00000000-0010-0000-0900-000021000000}" name="Lower Wire Size" dataDxfId="34"/>
    <tableColumn id="34" xr3:uid="{00000000-0010-0000-0900-000022000000}" name="Ligature Method" dataDxfId="33"/>
    <tableColumn id="35" xr3:uid="{00000000-0010-0000-0900-000023000000}" name="Elastic Pattern Right" dataDxfId="32"/>
    <tableColumn id="36" xr3:uid="{00000000-0010-0000-0900-000024000000}" name="Elastic Type Right" dataDxfId="31"/>
    <tableColumn id="37" xr3:uid="{00000000-0010-0000-0900-000025000000}" name="Elastic Pattern Left" dataDxfId="30"/>
    <tableColumn id="38" xr3:uid="{00000000-0010-0000-0900-000026000000}" name="Elastic Type Left" dataDxfId="29"/>
    <tableColumn id="39" xr3:uid="{00000000-0010-0000-0900-000027000000}" name="Appliance" dataDxfId="28"/>
    <tableColumn id="40" xr3:uid="{00000000-0010-0000-0900-000028000000}" name="Open Spring" dataDxfId="27"/>
    <tableColumn id="41" xr3:uid="{00000000-0010-0000-0900-000029000000}" name="Closed Spring" dataDxfId="26"/>
    <tableColumn id="42" xr3:uid="{00000000-0010-0000-0900-00002A000000}" name="Anterior Bite Turbos" dataDxfId="25"/>
    <tableColumn id="43" xr3:uid="{00000000-0010-0000-0900-00002B000000}" name="Posterior Bite Turbos" dataDxfId="24"/>
    <tableColumn id="44" xr3:uid="{00000000-0010-0000-0900-00002C000000}" name="Cantilever" dataDxfId="23"/>
    <tableColumn id="45" xr3:uid="{00000000-0010-0000-0900-00002D000000}" name="NANCE" dataDxfId="22"/>
    <tableColumn id="46" xr3:uid="{00000000-0010-0000-0900-00002E000000}" name="TADs" dataDxfId="21"/>
    <tableColumn id="47" xr3:uid="{00000000-0010-0000-0900-00002F000000}" name="Mandibular Advancement Appliance" dataDxfId="20"/>
    <tableColumn id="48" xr3:uid="{00000000-0010-0000-0900-000030000000}" name="Maxillary Expander" dataDxfId="19"/>
    <tableColumn id="49" xr3:uid="{00000000-0010-0000-0900-000031000000}" name="TPA" dataDxfId="18"/>
    <tableColumn id="50" xr3:uid="{00000000-0010-0000-0900-000032000000}" name="LLHA" dataDxfId="17"/>
    <tableColumn id="51" xr3:uid="{00000000-0010-0000-0900-000033000000}" name="Tongue Crib" dataDxfId="16"/>
    <tableColumn id="52" xr3:uid="{00000000-0010-0000-0900-000034000000}" name="FaceMask" dataDxfId="15"/>
    <tableColumn id="53" xr3:uid="{00000000-0010-0000-0900-000035000000}" name="Oral Hygiene" dataDxfId="14"/>
    <tableColumn id="54" xr3:uid="{00000000-0010-0000-0900-000036000000}" name="Compliance" dataDxfId="13"/>
    <tableColumn id="55" xr3:uid="{00000000-0010-0000-0900-000037000000}" name="Bracket OR BAND Repositioning" dataDxfId="12"/>
    <tableColumn id="56" xr3:uid="{00000000-0010-0000-0900-000038000000}" name="EMERGENCY" dataDxfId="11"/>
    <tableColumn id="57" xr3:uid="{00000000-0010-0000-0900-000039000000}" name="Emergency Type" dataDxfId="10"/>
    <tableColumn id="58" xr3:uid="{00000000-0010-0000-0900-00003A000000}" name="Debonded Bracket" dataDxfId="9"/>
    <tableColumn id="59" xr3:uid="{00000000-0010-0000-0900-00003B000000}" name="Retainer" dataDxfId="8"/>
    <tableColumn id="60" xr3:uid="{00000000-0010-0000-0900-00003C000000}" name="Upper Arch Bends" dataDxfId="7"/>
    <tableColumn id="61" xr3:uid="{00000000-0010-0000-0900-00003D000000}" name="Lower Arch Bends" dataDxfId="6"/>
    <tableColumn id="62" xr3:uid="{00000000-0010-0000-0900-00003E000000}" name="COS upper" dataDxfId="5"/>
    <tableColumn id="63" xr3:uid="{00000000-0010-0000-0900-00003F000000}" name="COS lower" dataDxfId="4"/>
    <tableColumn id="64" xr3:uid="{00000000-0010-0000-0900-000040000000}" name="Upper Debond" dataDxfId="3"/>
    <tableColumn id="65" xr3:uid="{00000000-0010-0000-0900-000041000000}" name="Lower Debond" dataDxfId="2"/>
    <tableColumn id="66" xr3:uid="{00000000-0010-0000-0900-000042000000}" name="Retainer Check" dataDxfId="1"/>
    <tableColumn id="67" xr3:uid="{00000000-0010-0000-0900-000043000000}" name="Relaps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9"/>
  </sheetPr>
  <dimension ref="A1:BO36"/>
  <sheetViews>
    <sheetView zoomScale="90" workbookViewId="0">
      <pane xSplit="5" ySplit="1" topLeftCell="BC35" activePane="bottomRight" state="frozen"/>
      <selection pane="topRight" activeCell="F1" sqref="F1"/>
      <selection pane="bottomLeft" activeCell="A2" sqref="A2"/>
      <selection pane="bottomRight" activeCell="BF34" sqref="BF34"/>
    </sheetView>
  </sheetViews>
  <sheetFormatPr defaultColWidth="8.875" defaultRowHeight="15"/>
  <cols>
    <col min="1" max="1" width="11" style="6" customWidth="1"/>
    <col min="2" max="2" width="11.125" style="6" customWidth="1"/>
    <col min="3" max="3" width="11.375" style="6" customWidth="1"/>
    <col min="4" max="4" width="13" style="6" customWidth="1"/>
    <col min="5" max="5" width="78.625" style="6" customWidth="1"/>
    <col min="6" max="6" width="11.875" style="6" customWidth="1"/>
    <col min="7" max="7" width="41.125" style="6" customWidth="1"/>
    <col min="8" max="8" width="15" style="6" customWidth="1"/>
    <col min="9" max="9" width="14.875" style="6" customWidth="1"/>
    <col min="10" max="10" width="15" style="6" customWidth="1"/>
    <col min="11" max="11" width="14.875" style="6" customWidth="1"/>
    <col min="12" max="12" width="25.625" style="6" customWidth="1"/>
    <col min="13" max="13" width="19.5" style="6" customWidth="1"/>
    <col min="14" max="14" width="8.875" style="6" customWidth="1"/>
    <col min="15" max="15" width="14.625" style="6" customWidth="1"/>
    <col min="16" max="16" width="12" style="6" customWidth="1"/>
    <col min="17" max="17" width="14.875" style="6" customWidth="1"/>
    <col min="18" max="18" width="9.625" style="6" customWidth="1"/>
    <col min="19" max="19" width="17.125" style="6" customWidth="1"/>
    <col min="20" max="20" width="16.5" style="6" customWidth="1"/>
    <col min="21" max="21" width="16.125" style="6" customWidth="1"/>
    <col min="22" max="22" width="15.5" style="6" customWidth="1"/>
    <col min="23" max="23" width="14.625" style="6" customWidth="1"/>
    <col min="24" max="24" width="13.625" style="6" customWidth="1"/>
    <col min="25" max="25" width="17.625" style="6" customWidth="1"/>
    <col min="26" max="26" width="18.125" style="6" customWidth="1"/>
    <col min="27" max="27" width="19" style="6" customWidth="1"/>
    <col min="28" max="29" width="23.5" style="6" customWidth="1"/>
    <col min="30" max="30" width="19.5" style="6" customWidth="1"/>
    <col min="31" max="31" width="15.875" style="6" customWidth="1"/>
    <col min="32" max="32" width="19.5" style="6" customWidth="1"/>
    <col min="33" max="33" width="15.875" style="6" customWidth="1"/>
    <col min="34" max="34" width="16.5" style="6" customWidth="1"/>
    <col min="35" max="35" width="18.875" style="6" customWidth="1"/>
    <col min="36" max="36" width="16.625" style="6" customWidth="1"/>
    <col min="37" max="37" width="17.875" style="6" customWidth="1"/>
    <col min="38" max="38" width="15.625" style="6" customWidth="1"/>
    <col min="39" max="39" width="11.375" style="6" customWidth="1"/>
    <col min="40" max="40" width="12.875" style="6" customWidth="1"/>
    <col min="41" max="41" width="13.875" style="6" customWidth="1"/>
    <col min="42" max="42" width="19.125" style="6" customWidth="1"/>
    <col min="43" max="43" width="19.625" style="6" customWidth="1"/>
    <col min="44" max="44" width="11.5" style="6" customWidth="1"/>
    <col min="45" max="46" width="8.875" style="6" customWidth="1"/>
    <col min="47" max="47" width="31.875" style="6" customWidth="1"/>
    <col min="48" max="48" width="18.125" style="6" customWidth="1"/>
    <col min="49" max="50" width="8.875" style="6" customWidth="1"/>
    <col min="51" max="51" width="12.625" style="6" customWidth="1"/>
    <col min="52" max="52" width="11" style="6" customWidth="1"/>
    <col min="53" max="53" width="13.375" style="6" customWidth="1"/>
    <col min="54" max="54" width="12.625" style="6" customWidth="1"/>
    <col min="55" max="55" width="27.625" style="6" customWidth="1"/>
    <col min="56" max="56" width="13" style="6" customWidth="1"/>
    <col min="57" max="57" width="16" style="6" customWidth="1"/>
    <col min="58" max="58" width="17.875" style="6" customWidth="1"/>
    <col min="59" max="59" width="10.125" style="6" customWidth="1"/>
    <col min="60" max="61" width="17.375" style="6" customWidth="1"/>
    <col min="62" max="62" width="11.5" style="6" customWidth="1"/>
    <col min="63" max="63" width="11.375" style="6" customWidth="1"/>
    <col min="64" max="65" width="14.875" style="6" customWidth="1"/>
    <col min="66" max="66" width="15.125" style="6" customWidth="1"/>
    <col min="67" max="67" width="9.5" style="6" customWidth="1"/>
    <col min="68" max="68" width="8.875" style="6" customWidth="1"/>
    <col min="69" max="16384" width="8.875" style="6"/>
  </cols>
  <sheetData>
    <row r="1" spans="1:67" ht="96" customHeight="1">
      <c r="A1" s="7" t="s">
        <v>0</v>
      </c>
      <c r="B1" s="7" t="s">
        <v>1</v>
      </c>
      <c r="C1" s="7" t="s">
        <v>2</v>
      </c>
      <c r="D1" s="7" t="s">
        <v>3</v>
      </c>
      <c r="E1" s="7" t="s">
        <v>4</v>
      </c>
      <c r="F1" s="7" t="s">
        <v>5</v>
      </c>
      <c r="G1" s="7" t="s">
        <v>6</v>
      </c>
      <c r="H1" s="7" t="s">
        <v>7</v>
      </c>
      <c r="I1" s="7" t="s">
        <v>8</v>
      </c>
      <c r="J1" s="7" t="s">
        <v>9</v>
      </c>
      <c r="K1" s="7" t="s">
        <v>10</v>
      </c>
      <c r="L1" s="7" t="s">
        <v>11</v>
      </c>
      <c r="M1" s="7" t="s">
        <v>12</v>
      </c>
      <c r="N1" s="7" t="s">
        <v>13</v>
      </c>
      <c r="O1" s="7" t="s">
        <v>14</v>
      </c>
      <c r="P1" s="7" t="s">
        <v>15</v>
      </c>
      <c r="Q1" s="7" t="s">
        <v>16</v>
      </c>
      <c r="R1" s="7" t="s">
        <v>17</v>
      </c>
      <c r="S1" s="7" t="s">
        <v>18</v>
      </c>
      <c r="T1" s="7" t="s">
        <v>19</v>
      </c>
      <c r="U1" s="7" t="s">
        <v>20</v>
      </c>
      <c r="V1" s="7" t="s">
        <v>21</v>
      </c>
      <c r="W1" s="7" t="s">
        <v>22</v>
      </c>
      <c r="X1" s="7" t="s">
        <v>23</v>
      </c>
      <c r="Y1" s="7" t="s">
        <v>24</v>
      </c>
      <c r="Z1" s="7" t="s">
        <v>25</v>
      </c>
      <c r="AA1" s="7" t="s">
        <v>26</v>
      </c>
      <c r="AB1" s="7" t="s">
        <v>27</v>
      </c>
      <c r="AC1" s="7" t="s">
        <v>28</v>
      </c>
      <c r="AD1" s="7" t="s">
        <v>29</v>
      </c>
      <c r="AE1" s="7" t="s">
        <v>30</v>
      </c>
      <c r="AF1" s="7" t="s">
        <v>31</v>
      </c>
      <c r="AG1" s="7" t="s">
        <v>32</v>
      </c>
      <c r="AH1" s="7" t="s">
        <v>33</v>
      </c>
      <c r="AI1" s="7" t="s">
        <v>34</v>
      </c>
      <c r="AJ1" s="7" t="s">
        <v>35</v>
      </c>
      <c r="AK1" s="7" t="s">
        <v>36</v>
      </c>
      <c r="AL1" s="7" t="s">
        <v>37</v>
      </c>
      <c r="AM1" s="7" t="s">
        <v>38</v>
      </c>
      <c r="AN1" s="7" t="s">
        <v>39</v>
      </c>
      <c r="AO1" s="7" t="s">
        <v>40</v>
      </c>
      <c r="AP1" s="7" t="s">
        <v>41</v>
      </c>
      <c r="AQ1" s="7" t="s">
        <v>42</v>
      </c>
      <c r="AR1" s="7" t="s">
        <v>43</v>
      </c>
      <c r="AS1" s="7" t="s">
        <v>44</v>
      </c>
      <c r="AT1" s="7" t="s">
        <v>45</v>
      </c>
      <c r="AU1" s="7" t="s">
        <v>46</v>
      </c>
      <c r="AV1" s="7" t="s">
        <v>47</v>
      </c>
      <c r="AW1" s="7" t="s">
        <v>48</v>
      </c>
      <c r="AX1" s="7" t="s">
        <v>49</v>
      </c>
      <c r="AY1" s="7" t="s">
        <v>50</v>
      </c>
      <c r="AZ1" s="7" t="s">
        <v>51</v>
      </c>
      <c r="BA1" s="7" t="s">
        <v>52</v>
      </c>
      <c r="BB1" s="7" t="s">
        <v>53</v>
      </c>
      <c r="BC1" s="7" t="s">
        <v>54</v>
      </c>
      <c r="BD1" s="7" t="s">
        <v>55</v>
      </c>
      <c r="BE1" s="7" t="s">
        <v>56</v>
      </c>
      <c r="BF1" s="7" t="s">
        <v>57</v>
      </c>
      <c r="BG1" s="7" t="s">
        <v>58</v>
      </c>
      <c r="BH1" s="7" t="s">
        <v>59</v>
      </c>
      <c r="BI1" s="7" t="s">
        <v>60</v>
      </c>
      <c r="BJ1" s="7" t="s">
        <v>61</v>
      </c>
      <c r="BK1" s="7" t="s">
        <v>62</v>
      </c>
      <c r="BL1" s="7" t="s">
        <v>63</v>
      </c>
      <c r="BM1" s="7" t="s">
        <v>64</v>
      </c>
      <c r="BN1" s="7" t="s">
        <v>65</v>
      </c>
      <c r="BO1" s="7" t="s">
        <v>66</v>
      </c>
    </row>
    <row r="2" spans="1:67" ht="207.95" customHeight="1">
      <c r="A2" s="10"/>
      <c r="B2" s="10">
        <v>1177299</v>
      </c>
      <c r="C2" s="11">
        <v>43530</v>
      </c>
      <c r="D2" s="10">
        <v>0</v>
      </c>
      <c r="E2" s="10" t="s">
        <v>67</v>
      </c>
      <c r="F2" s="10" t="b">
        <v>1</v>
      </c>
      <c r="G2" s="10" t="b">
        <v>1</v>
      </c>
      <c r="H2" s="10"/>
      <c r="I2" s="10"/>
      <c r="J2" s="10"/>
      <c r="K2" s="10"/>
      <c r="L2" s="10"/>
      <c r="M2" s="10"/>
      <c r="N2" s="10"/>
      <c r="O2" s="10"/>
      <c r="P2" s="10"/>
      <c r="Q2" s="10" t="b">
        <v>0</v>
      </c>
      <c r="R2" s="10"/>
      <c r="S2" s="10" t="s">
        <v>482</v>
      </c>
      <c r="T2" s="10" t="s">
        <v>482</v>
      </c>
      <c r="U2" s="10" t="s">
        <v>482</v>
      </c>
      <c r="V2" s="10" t="s">
        <v>482</v>
      </c>
      <c r="W2" s="10"/>
      <c r="X2" s="10"/>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c r="AY2" s="10"/>
      <c r="AZ2" s="10"/>
      <c r="BA2" s="10"/>
      <c r="BB2" s="10"/>
      <c r="BC2" s="10"/>
      <c r="BD2" s="10"/>
      <c r="BE2" s="10"/>
      <c r="BF2" s="10"/>
      <c r="BG2" s="10"/>
      <c r="BH2" s="10"/>
      <c r="BI2" s="10"/>
      <c r="BJ2" s="10"/>
      <c r="BK2" s="10"/>
      <c r="BL2" s="10"/>
      <c r="BM2" s="10"/>
      <c r="BN2" s="10"/>
      <c r="BO2" s="10"/>
    </row>
    <row r="3" spans="1:67" ht="159.94999999999999" customHeight="1">
      <c r="A3" s="10"/>
      <c r="B3" s="10">
        <v>1177299</v>
      </c>
      <c r="C3" s="11">
        <v>43578</v>
      </c>
      <c r="D3" s="10">
        <v>1</v>
      </c>
      <c r="E3" s="10" t="s">
        <v>68</v>
      </c>
      <c r="F3" s="10" t="b">
        <v>1</v>
      </c>
      <c r="G3" s="10"/>
      <c r="H3" s="10" t="b">
        <v>1</v>
      </c>
      <c r="I3" s="10"/>
      <c r="J3" s="10" t="b">
        <v>1</v>
      </c>
      <c r="K3" s="10"/>
      <c r="L3" s="10" t="s">
        <v>495</v>
      </c>
      <c r="M3" s="10"/>
      <c r="N3" s="10"/>
      <c r="O3" s="10"/>
      <c r="P3" s="10"/>
      <c r="Q3" s="10"/>
      <c r="R3" s="10"/>
      <c r="S3" s="10"/>
      <c r="T3" s="10"/>
      <c r="U3" s="10"/>
      <c r="V3" s="10"/>
      <c r="W3" s="10"/>
      <c r="X3" s="10"/>
      <c r="Y3" s="10"/>
      <c r="Z3" s="10"/>
      <c r="AA3" s="10"/>
      <c r="AB3" s="10"/>
      <c r="AC3" s="10"/>
      <c r="AD3" s="10"/>
      <c r="AE3" s="10" t="s">
        <v>513</v>
      </c>
      <c r="AF3" s="10"/>
      <c r="AG3" s="10" t="s">
        <v>512</v>
      </c>
      <c r="AH3" s="10"/>
      <c r="AI3" s="10"/>
      <c r="AJ3" s="10"/>
      <c r="AK3" s="10"/>
      <c r="AL3" s="10"/>
      <c r="AM3" s="10"/>
      <c r="AN3" s="10"/>
      <c r="AO3" s="10"/>
      <c r="AP3" s="10"/>
      <c r="AQ3" s="10"/>
      <c r="AR3" s="10"/>
      <c r="AS3" s="10"/>
      <c r="AT3" s="10"/>
      <c r="AU3" s="10"/>
      <c r="AV3" s="10"/>
      <c r="AW3" s="10"/>
      <c r="AX3" s="10"/>
      <c r="AY3" s="10"/>
      <c r="AZ3" s="10"/>
      <c r="BA3" s="10" t="s">
        <v>259</v>
      </c>
      <c r="BB3" s="10"/>
      <c r="BC3" s="10"/>
      <c r="BD3" s="10"/>
      <c r="BE3" s="10"/>
      <c r="BF3" s="10"/>
      <c r="BG3" s="10"/>
      <c r="BH3" s="10"/>
      <c r="BI3" s="10"/>
      <c r="BJ3" s="10"/>
      <c r="BK3" s="10"/>
      <c r="BL3" s="10"/>
      <c r="BM3" s="10"/>
      <c r="BN3" s="10"/>
      <c r="BO3" s="10"/>
    </row>
    <row r="4" spans="1:67" ht="111.95" customHeight="1">
      <c r="A4" s="10"/>
      <c r="B4" s="10">
        <v>1177299</v>
      </c>
      <c r="C4" s="11">
        <v>43634</v>
      </c>
      <c r="D4" s="10">
        <v>3</v>
      </c>
      <c r="E4" s="10" t="s">
        <v>69</v>
      </c>
      <c r="F4" s="10" t="b">
        <v>1</v>
      </c>
      <c r="G4" s="10"/>
      <c r="H4" s="10"/>
      <c r="I4" s="10"/>
      <c r="J4" s="10"/>
      <c r="K4" s="10"/>
      <c r="L4" s="10"/>
      <c r="M4" s="10"/>
      <c r="N4" s="10"/>
      <c r="O4" s="10"/>
      <c r="P4" s="10"/>
      <c r="Q4" s="10"/>
      <c r="R4" s="10"/>
      <c r="S4" s="10"/>
      <c r="T4" s="10"/>
      <c r="U4" s="10"/>
      <c r="V4" s="10"/>
      <c r="W4" s="10"/>
      <c r="X4" s="10"/>
      <c r="Y4" s="10"/>
      <c r="Z4" s="10"/>
      <c r="AA4" s="10"/>
      <c r="AB4" s="10" t="b">
        <v>1</v>
      </c>
      <c r="AC4" s="10" t="b">
        <v>1</v>
      </c>
      <c r="AD4" s="10"/>
      <c r="AE4" s="10" t="s">
        <v>515</v>
      </c>
      <c r="AF4" s="10" t="s">
        <v>523</v>
      </c>
      <c r="AG4" s="10" t="s">
        <v>523</v>
      </c>
      <c r="AH4" s="10"/>
      <c r="AI4" s="10"/>
      <c r="AJ4" s="10"/>
      <c r="AK4" s="10"/>
      <c r="AL4" s="10"/>
      <c r="AM4" s="10"/>
      <c r="AN4" s="10"/>
      <c r="AO4" s="10"/>
      <c r="AP4" s="10"/>
      <c r="AQ4" s="10"/>
      <c r="AR4" s="10"/>
      <c r="AS4" s="10"/>
      <c r="AT4" s="10"/>
      <c r="AU4" s="10"/>
      <c r="AV4" s="10"/>
      <c r="AW4" s="10"/>
      <c r="AX4" s="10"/>
      <c r="AY4" s="10"/>
      <c r="AZ4" s="10"/>
      <c r="BA4" s="10" t="s">
        <v>259</v>
      </c>
      <c r="BB4" s="10" t="s">
        <v>259</v>
      </c>
      <c r="BC4" s="10"/>
      <c r="BD4" s="10"/>
      <c r="BE4" s="10"/>
      <c r="BF4" s="10"/>
      <c r="BG4" s="10"/>
      <c r="BH4" s="10"/>
      <c r="BI4" s="10"/>
      <c r="BJ4" s="10"/>
      <c r="BK4" s="10"/>
      <c r="BL4" s="10"/>
      <c r="BM4" s="10"/>
      <c r="BN4" s="10"/>
      <c r="BO4" s="10"/>
    </row>
    <row r="5" spans="1:67" ht="111.95" customHeight="1">
      <c r="A5" s="10"/>
      <c r="B5" s="10">
        <v>1177299</v>
      </c>
      <c r="C5" s="11">
        <v>43662</v>
      </c>
      <c r="D5" s="10">
        <v>4</v>
      </c>
      <c r="E5" s="10" t="s">
        <v>70</v>
      </c>
      <c r="F5" s="10" t="b">
        <v>1</v>
      </c>
      <c r="G5" s="10"/>
      <c r="H5" s="10"/>
      <c r="I5" s="10"/>
      <c r="J5" s="10"/>
      <c r="K5" s="10"/>
      <c r="L5" s="10"/>
      <c r="M5" s="10"/>
      <c r="N5" s="10"/>
      <c r="O5" s="10"/>
      <c r="P5" s="10"/>
      <c r="Q5" s="10"/>
      <c r="R5" s="10"/>
      <c r="S5" s="10" t="s">
        <v>482</v>
      </c>
      <c r="T5" s="10" t="s">
        <v>482</v>
      </c>
      <c r="U5" s="10" t="s">
        <v>482</v>
      </c>
      <c r="V5" s="10" t="s">
        <v>482</v>
      </c>
      <c r="W5" s="10"/>
      <c r="X5" s="10"/>
      <c r="Y5" s="10"/>
      <c r="Z5" s="10"/>
      <c r="AA5" s="10"/>
      <c r="AB5" s="10" t="b">
        <v>1</v>
      </c>
      <c r="AC5" s="10" t="b">
        <v>1</v>
      </c>
      <c r="AD5" s="10" t="s">
        <v>504</v>
      </c>
      <c r="AE5" s="10" t="s">
        <v>518</v>
      </c>
      <c r="AF5" s="10"/>
      <c r="AG5" s="10" t="s">
        <v>524</v>
      </c>
      <c r="AH5" s="10"/>
      <c r="AI5" s="10" t="s">
        <v>540</v>
      </c>
      <c r="AJ5" s="10"/>
      <c r="AK5" s="10" t="s">
        <v>540</v>
      </c>
      <c r="AL5" s="10"/>
      <c r="AM5" s="10"/>
      <c r="AN5" s="10"/>
      <c r="AO5" s="10"/>
      <c r="AP5" s="10"/>
      <c r="AQ5" s="10"/>
      <c r="AR5" s="10"/>
      <c r="AS5" s="10"/>
      <c r="AT5" s="10"/>
      <c r="AU5" s="10"/>
      <c r="AV5" s="10"/>
      <c r="AW5" s="10"/>
      <c r="AX5" s="10"/>
      <c r="AY5" s="10"/>
      <c r="AZ5" s="10"/>
      <c r="BA5" s="10" t="s">
        <v>259</v>
      </c>
      <c r="BB5" s="10" t="s">
        <v>259</v>
      </c>
      <c r="BC5" s="10"/>
      <c r="BD5" s="10"/>
      <c r="BE5" s="10"/>
      <c r="BF5" s="10"/>
      <c r="BG5" s="10"/>
      <c r="BH5" s="10"/>
      <c r="BI5" s="10"/>
      <c r="BJ5" s="10" t="s">
        <v>596</v>
      </c>
      <c r="BK5" s="10"/>
      <c r="BL5" s="10"/>
      <c r="BM5" s="10"/>
      <c r="BN5" s="10"/>
      <c r="BO5" s="10"/>
    </row>
    <row r="6" spans="1:67" ht="128.1" customHeight="1">
      <c r="A6" s="10"/>
      <c r="B6" s="10">
        <v>1177299</v>
      </c>
      <c r="C6" s="11">
        <v>43718</v>
      </c>
      <c r="D6" s="10">
        <v>6</v>
      </c>
      <c r="E6" s="10" t="s">
        <v>71</v>
      </c>
      <c r="F6" s="10" t="b">
        <v>1</v>
      </c>
      <c r="G6" s="10"/>
      <c r="H6" s="10" t="b">
        <v>1</v>
      </c>
      <c r="I6" s="10"/>
      <c r="J6" s="10"/>
      <c r="K6" s="10"/>
      <c r="L6" s="10"/>
      <c r="M6" s="10"/>
      <c r="N6" s="10"/>
      <c r="O6" s="10"/>
      <c r="P6" s="10"/>
      <c r="Q6" s="10"/>
      <c r="R6" s="10"/>
      <c r="S6" s="10" t="s">
        <v>482</v>
      </c>
      <c r="T6" s="10" t="s">
        <v>482</v>
      </c>
      <c r="U6" s="10" t="s">
        <v>482</v>
      </c>
      <c r="V6" s="10" t="s">
        <v>482</v>
      </c>
      <c r="W6" s="10">
        <v>5</v>
      </c>
      <c r="X6" s="10">
        <v>5</v>
      </c>
      <c r="Y6" s="10"/>
      <c r="Z6" s="10"/>
      <c r="AA6" s="10"/>
      <c r="AB6" s="10" t="b">
        <v>0</v>
      </c>
      <c r="AC6" s="10" t="b">
        <v>0</v>
      </c>
      <c r="AD6" s="10"/>
      <c r="AE6" s="10" t="s">
        <v>518</v>
      </c>
      <c r="AF6" s="10"/>
      <c r="AG6" s="10" t="s">
        <v>524</v>
      </c>
      <c r="AH6" s="10"/>
      <c r="AI6" s="10"/>
      <c r="AJ6" s="10"/>
      <c r="AK6" s="10"/>
      <c r="AL6" s="10"/>
      <c r="AM6" s="10"/>
      <c r="AN6" s="10"/>
      <c r="AO6" s="10"/>
      <c r="AP6" s="10"/>
      <c r="AQ6" s="10"/>
      <c r="AR6" s="10"/>
      <c r="AS6" s="10"/>
      <c r="AT6" s="10"/>
      <c r="AU6" s="10"/>
      <c r="AV6" s="10"/>
      <c r="AW6" s="10"/>
      <c r="AX6" s="10"/>
      <c r="AY6" s="10"/>
      <c r="AZ6" s="10"/>
      <c r="BA6" s="10" t="s">
        <v>256</v>
      </c>
      <c r="BB6" s="10" t="s">
        <v>256</v>
      </c>
      <c r="BC6" s="10"/>
      <c r="BD6" s="10"/>
      <c r="BE6" s="10"/>
      <c r="BF6" s="10"/>
      <c r="BG6" s="10"/>
      <c r="BH6" s="10"/>
      <c r="BI6" s="10"/>
      <c r="BJ6" s="10" t="s">
        <v>596</v>
      </c>
      <c r="BK6" s="10"/>
      <c r="BL6" s="10"/>
      <c r="BM6" s="10"/>
      <c r="BN6" s="10"/>
      <c r="BO6" s="10"/>
    </row>
    <row r="7" spans="1:67" ht="128.1" customHeight="1">
      <c r="A7" s="10"/>
      <c r="B7" s="10">
        <v>1177299</v>
      </c>
      <c r="C7" s="11">
        <v>43725</v>
      </c>
      <c r="D7" s="10">
        <v>6</v>
      </c>
      <c r="E7" s="10" t="s">
        <v>72</v>
      </c>
      <c r="F7" s="10" t="b">
        <v>1</v>
      </c>
      <c r="G7" s="10"/>
      <c r="H7" s="10"/>
      <c r="I7" s="10" t="b">
        <v>1</v>
      </c>
      <c r="J7" s="10"/>
      <c r="K7" s="10"/>
      <c r="L7" s="10"/>
      <c r="M7" s="10"/>
      <c r="N7" s="10"/>
      <c r="O7" s="10"/>
      <c r="P7" s="10"/>
      <c r="Q7" s="10"/>
      <c r="R7" s="10"/>
      <c r="S7" s="10"/>
      <c r="T7" s="10"/>
      <c r="U7" s="10"/>
      <c r="V7" s="10"/>
      <c r="W7" s="10"/>
      <c r="X7" s="10"/>
      <c r="Y7" s="10"/>
      <c r="Z7" s="10"/>
      <c r="AA7" s="10"/>
      <c r="AB7" s="10" t="b">
        <v>0</v>
      </c>
      <c r="AC7" s="10" t="b">
        <v>0</v>
      </c>
      <c r="AD7" s="10" t="s">
        <v>504</v>
      </c>
      <c r="AE7" s="10" t="s">
        <v>518</v>
      </c>
      <c r="AF7" s="10" t="s">
        <v>504</v>
      </c>
      <c r="AG7" s="10" t="s">
        <v>524</v>
      </c>
      <c r="AH7" s="10"/>
      <c r="AI7" s="10"/>
      <c r="AJ7" s="10"/>
      <c r="AK7" s="10"/>
      <c r="AL7" s="10"/>
      <c r="AM7" s="10"/>
      <c r="AN7" s="10"/>
      <c r="AO7" s="10"/>
      <c r="AP7" s="10"/>
      <c r="AQ7" s="10"/>
      <c r="AR7" s="10"/>
      <c r="AS7" s="10"/>
      <c r="AT7" s="10"/>
      <c r="AU7" s="10"/>
      <c r="AV7" s="10"/>
      <c r="AW7" s="10"/>
      <c r="AX7" s="10"/>
      <c r="AY7" s="10"/>
      <c r="AZ7" s="10"/>
      <c r="BA7" s="10" t="s">
        <v>259</v>
      </c>
      <c r="BB7" s="10" t="s">
        <v>259</v>
      </c>
      <c r="BC7" s="10"/>
      <c r="BD7" s="10"/>
      <c r="BE7" s="10"/>
      <c r="BF7" s="10" t="b">
        <v>1</v>
      </c>
      <c r="BG7" s="10"/>
      <c r="BH7" s="10"/>
      <c r="BI7" s="10"/>
      <c r="BJ7" s="10" t="s">
        <v>596</v>
      </c>
      <c r="BK7" s="10"/>
      <c r="BL7" s="10"/>
      <c r="BM7" s="10"/>
      <c r="BN7" s="10"/>
      <c r="BO7" s="10"/>
    </row>
    <row r="8" spans="1:67" ht="111.95" customHeight="1">
      <c r="A8" s="10"/>
      <c r="B8" s="10">
        <v>1177299</v>
      </c>
      <c r="C8" s="11">
        <v>43767</v>
      </c>
      <c r="D8" s="10">
        <v>7</v>
      </c>
      <c r="E8" s="10" t="s">
        <v>73</v>
      </c>
      <c r="F8" s="10" t="b">
        <v>1</v>
      </c>
      <c r="G8" s="10"/>
      <c r="H8" s="10"/>
      <c r="I8" s="10"/>
      <c r="J8" s="10"/>
      <c r="K8" s="10"/>
      <c r="L8" s="10"/>
      <c r="M8" s="10"/>
      <c r="N8" s="10"/>
      <c r="O8" s="10"/>
      <c r="P8" s="10"/>
      <c r="Q8" s="10"/>
      <c r="R8" s="10"/>
      <c r="S8" s="10" t="s">
        <v>483</v>
      </c>
      <c r="T8" s="10" t="s">
        <v>483</v>
      </c>
      <c r="U8" s="10" t="s">
        <v>483</v>
      </c>
      <c r="V8" s="10" t="s">
        <v>483</v>
      </c>
      <c r="W8" s="10">
        <v>5</v>
      </c>
      <c r="X8" s="10">
        <v>5</v>
      </c>
      <c r="Y8" s="10"/>
      <c r="Z8" s="10"/>
      <c r="AA8" s="10"/>
      <c r="AB8" s="10" t="b">
        <v>1</v>
      </c>
      <c r="AC8" s="10" t="b">
        <v>1</v>
      </c>
      <c r="AD8" s="10" t="s">
        <v>504</v>
      </c>
      <c r="AE8" s="10" t="s">
        <v>520</v>
      </c>
      <c r="AF8" s="10" t="s">
        <v>504</v>
      </c>
      <c r="AG8" s="10" t="s">
        <v>520</v>
      </c>
      <c r="AH8" s="10"/>
      <c r="AI8" s="10"/>
      <c r="AJ8" s="10"/>
      <c r="AK8" s="10"/>
      <c r="AL8" s="10"/>
      <c r="AM8" s="10"/>
      <c r="AN8" s="10"/>
      <c r="AO8" s="10"/>
      <c r="AP8" s="10"/>
      <c r="AQ8" s="10"/>
      <c r="AR8" s="10"/>
      <c r="AS8" s="10"/>
      <c r="AT8" s="10"/>
      <c r="AU8" s="10"/>
      <c r="AV8" s="10"/>
      <c r="AW8" s="10"/>
      <c r="AX8" s="10" t="b">
        <v>1</v>
      </c>
      <c r="AY8" s="10"/>
      <c r="AZ8" s="10"/>
      <c r="BA8" s="10" t="s">
        <v>259</v>
      </c>
      <c r="BB8" s="10" t="s">
        <v>259</v>
      </c>
      <c r="BC8" s="10"/>
      <c r="BD8" s="10"/>
      <c r="BE8" s="10"/>
      <c r="BF8" s="10"/>
      <c r="BG8" s="10"/>
      <c r="BH8" s="10"/>
      <c r="BI8" s="10"/>
      <c r="BJ8" s="10"/>
      <c r="BK8" s="10"/>
      <c r="BL8" s="10"/>
      <c r="BM8" s="10"/>
      <c r="BN8" s="10"/>
      <c r="BO8" s="10"/>
    </row>
    <row r="9" spans="1:67" ht="111.95" customHeight="1">
      <c r="A9" s="10"/>
      <c r="B9" s="10">
        <v>1177299</v>
      </c>
      <c r="C9" s="11">
        <v>43837</v>
      </c>
      <c r="D9" s="10">
        <v>10</v>
      </c>
      <c r="E9" s="10" t="s">
        <v>74</v>
      </c>
      <c r="F9" s="10" t="b">
        <v>1</v>
      </c>
      <c r="G9" s="10"/>
      <c r="H9" s="10"/>
      <c r="I9" s="10"/>
      <c r="J9" s="10"/>
      <c r="K9" s="10"/>
      <c r="L9" s="10"/>
      <c r="M9" s="10"/>
      <c r="N9" s="10"/>
      <c r="O9" s="10"/>
      <c r="P9" s="10"/>
      <c r="Q9" s="10"/>
      <c r="R9" s="10"/>
      <c r="S9" s="10"/>
      <c r="T9" s="10"/>
      <c r="U9" s="10"/>
      <c r="V9" s="10"/>
      <c r="W9" s="10">
        <v>5</v>
      </c>
      <c r="X9" s="10">
        <v>5</v>
      </c>
      <c r="Y9" s="10"/>
      <c r="Z9" s="10"/>
      <c r="AA9" s="10"/>
      <c r="AB9" s="10" t="b">
        <v>1</v>
      </c>
      <c r="AC9" s="10" t="b">
        <v>1</v>
      </c>
      <c r="AD9" s="10" t="s">
        <v>507</v>
      </c>
      <c r="AE9" s="10" t="s">
        <v>520</v>
      </c>
      <c r="AF9" s="10" t="s">
        <v>504</v>
      </c>
      <c r="AG9" s="10" t="s">
        <v>515</v>
      </c>
      <c r="AH9" s="10"/>
      <c r="AI9" s="10"/>
      <c r="AJ9" s="10"/>
      <c r="AK9" s="10"/>
      <c r="AL9" s="10"/>
      <c r="AM9" s="10"/>
      <c r="AN9" s="10"/>
      <c r="AO9" s="10"/>
      <c r="AP9" s="10"/>
      <c r="AQ9" s="10"/>
      <c r="AR9" s="10"/>
      <c r="AS9" s="10"/>
      <c r="AT9" s="10"/>
      <c r="AU9" s="10"/>
      <c r="AV9" s="10"/>
      <c r="AW9" s="10"/>
      <c r="AX9" s="10" t="b">
        <v>0</v>
      </c>
      <c r="AY9" s="10"/>
      <c r="AZ9" s="10"/>
      <c r="BA9" s="10" t="s">
        <v>259</v>
      </c>
      <c r="BB9" s="10" t="s">
        <v>259</v>
      </c>
      <c r="BC9" s="10"/>
      <c r="BD9" s="10"/>
      <c r="BE9" s="10"/>
      <c r="BF9" s="10"/>
      <c r="BG9" s="10"/>
      <c r="BH9" s="10"/>
      <c r="BI9" s="10"/>
      <c r="BJ9" s="10"/>
      <c r="BK9" s="10"/>
      <c r="BL9" s="10"/>
      <c r="BM9" s="10"/>
      <c r="BN9" s="10"/>
      <c r="BO9" s="10"/>
    </row>
    <row r="10" spans="1:67" ht="32.1" customHeight="1">
      <c r="A10" s="10"/>
      <c r="B10" s="10">
        <v>1177299</v>
      </c>
      <c r="C10" s="11">
        <v>43887</v>
      </c>
      <c r="D10" s="10">
        <v>11</v>
      </c>
      <c r="E10" s="10" t="s">
        <v>75</v>
      </c>
      <c r="F10" s="10" t="b">
        <v>1</v>
      </c>
      <c r="G10" s="10"/>
      <c r="H10" s="10"/>
      <c r="I10" s="10"/>
      <c r="J10" s="10"/>
      <c r="K10" s="10"/>
      <c r="L10" s="10"/>
      <c r="M10" s="10"/>
      <c r="N10" s="10"/>
      <c r="O10" s="10"/>
      <c r="P10" s="10"/>
      <c r="Q10" s="10"/>
      <c r="R10" s="10"/>
      <c r="S10" s="10"/>
      <c r="T10" s="10"/>
      <c r="U10" s="10"/>
      <c r="V10" s="10"/>
      <c r="W10" s="10"/>
      <c r="X10" s="10"/>
      <c r="Y10" s="10"/>
      <c r="Z10" s="10"/>
      <c r="AA10" s="10"/>
      <c r="AB10" s="10" t="b">
        <v>1</v>
      </c>
      <c r="AC10" s="10" t="b">
        <v>1</v>
      </c>
      <c r="AD10" s="10" t="s">
        <v>506</v>
      </c>
      <c r="AE10" s="10" t="s">
        <v>518</v>
      </c>
      <c r="AF10" s="10" t="s">
        <v>506</v>
      </c>
      <c r="AG10" s="10" t="s">
        <v>518</v>
      </c>
      <c r="AH10" s="10"/>
      <c r="AI10" s="10"/>
      <c r="AJ10" s="10"/>
      <c r="AK10" s="10"/>
      <c r="AL10" s="10"/>
      <c r="AM10" s="10"/>
      <c r="AN10" s="10"/>
      <c r="AO10" s="10"/>
      <c r="AP10" s="10"/>
      <c r="AQ10" s="10"/>
      <c r="AR10" s="10"/>
      <c r="AS10" s="10"/>
      <c r="AT10" s="10"/>
      <c r="AU10" s="10"/>
      <c r="AV10" s="10"/>
      <c r="AW10" s="10"/>
      <c r="AX10" s="10"/>
      <c r="AY10" s="10"/>
      <c r="AZ10" s="10"/>
      <c r="BA10" s="10"/>
      <c r="BB10" s="10"/>
      <c r="BC10" s="10" t="b">
        <v>1</v>
      </c>
      <c r="BD10" s="10"/>
      <c r="BE10" s="10"/>
      <c r="BF10" s="10"/>
      <c r="BG10" s="10"/>
      <c r="BH10" s="10"/>
      <c r="BI10" s="10"/>
      <c r="BJ10" s="10"/>
      <c r="BK10" s="10"/>
      <c r="BL10" s="10"/>
      <c r="BM10" s="10"/>
      <c r="BN10" s="10"/>
      <c r="BO10" s="10"/>
    </row>
    <row r="11" spans="1:67" ht="128.1" customHeight="1">
      <c r="A11" s="10"/>
      <c r="B11" s="10">
        <v>1177299</v>
      </c>
      <c r="C11" s="11">
        <v>43893</v>
      </c>
      <c r="D11" s="10">
        <v>11</v>
      </c>
      <c r="E11" s="10" t="s">
        <v>76</v>
      </c>
      <c r="F11" s="10" t="b">
        <v>1</v>
      </c>
      <c r="G11" s="10"/>
      <c r="H11" s="10"/>
      <c r="I11" s="10"/>
      <c r="J11" s="10"/>
      <c r="K11" s="10"/>
      <c r="L11" s="10"/>
      <c r="M11" s="10"/>
      <c r="N11" s="10"/>
      <c r="O11" s="10"/>
      <c r="P11" s="10"/>
      <c r="Q11" s="10"/>
      <c r="R11" s="10"/>
      <c r="S11" s="10" t="s">
        <v>478</v>
      </c>
      <c r="T11" s="10" t="s">
        <v>478</v>
      </c>
      <c r="U11" s="10" t="s">
        <v>479</v>
      </c>
      <c r="V11" s="10" t="s">
        <v>479</v>
      </c>
      <c r="W11" s="10">
        <v>5</v>
      </c>
      <c r="X11" s="10">
        <v>5</v>
      </c>
      <c r="Y11" s="10"/>
      <c r="Z11" s="10"/>
      <c r="AA11" s="10"/>
      <c r="AB11" s="10" t="b">
        <v>1</v>
      </c>
      <c r="AC11" s="10" t="b">
        <v>1</v>
      </c>
      <c r="AD11" s="10" t="s">
        <v>506</v>
      </c>
      <c r="AE11" s="10" t="s">
        <v>520</v>
      </c>
      <c r="AF11" s="10" t="s">
        <v>506</v>
      </c>
      <c r="AG11" s="10" t="s">
        <v>520</v>
      </c>
      <c r="AH11" s="10" t="s">
        <v>536</v>
      </c>
      <c r="AI11" s="10"/>
      <c r="AJ11" s="10"/>
      <c r="AK11" s="10"/>
      <c r="AL11" s="10"/>
      <c r="AM11" s="10" t="s">
        <v>569</v>
      </c>
      <c r="AN11" s="10"/>
      <c r="AO11" s="10"/>
      <c r="AP11" s="10"/>
      <c r="AQ11" s="10"/>
      <c r="AR11" s="10"/>
      <c r="AS11" s="10"/>
      <c r="AT11" s="10"/>
      <c r="AU11" s="10" t="b">
        <v>1</v>
      </c>
      <c r="AV11" s="10"/>
      <c r="AW11" s="10"/>
      <c r="AX11" s="10"/>
      <c r="AY11" s="10"/>
      <c r="AZ11" s="10"/>
      <c r="BA11" s="10" t="s">
        <v>259</v>
      </c>
      <c r="BB11" s="10" t="s">
        <v>259</v>
      </c>
      <c r="BC11" s="10"/>
      <c r="BD11" s="10"/>
      <c r="BE11" s="10"/>
      <c r="BF11" s="10"/>
      <c r="BG11" s="10"/>
      <c r="BH11" s="10"/>
      <c r="BI11" s="10"/>
      <c r="BJ11" s="10"/>
      <c r="BK11" s="10"/>
      <c r="BL11" s="10"/>
      <c r="BM11" s="10"/>
      <c r="BN11" s="10"/>
      <c r="BO11" s="10"/>
    </row>
    <row r="12" spans="1:67" ht="111.95" customHeight="1">
      <c r="A12" s="10"/>
      <c r="B12" s="10">
        <v>1177299</v>
      </c>
      <c r="C12" s="11">
        <v>43931</v>
      </c>
      <c r="D12" s="10">
        <v>13</v>
      </c>
      <c r="E12" s="10" t="s">
        <v>77</v>
      </c>
      <c r="F12" s="10" t="b">
        <v>1</v>
      </c>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c r="BA12" s="10"/>
      <c r="BB12" s="10"/>
      <c r="BC12" s="10"/>
      <c r="BD12" s="10"/>
      <c r="BE12" s="10"/>
      <c r="BF12" s="10"/>
      <c r="BG12" s="10"/>
      <c r="BH12" s="10"/>
      <c r="BI12" s="10"/>
      <c r="BJ12" s="10"/>
      <c r="BK12" s="10"/>
      <c r="BL12" s="10"/>
      <c r="BM12" s="10"/>
      <c r="BN12" s="10"/>
      <c r="BO12" s="10"/>
    </row>
    <row r="13" spans="1:67" ht="159.94999999999999" customHeight="1">
      <c r="A13" s="10"/>
      <c r="B13" s="10">
        <v>1177299</v>
      </c>
      <c r="C13" s="11">
        <v>43999</v>
      </c>
      <c r="D13" s="10">
        <v>15</v>
      </c>
      <c r="E13" s="10" t="s">
        <v>78</v>
      </c>
      <c r="F13" s="10" t="b">
        <v>1</v>
      </c>
      <c r="G13" s="10"/>
      <c r="H13" s="10"/>
      <c r="I13" s="10"/>
      <c r="J13" s="10"/>
      <c r="K13" s="10"/>
      <c r="L13" s="10"/>
      <c r="M13" s="10"/>
      <c r="N13" s="10"/>
      <c r="O13" s="10"/>
      <c r="P13" s="10"/>
      <c r="Q13" s="10"/>
      <c r="R13" s="10"/>
      <c r="S13" s="10" t="s">
        <v>479</v>
      </c>
      <c r="T13" s="10" t="s">
        <v>479</v>
      </c>
      <c r="U13" s="10" t="s">
        <v>483</v>
      </c>
      <c r="V13" s="10" t="s">
        <v>483</v>
      </c>
      <c r="W13" s="10">
        <v>3</v>
      </c>
      <c r="X13" s="10">
        <v>3</v>
      </c>
      <c r="Y13" s="10"/>
      <c r="Z13" s="10"/>
      <c r="AA13" s="10"/>
      <c r="AB13" s="10" t="b">
        <v>0</v>
      </c>
      <c r="AC13" s="10" t="b">
        <v>0</v>
      </c>
      <c r="AD13" s="10" t="s">
        <v>506</v>
      </c>
      <c r="AE13" s="10" t="s">
        <v>520</v>
      </c>
      <c r="AF13" s="10" t="s">
        <v>506</v>
      </c>
      <c r="AG13" s="10" t="s">
        <v>520</v>
      </c>
      <c r="AH13" s="10" t="s">
        <v>598</v>
      </c>
      <c r="AI13" s="10"/>
      <c r="AJ13" s="10"/>
      <c r="AK13" s="10"/>
      <c r="AL13" s="10"/>
      <c r="AM13" s="10" t="s">
        <v>569</v>
      </c>
      <c r="AN13" s="10"/>
      <c r="AO13" s="10"/>
      <c r="AP13" s="10"/>
      <c r="AQ13" s="10"/>
      <c r="AR13" s="10"/>
      <c r="AS13" s="10"/>
      <c r="AT13" s="10"/>
      <c r="AU13" s="10" t="b">
        <v>1</v>
      </c>
      <c r="AV13" s="10"/>
      <c r="AW13" s="10"/>
      <c r="AX13" s="10"/>
      <c r="AY13" s="10"/>
      <c r="AZ13" s="10"/>
      <c r="BA13" s="10" t="s">
        <v>259</v>
      </c>
      <c r="BB13" s="10" t="s">
        <v>259</v>
      </c>
      <c r="BC13" s="10"/>
      <c r="BD13" s="10"/>
      <c r="BE13" s="10"/>
      <c r="BF13" s="10" t="b">
        <v>1</v>
      </c>
      <c r="BG13" s="10"/>
      <c r="BH13" s="10"/>
      <c r="BI13" s="10"/>
      <c r="BJ13" s="10"/>
      <c r="BK13" s="10"/>
      <c r="BL13" s="10"/>
      <c r="BM13" s="10"/>
      <c r="BN13" s="10"/>
      <c r="BO13" s="10"/>
    </row>
    <row r="14" spans="1:67" ht="144" customHeight="1">
      <c r="A14" s="10"/>
      <c r="B14" s="10">
        <v>1177299</v>
      </c>
      <c r="C14" s="11">
        <v>44026</v>
      </c>
      <c r="D14" s="10">
        <v>16</v>
      </c>
      <c r="E14" s="10" t="s">
        <v>79</v>
      </c>
      <c r="F14" s="10" t="b">
        <v>1</v>
      </c>
      <c r="G14" s="10"/>
      <c r="H14" s="10"/>
      <c r="I14" s="10"/>
      <c r="J14" s="10"/>
      <c r="K14" s="10"/>
      <c r="L14" s="10"/>
      <c r="M14" s="10"/>
      <c r="N14" s="10"/>
      <c r="O14" s="10"/>
      <c r="P14" s="10"/>
      <c r="Q14" s="10"/>
      <c r="R14" s="10"/>
      <c r="S14" s="10" t="s">
        <v>483</v>
      </c>
      <c r="T14" s="10" t="s">
        <v>483</v>
      </c>
      <c r="U14" s="10" t="s">
        <v>483</v>
      </c>
      <c r="V14" s="10" t="s">
        <v>483</v>
      </c>
      <c r="W14" s="10">
        <v>2</v>
      </c>
      <c r="X14" s="10"/>
      <c r="Y14" s="10"/>
      <c r="Z14" s="10"/>
      <c r="AA14" s="10" t="b">
        <v>1</v>
      </c>
      <c r="AB14" s="10"/>
      <c r="AC14" s="10"/>
      <c r="AD14" s="10"/>
      <c r="AE14" s="10"/>
      <c r="AF14" s="10"/>
      <c r="AG14" s="10"/>
      <c r="AH14" s="10"/>
      <c r="AI14" s="10"/>
      <c r="AJ14" s="10"/>
      <c r="AK14" s="10"/>
      <c r="AL14" s="10"/>
      <c r="AM14" s="10" t="s">
        <v>599</v>
      </c>
      <c r="AN14" s="10"/>
      <c r="AO14" s="10"/>
      <c r="AP14" s="10"/>
      <c r="AQ14" s="10"/>
      <c r="AR14" s="10"/>
      <c r="AS14" s="10"/>
      <c r="AT14" s="10"/>
      <c r="AU14" s="10" t="b">
        <v>0</v>
      </c>
      <c r="AV14" s="10"/>
      <c r="AW14" s="10"/>
      <c r="AX14" s="10"/>
      <c r="AY14" s="10"/>
      <c r="AZ14" s="10"/>
      <c r="BA14" s="10"/>
      <c r="BB14" s="10"/>
      <c r="BC14" s="10"/>
      <c r="BD14" s="10"/>
      <c r="BE14" s="10"/>
      <c r="BF14" s="10"/>
      <c r="BG14" s="10"/>
      <c r="BH14" s="10"/>
      <c r="BI14" s="10"/>
      <c r="BJ14" s="10"/>
      <c r="BK14" s="10"/>
      <c r="BL14" s="10"/>
      <c r="BM14" s="10"/>
      <c r="BN14" s="10"/>
      <c r="BO14" s="10"/>
    </row>
    <row r="15" spans="1:67" ht="240" customHeight="1">
      <c r="A15" s="10"/>
      <c r="B15" s="10">
        <v>1177299</v>
      </c>
      <c r="C15" s="11">
        <v>44068</v>
      </c>
      <c r="D15" s="10">
        <v>17</v>
      </c>
      <c r="E15" s="10" t="s">
        <v>80</v>
      </c>
      <c r="F15" s="10" t="b">
        <v>1</v>
      </c>
      <c r="G15" s="10"/>
      <c r="H15" s="10"/>
      <c r="I15" s="10"/>
      <c r="J15" s="10"/>
      <c r="K15" s="10"/>
      <c r="L15" s="10"/>
      <c r="M15" s="10"/>
      <c r="N15" s="10"/>
      <c r="O15" s="10"/>
      <c r="P15" s="10"/>
      <c r="Q15" s="10"/>
      <c r="R15" s="10"/>
      <c r="S15" s="10" t="s">
        <v>483</v>
      </c>
      <c r="T15" s="10" t="s">
        <v>483</v>
      </c>
      <c r="U15" s="10" t="s">
        <v>483</v>
      </c>
      <c r="V15" s="10" t="s">
        <v>483</v>
      </c>
      <c r="W15" s="10">
        <v>2</v>
      </c>
      <c r="X15" s="10">
        <v>2</v>
      </c>
      <c r="Y15" s="10"/>
      <c r="Z15" s="10"/>
      <c r="AA15" s="10"/>
      <c r="AB15" s="10" t="b">
        <v>0</v>
      </c>
      <c r="AC15" s="10" t="b">
        <v>1</v>
      </c>
      <c r="AD15" s="10" t="s">
        <v>506</v>
      </c>
      <c r="AE15" s="10" t="s">
        <v>520</v>
      </c>
      <c r="AF15" s="10" t="s">
        <v>504</v>
      </c>
      <c r="AG15" s="10" t="s">
        <v>514</v>
      </c>
      <c r="AH15" s="10" t="s">
        <v>532</v>
      </c>
      <c r="AI15" s="10"/>
      <c r="AJ15" s="10"/>
      <c r="AK15" s="10"/>
      <c r="AL15" s="10"/>
      <c r="AM15" s="10"/>
      <c r="AN15" s="10"/>
      <c r="AO15" s="10"/>
      <c r="AP15" s="10"/>
      <c r="AQ15" s="10"/>
      <c r="AR15" s="10"/>
      <c r="AS15" s="10"/>
      <c r="AT15" s="10"/>
      <c r="AU15" s="10"/>
      <c r="AV15" s="10"/>
      <c r="AW15" s="10"/>
      <c r="AX15" s="10"/>
      <c r="AY15" s="10"/>
      <c r="AZ15" s="10"/>
      <c r="BA15" s="10" t="s">
        <v>259</v>
      </c>
      <c r="BB15" s="10" t="s">
        <v>259</v>
      </c>
      <c r="BC15" s="10" t="b">
        <v>1</v>
      </c>
      <c r="BD15" s="10"/>
      <c r="BE15" s="10"/>
      <c r="BF15" s="10" t="b">
        <v>1</v>
      </c>
      <c r="BG15" s="10"/>
      <c r="BH15" s="10"/>
      <c r="BI15" s="10"/>
      <c r="BJ15" s="10"/>
      <c r="BK15" s="10"/>
      <c r="BL15" s="10"/>
      <c r="BM15" s="10"/>
      <c r="BN15" s="10"/>
      <c r="BO15" s="10"/>
    </row>
    <row r="16" spans="1:67" ht="96" customHeight="1">
      <c r="A16" s="10"/>
      <c r="B16" s="10">
        <v>1177299</v>
      </c>
      <c r="C16" s="11">
        <v>44174</v>
      </c>
      <c r="D16" s="10">
        <v>21</v>
      </c>
      <c r="E16" s="10" t="s">
        <v>81</v>
      </c>
      <c r="F16" s="10" t="b">
        <v>1</v>
      </c>
      <c r="G16" s="10"/>
      <c r="H16" s="10"/>
      <c r="I16" s="10"/>
      <c r="J16" s="10"/>
      <c r="K16" s="10"/>
      <c r="L16" s="10"/>
      <c r="M16" s="10"/>
      <c r="N16" s="10"/>
      <c r="O16" s="10"/>
      <c r="P16" s="10"/>
      <c r="Q16" s="10"/>
      <c r="R16" s="10"/>
      <c r="S16" s="10"/>
      <c r="T16" s="10"/>
      <c r="U16" s="10"/>
      <c r="V16" s="10"/>
      <c r="W16" s="10"/>
      <c r="X16" s="10"/>
      <c r="Y16" s="10"/>
      <c r="Z16" s="10"/>
      <c r="AA16" s="10"/>
      <c r="AB16" s="10" t="b">
        <v>0</v>
      </c>
      <c r="AC16" s="10" t="b">
        <v>1</v>
      </c>
      <c r="AD16" s="10" t="s">
        <v>506</v>
      </c>
      <c r="AE16" s="10" t="s">
        <v>520</v>
      </c>
      <c r="AF16" s="10" t="s">
        <v>504</v>
      </c>
      <c r="AG16" s="10" t="s">
        <v>517</v>
      </c>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t="b">
        <v>1</v>
      </c>
      <c r="BG16" s="10"/>
      <c r="BH16" s="10"/>
      <c r="BI16" s="10"/>
      <c r="BJ16" s="10"/>
      <c r="BK16" s="10"/>
      <c r="BL16" s="10"/>
      <c r="BM16" s="10"/>
      <c r="BN16" s="10"/>
      <c r="BO16" s="10"/>
    </row>
    <row r="17" spans="1:67" ht="207.95" customHeight="1">
      <c r="A17" s="10"/>
      <c r="B17" s="10">
        <v>1177299</v>
      </c>
      <c r="C17" s="11">
        <v>44215</v>
      </c>
      <c r="D17" s="10">
        <v>22</v>
      </c>
      <c r="E17" s="10" t="s">
        <v>82</v>
      </c>
      <c r="F17" s="10" t="b">
        <v>1</v>
      </c>
      <c r="G17" s="10"/>
      <c r="H17" s="10"/>
      <c r="I17" s="10"/>
      <c r="J17" s="10"/>
      <c r="K17" s="10"/>
      <c r="L17" s="10"/>
      <c r="M17" s="10"/>
      <c r="N17" s="10"/>
      <c r="O17" s="10"/>
      <c r="P17" s="10"/>
      <c r="Q17" s="10"/>
      <c r="R17" s="10"/>
      <c r="S17" s="10" t="s">
        <v>483</v>
      </c>
      <c r="T17" s="10" t="s">
        <v>483</v>
      </c>
      <c r="U17" s="10" t="s">
        <v>483</v>
      </c>
      <c r="V17" s="10" t="s">
        <v>483</v>
      </c>
      <c r="W17" s="10">
        <v>3</v>
      </c>
      <c r="X17" s="10">
        <v>4</v>
      </c>
      <c r="Y17" s="10"/>
      <c r="Z17" s="10"/>
      <c r="AA17" s="10"/>
      <c r="AB17" s="10" t="b">
        <v>0</v>
      </c>
      <c r="AC17" s="10" t="b">
        <v>0</v>
      </c>
      <c r="AD17" s="10" t="s">
        <v>506</v>
      </c>
      <c r="AE17" s="10" t="s">
        <v>520</v>
      </c>
      <c r="AF17" s="10" t="s">
        <v>504</v>
      </c>
      <c r="AG17" s="10" t="s">
        <v>517</v>
      </c>
      <c r="AH17" s="10"/>
      <c r="AI17" s="10"/>
      <c r="AJ17" s="10"/>
      <c r="AK17" s="10"/>
      <c r="AL17" s="10"/>
      <c r="AM17" s="10"/>
      <c r="AN17" s="10"/>
      <c r="AO17" s="10"/>
      <c r="AP17" s="10"/>
      <c r="AQ17" s="10"/>
      <c r="AR17" s="10"/>
      <c r="AS17" s="10"/>
      <c r="AT17" s="10"/>
      <c r="AU17" s="10"/>
      <c r="AV17" s="10"/>
      <c r="AW17" s="10"/>
      <c r="AX17" s="10"/>
      <c r="AY17" s="10"/>
      <c r="AZ17" s="10"/>
      <c r="BA17" s="10" t="s">
        <v>259</v>
      </c>
      <c r="BB17" s="10" t="s">
        <v>259</v>
      </c>
      <c r="BC17" s="10"/>
      <c r="BD17" s="10"/>
      <c r="BE17" s="10"/>
      <c r="BF17" s="10"/>
      <c r="BG17" s="10"/>
      <c r="BH17" s="10"/>
      <c r="BI17" s="10"/>
      <c r="BJ17" s="10"/>
      <c r="BK17" s="10"/>
      <c r="BL17" s="10"/>
      <c r="BM17" s="10"/>
      <c r="BN17" s="10"/>
      <c r="BO17" s="10"/>
    </row>
    <row r="18" spans="1:67" ht="176.1" customHeight="1">
      <c r="A18" s="10"/>
      <c r="B18" s="10">
        <v>1177299</v>
      </c>
      <c r="C18" s="11">
        <v>44305</v>
      </c>
      <c r="D18" s="10">
        <v>25</v>
      </c>
      <c r="E18" s="10" t="s">
        <v>83</v>
      </c>
      <c r="F18" s="10" t="b">
        <v>1</v>
      </c>
      <c r="G18" s="10" t="b">
        <v>1</v>
      </c>
      <c r="H18" s="10"/>
      <c r="I18" s="10"/>
      <c r="J18" s="10"/>
      <c r="K18" s="10"/>
      <c r="L18" s="10"/>
      <c r="M18" s="10"/>
      <c r="N18" s="10"/>
      <c r="O18" s="10"/>
      <c r="P18" s="10"/>
      <c r="Q18" s="10"/>
      <c r="R18" s="10"/>
      <c r="S18" s="10" t="s">
        <v>483</v>
      </c>
      <c r="T18" s="10" t="s">
        <v>483</v>
      </c>
      <c r="U18" s="10" t="s">
        <v>483</v>
      </c>
      <c r="V18" s="10" t="s">
        <v>483</v>
      </c>
      <c r="W18" s="10">
        <v>4</v>
      </c>
      <c r="X18" s="10">
        <v>4</v>
      </c>
      <c r="Y18" s="10"/>
      <c r="Z18" s="10"/>
      <c r="AA18" s="10"/>
      <c r="AB18" s="10" t="b">
        <v>1</v>
      </c>
      <c r="AC18" s="10" t="b">
        <v>1</v>
      </c>
      <c r="AD18" s="10" t="s">
        <v>507</v>
      </c>
      <c r="AE18" s="10" t="s">
        <v>518</v>
      </c>
      <c r="AF18" s="10" t="s">
        <v>507</v>
      </c>
      <c r="AG18" s="10" t="s">
        <v>518</v>
      </c>
      <c r="AH18" s="10"/>
      <c r="AI18" s="10"/>
      <c r="AJ18" s="10"/>
      <c r="AK18" s="10"/>
      <c r="AL18" s="10"/>
      <c r="AM18" s="10"/>
      <c r="AN18" s="10"/>
      <c r="AO18" s="10"/>
      <c r="AP18" s="10"/>
      <c r="AQ18" s="10"/>
      <c r="AR18" s="10"/>
      <c r="AS18" s="10"/>
      <c r="AT18" s="10"/>
      <c r="AU18" s="10"/>
      <c r="AV18" s="10"/>
      <c r="AW18" s="10"/>
      <c r="AX18" s="10" t="b">
        <v>1</v>
      </c>
      <c r="AY18" s="10"/>
      <c r="AZ18" s="10"/>
      <c r="BA18" s="10" t="s">
        <v>259</v>
      </c>
      <c r="BB18" s="10" t="s">
        <v>259</v>
      </c>
      <c r="BC18" s="10"/>
      <c r="BD18" s="10"/>
      <c r="BE18" s="10"/>
      <c r="BF18" s="10"/>
      <c r="BG18" s="10"/>
      <c r="BH18" s="10"/>
      <c r="BI18" s="10" t="b">
        <v>1</v>
      </c>
      <c r="BJ18" s="10"/>
      <c r="BK18" s="10"/>
      <c r="BL18" s="10"/>
      <c r="BM18" s="10"/>
      <c r="BN18" s="10"/>
      <c r="BO18" s="10"/>
    </row>
    <row r="19" spans="1:67" ht="207.95" customHeight="1">
      <c r="A19" s="10"/>
      <c r="B19" s="10">
        <v>1177299</v>
      </c>
      <c r="C19" s="11">
        <v>44354</v>
      </c>
      <c r="D19" s="10">
        <v>27</v>
      </c>
      <c r="E19" s="10" t="s">
        <v>84</v>
      </c>
      <c r="F19" s="10" t="b">
        <v>1</v>
      </c>
      <c r="G19" s="10"/>
      <c r="H19" s="10"/>
      <c r="I19" s="10"/>
      <c r="J19" s="10"/>
      <c r="K19" s="10"/>
      <c r="L19" s="10"/>
      <c r="M19" s="10"/>
      <c r="N19" s="10"/>
      <c r="O19" s="10"/>
      <c r="P19" s="10"/>
      <c r="Q19" s="10"/>
      <c r="R19" s="10"/>
      <c r="S19" s="10" t="s">
        <v>483</v>
      </c>
      <c r="T19" s="10" t="s">
        <v>483</v>
      </c>
      <c r="U19" s="10" t="s">
        <v>483</v>
      </c>
      <c r="V19" s="10" t="s">
        <v>483</v>
      </c>
      <c r="W19" s="10">
        <v>4</v>
      </c>
      <c r="X19" s="10">
        <v>5</v>
      </c>
      <c r="Y19" s="10"/>
      <c r="Z19" s="10"/>
      <c r="AA19" s="10"/>
      <c r="AB19" s="10" t="b">
        <v>0</v>
      </c>
      <c r="AC19" s="10" t="b">
        <v>0</v>
      </c>
      <c r="AD19" s="10" t="s">
        <v>507</v>
      </c>
      <c r="AE19" s="10" t="s">
        <v>518</v>
      </c>
      <c r="AF19" s="10" t="s">
        <v>507</v>
      </c>
      <c r="AG19" s="10" t="s">
        <v>518</v>
      </c>
      <c r="AH19" s="10"/>
      <c r="AI19" s="10"/>
      <c r="AJ19" s="10"/>
      <c r="AK19" s="10" t="s">
        <v>540</v>
      </c>
      <c r="AL19" s="10" t="s">
        <v>566</v>
      </c>
      <c r="AM19" s="10"/>
      <c r="AN19" s="10"/>
      <c r="AO19" s="10"/>
      <c r="AP19" s="10"/>
      <c r="AQ19" s="10"/>
      <c r="AR19" s="10"/>
      <c r="AS19" s="10"/>
      <c r="AT19" s="10"/>
      <c r="AU19" s="10"/>
      <c r="AV19" s="10"/>
      <c r="AW19" s="10"/>
      <c r="AX19" s="10"/>
      <c r="AY19" s="10"/>
      <c r="AZ19" s="10"/>
      <c r="BA19" s="10" t="s">
        <v>259</v>
      </c>
      <c r="BB19" s="10" t="s">
        <v>259</v>
      </c>
      <c r="BC19" s="10"/>
      <c r="BD19" s="10"/>
      <c r="BE19" s="10"/>
      <c r="BF19" s="10"/>
      <c r="BG19" s="10"/>
      <c r="BH19" s="10" t="b">
        <v>1</v>
      </c>
      <c r="BI19" s="10" t="b">
        <v>1</v>
      </c>
      <c r="BJ19" s="10" t="s">
        <v>597</v>
      </c>
      <c r="BK19" s="10" t="s">
        <v>596</v>
      </c>
      <c r="BL19" s="10"/>
      <c r="BM19" s="10"/>
      <c r="BN19" s="10"/>
      <c r="BO19" s="10"/>
    </row>
    <row r="20" spans="1:67" ht="159.94999999999999" customHeight="1">
      <c r="A20" s="10"/>
      <c r="B20" s="10">
        <v>1177299</v>
      </c>
      <c r="C20" s="11">
        <v>44389</v>
      </c>
      <c r="D20" s="10">
        <v>28</v>
      </c>
      <c r="E20" s="10" t="s">
        <v>85</v>
      </c>
      <c r="F20" s="10" t="b">
        <v>1</v>
      </c>
      <c r="G20" s="10"/>
      <c r="H20" s="10"/>
      <c r="I20" s="10"/>
      <c r="J20" s="10"/>
      <c r="K20" s="10"/>
      <c r="L20" s="10"/>
      <c r="M20" s="10"/>
      <c r="N20" s="10"/>
      <c r="O20" s="10"/>
      <c r="P20" s="10"/>
      <c r="Q20" s="10"/>
      <c r="R20" s="10"/>
      <c r="S20" s="10" t="s">
        <v>483</v>
      </c>
      <c r="T20" s="10" t="s">
        <v>483</v>
      </c>
      <c r="U20" s="10" t="s">
        <v>483</v>
      </c>
      <c r="V20" s="10" t="s">
        <v>483</v>
      </c>
      <c r="W20" s="10"/>
      <c r="X20" s="10">
        <v>5</v>
      </c>
      <c r="Y20" s="10"/>
      <c r="Z20" s="10"/>
      <c r="AA20" s="10"/>
      <c r="AB20" s="10" t="b">
        <v>0</v>
      </c>
      <c r="AC20" s="10" t="b">
        <v>0</v>
      </c>
      <c r="AD20" s="10" t="s">
        <v>507</v>
      </c>
      <c r="AE20" s="10" t="s">
        <v>518</v>
      </c>
      <c r="AF20" s="10" t="s">
        <v>507</v>
      </c>
      <c r="AG20" s="10" t="s">
        <v>518</v>
      </c>
      <c r="AH20" s="10"/>
      <c r="AI20" s="10" t="s">
        <v>540</v>
      </c>
      <c r="AJ20" s="10" t="s">
        <v>565</v>
      </c>
      <c r="AK20" s="10" t="s">
        <v>540</v>
      </c>
      <c r="AL20" s="10" t="s">
        <v>565</v>
      </c>
      <c r="AM20" s="10"/>
      <c r="AN20" s="10"/>
      <c r="AO20" s="10"/>
      <c r="AP20" s="10"/>
      <c r="AQ20" s="10"/>
      <c r="AR20" s="10"/>
      <c r="AS20" s="10"/>
      <c r="AT20" s="10"/>
      <c r="AU20" s="10"/>
      <c r="AV20" s="10"/>
      <c r="AW20" s="10"/>
      <c r="AX20" s="10"/>
      <c r="AY20" s="10"/>
      <c r="AZ20" s="10"/>
      <c r="BA20" s="10"/>
      <c r="BB20" s="10" t="s">
        <v>259</v>
      </c>
      <c r="BC20" s="10"/>
      <c r="BD20" s="10"/>
      <c r="BE20" s="10"/>
      <c r="BF20" s="10"/>
      <c r="BG20" s="10"/>
      <c r="BH20" s="10"/>
      <c r="BI20" s="10"/>
      <c r="BJ20" s="10"/>
      <c r="BK20" s="10"/>
      <c r="BL20" s="10"/>
      <c r="BM20" s="10"/>
      <c r="BN20" s="10"/>
      <c r="BO20" s="10"/>
    </row>
    <row r="21" spans="1:67" ht="176.1" customHeight="1">
      <c r="A21" s="10"/>
      <c r="B21" s="10">
        <v>1177299</v>
      </c>
      <c r="C21" s="11">
        <v>44417</v>
      </c>
      <c r="D21" s="10">
        <v>29</v>
      </c>
      <c r="E21" s="10" t="s">
        <v>86</v>
      </c>
      <c r="F21" s="10" t="b">
        <v>1</v>
      </c>
      <c r="G21" s="10"/>
      <c r="H21" s="10"/>
      <c r="I21" s="10"/>
      <c r="J21" s="10"/>
      <c r="K21" s="10"/>
      <c r="L21" s="10"/>
      <c r="M21" s="10"/>
      <c r="N21" s="10"/>
      <c r="O21" s="10"/>
      <c r="P21" s="10"/>
      <c r="Q21" s="10"/>
      <c r="R21" s="10"/>
      <c r="S21" s="10" t="s">
        <v>483</v>
      </c>
      <c r="T21" s="10" t="s">
        <v>483</v>
      </c>
      <c r="U21" s="10" t="s">
        <v>483</v>
      </c>
      <c r="V21" s="10" t="s">
        <v>483</v>
      </c>
      <c r="W21" s="10"/>
      <c r="X21" s="10">
        <v>4.5</v>
      </c>
      <c r="Y21" s="10"/>
      <c r="Z21" s="10"/>
      <c r="AA21" s="10"/>
      <c r="AB21" s="10" t="b">
        <v>0</v>
      </c>
      <c r="AC21" s="10" t="b">
        <v>0</v>
      </c>
      <c r="AD21" s="10" t="s">
        <v>507</v>
      </c>
      <c r="AE21" s="10" t="s">
        <v>518</v>
      </c>
      <c r="AF21" s="10" t="s">
        <v>507</v>
      </c>
      <c r="AG21" s="10" t="s">
        <v>518</v>
      </c>
      <c r="AH21" s="10"/>
      <c r="AI21" s="10" t="s">
        <v>540</v>
      </c>
      <c r="AJ21" s="10" t="s">
        <v>565</v>
      </c>
      <c r="AK21" s="10" t="s">
        <v>540</v>
      </c>
      <c r="AL21" s="10" t="s">
        <v>565</v>
      </c>
      <c r="AM21" s="10"/>
      <c r="AN21" s="10"/>
      <c r="AO21" s="10"/>
      <c r="AP21" s="10"/>
      <c r="AQ21" s="10"/>
      <c r="AR21" s="10"/>
      <c r="AS21" s="10"/>
      <c r="AT21" s="10"/>
      <c r="AU21" s="10"/>
      <c r="AV21" s="10"/>
      <c r="AW21" s="10"/>
      <c r="AX21" s="10"/>
      <c r="AY21" s="10"/>
      <c r="AZ21" s="10"/>
      <c r="BA21" s="10" t="s">
        <v>259</v>
      </c>
      <c r="BB21" s="10" t="s">
        <v>583</v>
      </c>
      <c r="BC21" s="10"/>
      <c r="BD21" s="10"/>
      <c r="BE21" s="10"/>
      <c r="BF21" s="10"/>
      <c r="BG21" s="10"/>
      <c r="BH21" s="10"/>
      <c r="BI21" s="10" t="b">
        <v>1</v>
      </c>
      <c r="BJ21" s="10"/>
      <c r="BK21" s="10"/>
      <c r="BL21" s="10"/>
      <c r="BM21" s="10"/>
      <c r="BN21" s="10"/>
      <c r="BO21" s="10"/>
    </row>
    <row r="22" spans="1:67" ht="224.1" customHeight="1">
      <c r="A22" s="10"/>
      <c r="B22" s="10">
        <v>1177299</v>
      </c>
      <c r="C22" s="11">
        <v>44452</v>
      </c>
      <c r="D22" s="10">
        <v>30</v>
      </c>
      <c r="E22" s="10" t="s">
        <v>87</v>
      </c>
      <c r="F22" s="10" t="b">
        <v>1</v>
      </c>
      <c r="G22" s="10"/>
      <c r="H22" s="10"/>
      <c r="I22" s="10"/>
      <c r="J22" s="10"/>
      <c r="K22" s="10"/>
      <c r="L22" s="10"/>
      <c r="M22" s="10"/>
      <c r="N22" s="10"/>
      <c r="O22" s="10"/>
      <c r="P22" s="10"/>
      <c r="Q22" s="10"/>
      <c r="R22" s="10"/>
      <c r="S22" s="10" t="s">
        <v>483</v>
      </c>
      <c r="T22" s="10" t="s">
        <v>483</v>
      </c>
      <c r="U22" s="10" t="s">
        <v>483</v>
      </c>
      <c r="V22" s="10" t="s">
        <v>483</v>
      </c>
      <c r="W22" s="10"/>
      <c r="X22" s="10">
        <v>4</v>
      </c>
      <c r="Y22" s="10"/>
      <c r="Z22" s="10"/>
      <c r="AA22" s="10"/>
      <c r="AB22" s="10" t="b">
        <v>0</v>
      </c>
      <c r="AC22" s="10" t="b">
        <v>0</v>
      </c>
      <c r="AD22" s="10" t="s">
        <v>507</v>
      </c>
      <c r="AE22" s="10" t="s">
        <v>518</v>
      </c>
      <c r="AF22" s="10" t="s">
        <v>507</v>
      </c>
      <c r="AG22" s="10" t="s">
        <v>518</v>
      </c>
      <c r="AH22" s="10"/>
      <c r="AI22" s="10" t="s">
        <v>540</v>
      </c>
      <c r="AJ22" s="10"/>
      <c r="AK22" s="10" t="s">
        <v>540</v>
      </c>
      <c r="AL22" s="10"/>
      <c r="AM22" s="10"/>
      <c r="AN22" s="10"/>
      <c r="AO22" s="10"/>
      <c r="AP22" s="10"/>
      <c r="AQ22" s="10"/>
      <c r="AR22" s="10"/>
      <c r="AS22" s="10"/>
      <c r="AT22" s="10"/>
      <c r="AU22" s="10"/>
      <c r="AV22" s="10"/>
      <c r="AW22" s="10"/>
      <c r="AX22" s="10"/>
      <c r="AY22" s="10"/>
      <c r="AZ22" s="10"/>
      <c r="BA22" s="10" t="s">
        <v>259</v>
      </c>
      <c r="BB22" s="10" t="s">
        <v>583</v>
      </c>
      <c r="BC22" s="10"/>
      <c r="BD22" s="10"/>
      <c r="BE22" s="10"/>
      <c r="BF22" s="10"/>
      <c r="BG22" s="10"/>
      <c r="BH22" s="10" t="b">
        <v>1</v>
      </c>
      <c r="BI22" s="10" t="b">
        <v>1</v>
      </c>
      <c r="BJ22" s="10"/>
      <c r="BK22" s="10"/>
      <c r="BL22" s="10"/>
      <c r="BM22" s="10"/>
      <c r="BN22" s="10"/>
      <c r="BO22" s="10"/>
    </row>
    <row r="23" spans="1:67" ht="192" customHeight="1">
      <c r="A23" s="10"/>
      <c r="B23" s="10">
        <v>1177299</v>
      </c>
      <c r="C23" s="11">
        <v>44480</v>
      </c>
      <c r="D23" s="10">
        <v>31</v>
      </c>
      <c r="E23" s="10" t="s">
        <v>88</v>
      </c>
      <c r="F23" s="10" t="b">
        <v>1</v>
      </c>
      <c r="G23" s="10"/>
      <c r="H23" s="10"/>
      <c r="I23" s="10"/>
      <c r="J23" s="10"/>
      <c r="K23" s="10"/>
      <c r="L23" s="10"/>
      <c r="M23" s="10"/>
      <c r="N23" s="10"/>
      <c r="O23" s="10"/>
      <c r="P23" s="10"/>
      <c r="Q23" s="10"/>
      <c r="R23" s="10"/>
      <c r="S23" s="10" t="s">
        <v>483</v>
      </c>
      <c r="T23" s="10" t="s">
        <v>483</v>
      </c>
      <c r="U23" s="10" t="s">
        <v>483</v>
      </c>
      <c r="V23" s="10" t="s">
        <v>483</v>
      </c>
      <c r="W23" s="10"/>
      <c r="X23" s="10">
        <v>4</v>
      </c>
      <c r="Y23" s="10"/>
      <c r="Z23" s="10"/>
      <c r="AA23" s="10"/>
      <c r="AB23" s="10" t="b">
        <v>0</v>
      </c>
      <c r="AC23" s="10" t="b">
        <v>0</v>
      </c>
      <c r="AD23" s="10" t="s">
        <v>507</v>
      </c>
      <c r="AE23" s="10" t="s">
        <v>518</v>
      </c>
      <c r="AF23" s="10" t="s">
        <v>507</v>
      </c>
      <c r="AG23" s="10" t="s">
        <v>518</v>
      </c>
      <c r="AH23" s="10"/>
      <c r="AI23" s="10"/>
      <c r="AJ23" s="10"/>
      <c r="AK23" s="10"/>
      <c r="AL23" s="10"/>
      <c r="AM23" s="10" t="s">
        <v>523</v>
      </c>
      <c r="AN23" s="10"/>
      <c r="AO23" s="10"/>
      <c r="AP23" s="10"/>
      <c r="AQ23" s="10"/>
      <c r="AR23" s="10"/>
      <c r="AS23" s="10"/>
      <c r="AT23" s="10"/>
      <c r="AU23" s="10"/>
      <c r="AV23" s="10"/>
      <c r="AW23" s="10"/>
      <c r="AX23" s="10"/>
      <c r="AY23" s="10"/>
      <c r="AZ23" s="10"/>
      <c r="BA23" s="10" t="s">
        <v>259</v>
      </c>
      <c r="BB23" s="10" t="s">
        <v>583</v>
      </c>
      <c r="BC23" s="10"/>
      <c r="BD23" s="10"/>
      <c r="BE23" s="10"/>
      <c r="BF23" s="10"/>
      <c r="BG23" s="10"/>
      <c r="BH23" s="10"/>
      <c r="BI23" s="10"/>
      <c r="BJ23" s="10"/>
      <c r="BK23" s="10"/>
      <c r="BL23" s="10"/>
      <c r="BM23" s="10"/>
      <c r="BN23" s="10"/>
      <c r="BO23" s="10"/>
    </row>
    <row r="24" spans="1:67" ht="240" customHeight="1">
      <c r="A24" s="10"/>
      <c r="B24" s="10">
        <v>1177299</v>
      </c>
      <c r="C24" s="11">
        <v>44515</v>
      </c>
      <c r="D24" s="10">
        <v>32</v>
      </c>
      <c r="E24" s="10" t="s">
        <v>89</v>
      </c>
      <c r="F24" s="10" t="b">
        <v>1</v>
      </c>
      <c r="G24" s="10"/>
      <c r="H24" s="10"/>
      <c r="I24" s="10"/>
      <c r="J24" s="10"/>
      <c r="K24" s="10"/>
      <c r="L24" s="10"/>
      <c r="M24" s="10"/>
      <c r="N24" s="10"/>
      <c r="O24" s="10"/>
      <c r="P24" s="10"/>
      <c r="Q24" s="10"/>
      <c r="R24" s="10"/>
      <c r="S24" s="10" t="s">
        <v>483</v>
      </c>
      <c r="T24" s="10" t="s">
        <v>483</v>
      </c>
      <c r="U24" s="10" t="s">
        <v>487</v>
      </c>
      <c r="V24" s="10" t="s">
        <v>483</v>
      </c>
      <c r="W24" s="10"/>
      <c r="X24" s="10">
        <v>4</v>
      </c>
      <c r="Y24" s="10"/>
      <c r="Z24" s="10"/>
      <c r="AA24" s="10"/>
      <c r="AB24" s="10" t="b">
        <v>0</v>
      </c>
      <c r="AC24" s="10" t="b">
        <v>0</v>
      </c>
      <c r="AD24" s="10" t="s">
        <v>507</v>
      </c>
      <c r="AE24" s="10" t="s">
        <v>518</v>
      </c>
      <c r="AF24" s="10" t="s">
        <v>507</v>
      </c>
      <c r="AG24" s="10" t="s">
        <v>518</v>
      </c>
      <c r="AH24" s="10"/>
      <c r="AI24" s="10" t="s">
        <v>540</v>
      </c>
      <c r="AJ24" s="10" t="s">
        <v>562</v>
      </c>
      <c r="AK24" s="10"/>
      <c r="AL24" s="10"/>
      <c r="AM24" s="10" t="s">
        <v>599</v>
      </c>
      <c r="AN24" s="10"/>
      <c r="AO24" s="10"/>
      <c r="AP24" s="10"/>
      <c r="AQ24" s="10"/>
      <c r="AR24" s="10"/>
      <c r="AS24" s="10"/>
      <c r="AT24" s="10"/>
      <c r="AU24" s="10"/>
      <c r="AV24" s="10"/>
      <c r="AW24" s="10"/>
      <c r="AX24" s="10"/>
      <c r="AY24" s="10"/>
      <c r="AZ24" s="10"/>
      <c r="BA24" s="10" t="s">
        <v>259</v>
      </c>
      <c r="BB24" s="10" t="s">
        <v>584</v>
      </c>
      <c r="BC24" s="10"/>
      <c r="BD24" s="10"/>
      <c r="BE24" s="10"/>
      <c r="BF24" s="10"/>
      <c r="BG24" s="10"/>
      <c r="BH24" s="10"/>
      <c r="BI24" s="10" t="b">
        <v>1</v>
      </c>
      <c r="BJ24" s="10"/>
      <c r="BK24" s="10"/>
      <c r="BL24" s="10"/>
      <c r="BM24" s="10"/>
      <c r="BN24" s="10"/>
      <c r="BO24" s="10"/>
    </row>
    <row r="25" spans="1:67" ht="192" customHeight="1">
      <c r="A25" s="10"/>
      <c r="B25" s="10">
        <v>1177299</v>
      </c>
      <c r="C25" s="11">
        <v>44585</v>
      </c>
      <c r="D25" s="10">
        <v>34</v>
      </c>
      <c r="E25" s="10" t="s">
        <v>90</v>
      </c>
      <c r="F25" s="10" t="b">
        <v>1</v>
      </c>
      <c r="G25" s="10"/>
      <c r="H25" s="10"/>
      <c r="I25" s="10"/>
      <c r="J25" s="10"/>
      <c r="K25" s="10"/>
      <c r="L25" s="10"/>
      <c r="M25" s="10"/>
      <c r="N25" s="10"/>
      <c r="O25" s="10"/>
      <c r="P25" s="10"/>
      <c r="Q25" s="10"/>
      <c r="R25" s="10"/>
      <c r="S25" s="10" t="s">
        <v>483</v>
      </c>
      <c r="T25" s="10" t="s">
        <v>483</v>
      </c>
      <c r="U25" s="10" t="s">
        <v>487</v>
      </c>
      <c r="V25" s="10" t="s">
        <v>483</v>
      </c>
      <c r="W25" s="10"/>
      <c r="X25" s="10">
        <v>4</v>
      </c>
      <c r="Y25" s="10"/>
      <c r="Z25" s="10"/>
      <c r="AA25" s="10"/>
      <c r="AB25" s="10" t="b">
        <v>0</v>
      </c>
      <c r="AC25" s="10" t="b">
        <v>0</v>
      </c>
      <c r="AD25" s="10" t="s">
        <v>507</v>
      </c>
      <c r="AE25" s="10" t="s">
        <v>518</v>
      </c>
      <c r="AF25" s="10" t="s">
        <v>507</v>
      </c>
      <c r="AG25" s="10" t="s">
        <v>518</v>
      </c>
      <c r="AH25" s="10"/>
      <c r="AI25" s="10" t="s">
        <v>540</v>
      </c>
      <c r="AJ25" s="10" t="s">
        <v>562</v>
      </c>
      <c r="AK25" s="10"/>
      <c r="AL25" s="10"/>
      <c r="AM25" s="10"/>
      <c r="AN25" s="10"/>
      <c r="AO25" s="10"/>
      <c r="AP25" s="10"/>
      <c r="AQ25" s="10"/>
      <c r="AR25" s="10"/>
      <c r="AS25" s="10"/>
      <c r="AT25" s="10"/>
      <c r="AU25" s="10"/>
      <c r="AV25" s="10"/>
      <c r="AW25" s="10"/>
      <c r="AX25" s="10"/>
      <c r="AY25" s="10"/>
      <c r="AZ25" s="10"/>
      <c r="BA25" s="10" t="s">
        <v>259</v>
      </c>
      <c r="BB25" s="10" t="s">
        <v>256</v>
      </c>
      <c r="BC25" s="10"/>
      <c r="BD25" s="10"/>
      <c r="BE25" s="10"/>
      <c r="BF25" s="10"/>
      <c r="BG25" s="10"/>
      <c r="BH25" s="10" t="b">
        <v>1</v>
      </c>
      <c r="BI25" s="10" t="b">
        <v>1</v>
      </c>
      <c r="BJ25" s="10"/>
      <c r="BK25" s="10"/>
      <c r="BL25" s="10"/>
      <c r="BM25" s="10"/>
      <c r="BN25" s="10"/>
      <c r="BO25" s="10"/>
    </row>
    <row r="26" spans="1:67" ht="288" customHeight="1">
      <c r="A26" s="10"/>
      <c r="B26" s="10">
        <v>1177299</v>
      </c>
      <c r="C26" s="11">
        <v>44620</v>
      </c>
      <c r="D26" s="10">
        <v>35</v>
      </c>
      <c r="E26" s="10" t="s">
        <v>91</v>
      </c>
      <c r="F26" s="10" t="b">
        <v>1</v>
      </c>
      <c r="G26" s="10"/>
      <c r="H26" s="10"/>
      <c r="I26" s="10"/>
      <c r="J26" s="10"/>
      <c r="K26" s="10"/>
      <c r="L26" s="10"/>
      <c r="M26" s="10"/>
      <c r="N26" s="10" t="b">
        <v>1</v>
      </c>
      <c r="O26" s="10"/>
      <c r="P26" s="10"/>
      <c r="Q26" s="10"/>
      <c r="R26" s="10"/>
      <c r="S26" s="10" t="s">
        <v>483</v>
      </c>
      <c r="T26" s="10" t="s">
        <v>483</v>
      </c>
      <c r="U26" s="10" t="s">
        <v>487</v>
      </c>
      <c r="V26" s="10" t="s">
        <v>483</v>
      </c>
      <c r="W26" s="10"/>
      <c r="X26" s="10">
        <v>4</v>
      </c>
      <c r="Y26" s="10"/>
      <c r="Z26" s="10"/>
      <c r="AA26" s="10"/>
      <c r="AB26" s="10" t="b">
        <v>0</v>
      </c>
      <c r="AC26" s="10" t="b">
        <v>0</v>
      </c>
      <c r="AD26" s="10" t="s">
        <v>507</v>
      </c>
      <c r="AE26" s="10" t="s">
        <v>518</v>
      </c>
      <c r="AF26" s="10" t="s">
        <v>507</v>
      </c>
      <c r="AG26" s="10" t="s">
        <v>518</v>
      </c>
      <c r="AH26" s="10" t="s">
        <v>530</v>
      </c>
      <c r="AI26" s="10" t="s">
        <v>540</v>
      </c>
      <c r="AJ26" s="10" t="s">
        <v>562</v>
      </c>
      <c r="AK26" s="10"/>
      <c r="AL26" s="10"/>
      <c r="AM26" s="10"/>
      <c r="AN26" s="10"/>
      <c r="AO26" s="10"/>
      <c r="AP26" s="10"/>
      <c r="AQ26" s="10"/>
      <c r="AR26" s="10"/>
      <c r="AS26" s="10"/>
      <c r="AT26" s="10"/>
      <c r="AU26" s="10"/>
      <c r="AV26" s="10"/>
      <c r="AW26" s="10"/>
      <c r="AX26" s="10"/>
      <c r="AY26" s="10"/>
      <c r="AZ26" s="10"/>
      <c r="BA26" s="10" t="s">
        <v>259</v>
      </c>
      <c r="BB26" s="10" t="s">
        <v>256</v>
      </c>
      <c r="BC26" s="10"/>
      <c r="BD26" s="10"/>
      <c r="BE26" s="10"/>
      <c r="BF26" s="10"/>
      <c r="BG26" s="10"/>
      <c r="BH26" s="10"/>
      <c r="BI26" s="10"/>
      <c r="BJ26" s="10"/>
      <c r="BK26" s="10"/>
      <c r="BL26" s="10"/>
      <c r="BM26" s="10"/>
      <c r="BN26" s="10"/>
      <c r="BO26" s="10"/>
    </row>
    <row r="27" spans="1:67" ht="192" customHeight="1">
      <c r="A27" s="10"/>
      <c r="B27" s="10">
        <v>1177299</v>
      </c>
      <c r="C27" s="11">
        <v>44683</v>
      </c>
      <c r="D27" s="10">
        <v>37</v>
      </c>
      <c r="E27" s="10" t="s">
        <v>92</v>
      </c>
      <c r="F27" s="10" t="b">
        <v>1</v>
      </c>
      <c r="G27" s="10"/>
      <c r="H27" s="10"/>
      <c r="I27" s="10"/>
      <c r="J27" s="10"/>
      <c r="K27" s="10"/>
      <c r="L27" s="10"/>
      <c r="M27" s="10"/>
      <c r="N27" s="10"/>
      <c r="O27" s="10"/>
      <c r="P27" s="10"/>
      <c r="Q27" s="10"/>
      <c r="R27" s="10"/>
      <c r="S27" s="10"/>
      <c r="T27" s="10"/>
      <c r="U27" s="10"/>
      <c r="V27" s="10"/>
      <c r="W27" s="10"/>
      <c r="X27" s="10">
        <v>4</v>
      </c>
      <c r="Y27" s="10"/>
      <c r="Z27" s="10"/>
      <c r="AA27" s="10"/>
      <c r="AB27" s="10" t="b">
        <v>0</v>
      </c>
      <c r="AC27" s="10" t="b">
        <v>0</v>
      </c>
      <c r="AD27" s="10" t="s">
        <v>507</v>
      </c>
      <c r="AE27" s="10" t="s">
        <v>518</v>
      </c>
      <c r="AF27" s="10" t="s">
        <v>507</v>
      </c>
      <c r="AG27" s="10" t="s">
        <v>518</v>
      </c>
      <c r="AH27" s="10"/>
      <c r="AI27" s="10"/>
      <c r="AJ27" s="10"/>
      <c r="AK27" s="10"/>
      <c r="AL27" s="10"/>
      <c r="AM27" s="10"/>
      <c r="AN27" s="10"/>
      <c r="AO27" s="10"/>
      <c r="AP27" s="10"/>
      <c r="AQ27" s="10"/>
      <c r="AR27" s="10"/>
      <c r="AS27" s="10"/>
      <c r="AT27" s="10"/>
      <c r="AU27" s="10"/>
      <c r="AV27" s="10"/>
      <c r="AW27" s="10"/>
      <c r="AX27" s="10"/>
      <c r="AY27" s="10"/>
      <c r="AZ27" s="10"/>
      <c r="BA27" s="10" t="s">
        <v>259</v>
      </c>
      <c r="BB27" s="10" t="s">
        <v>256</v>
      </c>
      <c r="BC27" s="10"/>
      <c r="BD27" s="10"/>
      <c r="BE27" s="10"/>
      <c r="BF27" s="10"/>
      <c r="BG27" s="10"/>
      <c r="BH27" s="10"/>
      <c r="BI27" s="10" t="b">
        <v>1</v>
      </c>
      <c r="BJ27" s="10"/>
      <c r="BK27" s="10"/>
      <c r="BL27" s="10"/>
      <c r="BM27" s="10"/>
      <c r="BN27" s="10"/>
      <c r="BO27" s="10"/>
    </row>
    <row r="28" spans="1:67" ht="176.1" customHeight="1">
      <c r="A28" s="10"/>
      <c r="B28" s="10">
        <v>1177299</v>
      </c>
      <c r="C28" s="11">
        <v>44693</v>
      </c>
      <c r="D28" s="10">
        <v>38</v>
      </c>
      <c r="E28" s="10" t="s">
        <v>93</v>
      </c>
      <c r="F28" s="10" t="b">
        <v>1</v>
      </c>
      <c r="G28" s="10" t="b">
        <v>1</v>
      </c>
      <c r="H28" s="10"/>
      <c r="I28" s="10"/>
      <c r="J28" s="10"/>
      <c r="K28" s="10"/>
      <c r="L28" s="10"/>
      <c r="M28" s="10"/>
      <c r="N28" s="10"/>
      <c r="O28" s="10"/>
      <c r="P28" s="10"/>
      <c r="Q28" s="10"/>
      <c r="R28" s="10"/>
      <c r="S28" s="10"/>
      <c r="T28" s="10"/>
      <c r="U28" s="10"/>
      <c r="V28" s="10"/>
      <c r="W28" s="10"/>
      <c r="X28" s="10">
        <v>4</v>
      </c>
      <c r="Y28" s="10"/>
      <c r="Z28" s="10"/>
      <c r="AA28" s="10"/>
      <c r="AB28" s="10" t="b">
        <v>1</v>
      </c>
      <c r="AC28" s="10" t="b">
        <v>0</v>
      </c>
      <c r="AD28" s="10" t="s">
        <v>504</v>
      </c>
      <c r="AE28" s="10" t="s">
        <v>519</v>
      </c>
      <c r="AF28" s="10" t="s">
        <v>507</v>
      </c>
      <c r="AG28" s="10" t="s">
        <v>518</v>
      </c>
      <c r="AH28" s="10"/>
      <c r="AI28" s="10"/>
      <c r="AJ28" s="10"/>
      <c r="AK28" s="10"/>
      <c r="AL28" s="10"/>
      <c r="AM28" s="10"/>
      <c r="AN28" s="10"/>
      <c r="AO28" s="10"/>
      <c r="AP28" s="10"/>
      <c r="AQ28" s="10"/>
      <c r="AR28" s="10"/>
      <c r="AS28" s="10"/>
      <c r="AT28" s="10"/>
      <c r="AU28" s="10"/>
      <c r="AV28" s="10"/>
      <c r="AW28" s="10"/>
      <c r="AX28" s="10"/>
      <c r="AY28" s="10"/>
      <c r="AZ28" s="10"/>
      <c r="BA28" s="10"/>
      <c r="BB28" s="10"/>
      <c r="BC28" s="10" t="b">
        <v>1</v>
      </c>
      <c r="BD28" s="10"/>
      <c r="BE28" s="10"/>
      <c r="BF28" s="10"/>
      <c r="BG28" s="10"/>
      <c r="BH28" s="10"/>
      <c r="BI28" s="10"/>
      <c r="BJ28" s="10"/>
      <c r="BK28" s="10"/>
      <c r="BL28" s="10"/>
      <c r="BM28" s="10"/>
      <c r="BN28" s="10"/>
      <c r="BO28" s="10"/>
    </row>
    <row r="29" spans="1:67" ht="240" customHeight="1">
      <c r="A29" s="10"/>
      <c r="B29" s="10">
        <v>1177299</v>
      </c>
      <c r="C29" s="11">
        <v>44721</v>
      </c>
      <c r="D29" s="10">
        <v>39</v>
      </c>
      <c r="E29" s="10" t="s">
        <v>94</v>
      </c>
      <c r="F29" s="10" t="b">
        <v>1</v>
      </c>
      <c r="G29" s="10"/>
      <c r="H29" s="10"/>
      <c r="I29" s="10"/>
      <c r="J29" s="10"/>
      <c r="K29" s="10"/>
      <c r="L29" s="10"/>
      <c r="M29" s="10"/>
      <c r="N29" s="10"/>
      <c r="O29" s="10"/>
      <c r="P29" s="10"/>
      <c r="Q29" s="10"/>
      <c r="R29" s="10"/>
      <c r="S29" s="10" t="s">
        <v>479</v>
      </c>
      <c r="T29" s="10" t="s">
        <v>483</v>
      </c>
      <c r="U29" s="10" t="s">
        <v>483</v>
      </c>
      <c r="V29" s="10" t="s">
        <v>483</v>
      </c>
      <c r="W29" s="10"/>
      <c r="X29" s="10">
        <v>4</v>
      </c>
      <c r="Y29" s="10"/>
      <c r="Z29" s="10"/>
      <c r="AA29" s="10"/>
      <c r="AB29" s="10" t="b">
        <v>1</v>
      </c>
      <c r="AC29" s="10" t="b">
        <v>0</v>
      </c>
      <c r="AD29" s="10" t="s">
        <v>507</v>
      </c>
      <c r="AE29" s="10" t="s">
        <v>520</v>
      </c>
      <c r="AF29" s="10" t="s">
        <v>507</v>
      </c>
      <c r="AG29" s="10" t="s">
        <v>518</v>
      </c>
      <c r="AH29" s="10" t="s">
        <v>537</v>
      </c>
      <c r="AI29" s="10" t="s">
        <v>540</v>
      </c>
      <c r="AJ29" s="10" t="s">
        <v>561</v>
      </c>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t="b">
        <v>1</v>
      </c>
      <c r="BI29" s="10"/>
      <c r="BJ29" s="10"/>
      <c r="BK29" s="10"/>
      <c r="BL29" s="10"/>
      <c r="BM29" s="10"/>
      <c r="BN29" s="10"/>
      <c r="BO29" s="10"/>
    </row>
    <row r="30" spans="1:67" ht="192" customHeight="1">
      <c r="A30" s="10"/>
      <c r="B30" s="10">
        <v>1177299</v>
      </c>
      <c r="C30" s="11">
        <v>44771</v>
      </c>
      <c r="D30" s="10">
        <v>40</v>
      </c>
      <c r="E30" s="10" t="s">
        <v>95</v>
      </c>
      <c r="F30" s="10" t="b">
        <v>1</v>
      </c>
      <c r="G30" s="10"/>
      <c r="H30" s="10"/>
      <c r="I30" s="10"/>
      <c r="J30" s="10"/>
      <c r="K30" s="10"/>
      <c r="L30" s="10"/>
      <c r="M30" s="10"/>
      <c r="N30" s="10"/>
      <c r="O30" s="10"/>
      <c r="P30" s="10"/>
      <c r="Q30" s="10"/>
      <c r="R30" s="10"/>
      <c r="S30" s="10" t="s">
        <v>482</v>
      </c>
      <c r="T30" s="10" t="s">
        <v>483</v>
      </c>
      <c r="U30" s="10" t="s">
        <v>483</v>
      </c>
      <c r="V30" s="10" t="s">
        <v>483</v>
      </c>
      <c r="W30" s="10"/>
      <c r="X30" s="10">
        <v>4</v>
      </c>
      <c r="Y30" s="10"/>
      <c r="Z30" s="10"/>
      <c r="AA30" s="10"/>
      <c r="AB30" s="10" t="b">
        <v>0</v>
      </c>
      <c r="AC30" s="10" t="b">
        <v>0</v>
      </c>
      <c r="AD30" s="10" t="s">
        <v>507</v>
      </c>
      <c r="AE30" s="10" t="s">
        <v>520</v>
      </c>
      <c r="AF30" s="10" t="s">
        <v>507</v>
      </c>
      <c r="AG30" s="10" t="s">
        <v>518</v>
      </c>
      <c r="AH30" s="10"/>
      <c r="AI30" s="10" t="s">
        <v>540</v>
      </c>
      <c r="AJ30" s="10" t="s">
        <v>561</v>
      </c>
      <c r="AK30" s="10"/>
      <c r="AL30" s="10"/>
      <c r="AM30" s="10"/>
      <c r="AN30" s="10"/>
      <c r="AO30" s="10"/>
      <c r="AP30" s="10"/>
      <c r="AQ30" s="10"/>
      <c r="AR30" s="10"/>
      <c r="AS30" s="10"/>
      <c r="AT30" s="10"/>
      <c r="AU30" s="10"/>
      <c r="AV30" s="10"/>
      <c r="AW30" s="10"/>
      <c r="AX30" s="10"/>
      <c r="AY30" s="10"/>
      <c r="AZ30" s="10"/>
      <c r="BA30" s="10" t="s">
        <v>259</v>
      </c>
      <c r="BB30" s="10" t="s">
        <v>256</v>
      </c>
      <c r="BC30" s="10"/>
      <c r="BD30" s="10"/>
      <c r="BE30" s="10"/>
      <c r="BF30" s="10"/>
      <c r="BG30" s="10"/>
      <c r="BH30" s="10" t="b">
        <v>1</v>
      </c>
      <c r="BI30" s="10"/>
      <c r="BJ30" s="10"/>
      <c r="BK30" s="10"/>
      <c r="BL30" s="10"/>
      <c r="BM30" s="10"/>
      <c r="BN30" s="10"/>
      <c r="BO30" s="10"/>
    </row>
    <row r="31" spans="1:67" ht="159.94999999999999" customHeight="1">
      <c r="A31" s="10"/>
      <c r="B31" s="10">
        <v>1177299</v>
      </c>
      <c r="C31" s="11">
        <v>44812</v>
      </c>
      <c r="D31" s="10">
        <v>42</v>
      </c>
      <c r="E31" s="10" t="s">
        <v>96</v>
      </c>
      <c r="F31" s="10" t="b">
        <v>1</v>
      </c>
      <c r="G31" s="10"/>
      <c r="H31" s="10"/>
      <c r="I31" s="10"/>
      <c r="J31" s="10"/>
      <c r="K31" s="10"/>
      <c r="L31" s="10"/>
      <c r="M31" s="10"/>
      <c r="N31" s="10"/>
      <c r="O31" s="10"/>
      <c r="P31" s="10"/>
      <c r="Q31" s="10"/>
      <c r="R31" s="10"/>
      <c r="S31" s="10"/>
      <c r="T31" s="10"/>
      <c r="U31" s="10"/>
      <c r="V31" s="10"/>
      <c r="W31" s="10"/>
      <c r="X31" s="10"/>
      <c r="Y31" s="10"/>
      <c r="Z31" s="10"/>
      <c r="AA31" s="10" t="b">
        <v>1</v>
      </c>
      <c r="AB31" s="10"/>
      <c r="AC31" s="10"/>
      <c r="AD31" s="10"/>
      <c r="AE31" s="10"/>
      <c r="AF31" s="10"/>
      <c r="AG31" s="10"/>
      <c r="AH31" s="10" t="s">
        <v>537</v>
      </c>
      <c r="AI31" s="10"/>
      <c r="AJ31" s="10"/>
      <c r="AK31" s="10"/>
      <c r="AL31" s="10"/>
      <c r="AM31" s="10"/>
      <c r="AN31" s="10"/>
      <c r="AO31" s="10"/>
      <c r="AP31" s="10"/>
      <c r="AQ31" s="10"/>
      <c r="AR31" s="10"/>
      <c r="AS31" s="10"/>
      <c r="AT31" s="10"/>
      <c r="AU31" s="10"/>
      <c r="AV31" s="10"/>
      <c r="AW31" s="10"/>
      <c r="AX31" s="10"/>
      <c r="AY31" s="10"/>
      <c r="AZ31" s="10"/>
      <c r="BA31" s="10"/>
      <c r="BB31" s="10"/>
      <c r="BC31" s="10"/>
      <c r="BD31" s="10"/>
      <c r="BE31" s="10"/>
      <c r="BF31" s="10"/>
      <c r="BG31" s="10"/>
      <c r="BH31" s="10"/>
      <c r="BI31" s="10" t="b">
        <v>1</v>
      </c>
      <c r="BJ31" s="10"/>
      <c r="BK31" s="10"/>
      <c r="BL31" s="10"/>
      <c r="BM31" s="10"/>
      <c r="BN31" s="10"/>
      <c r="BO31" s="10"/>
    </row>
    <row r="32" spans="1:67" ht="207.95" customHeight="1">
      <c r="A32" s="10"/>
      <c r="B32" s="10">
        <v>1177299</v>
      </c>
      <c r="C32" s="11">
        <v>44859</v>
      </c>
      <c r="D32" s="10">
        <v>43</v>
      </c>
      <c r="E32" s="10" t="s">
        <v>97</v>
      </c>
      <c r="F32" s="10" t="b">
        <v>1</v>
      </c>
      <c r="G32" s="10"/>
      <c r="H32" s="10"/>
      <c r="I32" s="10"/>
      <c r="J32" s="10"/>
      <c r="K32" s="10"/>
      <c r="L32" s="10"/>
      <c r="M32" s="10"/>
      <c r="N32" s="10" t="b">
        <v>1</v>
      </c>
      <c r="O32" s="10"/>
      <c r="P32" s="10"/>
      <c r="Q32" s="10"/>
      <c r="R32" s="10"/>
      <c r="S32" s="10" t="s">
        <v>483</v>
      </c>
      <c r="T32" s="10" t="s">
        <v>483</v>
      </c>
      <c r="U32" s="10" t="s">
        <v>483</v>
      </c>
      <c r="V32" s="10" t="s">
        <v>483</v>
      </c>
      <c r="W32" s="10"/>
      <c r="X32" s="10">
        <v>4</v>
      </c>
      <c r="Y32" s="10"/>
      <c r="Z32" s="10"/>
      <c r="AA32" s="10"/>
      <c r="AB32" s="10" t="b">
        <v>0</v>
      </c>
      <c r="AC32" s="10" t="b">
        <v>0</v>
      </c>
      <c r="AD32" s="10" t="s">
        <v>507</v>
      </c>
      <c r="AE32" s="10" t="s">
        <v>520</v>
      </c>
      <c r="AF32" s="10" t="s">
        <v>507</v>
      </c>
      <c r="AG32" s="10" t="s">
        <v>518</v>
      </c>
      <c r="AH32" s="10" t="s">
        <v>530</v>
      </c>
      <c r="AI32" s="10" t="s">
        <v>540</v>
      </c>
      <c r="AJ32" s="10" t="s">
        <v>558</v>
      </c>
      <c r="AK32" s="10" t="s">
        <v>540</v>
      </c>
      <c r="AL32" s="10" t="s">
        <v>558</v>
      </c>
      <c r="AM32" s="10"/>
      <c r="AN32" s="10"/>
      <c r="AO32" s="10"/>
      <c r="AP32" s="10"/>
      <c r="AQ32" s="10"/>
      <c r="AR32" s="10"/>
      <c r="AS32" s="10"/>
      <c r="AT32" s="10"/>
      <c r="AU32" s="10"/>
      <c r="AV32" s="10"/>
      <c r="AW32" s="10"/>
      <c r="AX32" s="10"/>
      <c r="AY32" s="10"/>
      <c r="AZ32" s="10"/>
      <c r="BA32" s="10"/>
      <c r="BB32" s="10"/>
      <c r="BC32" s="10"/>
      <c r="BD32" s="10"/>
      <c r="BE32" s="10"/>
      <c r="BF32" s="10"/>
      <c r="BG32" s="10"/>
      <c r="BH32" s="10"/>
      <c r="BI32" s="10" t="b">
        <v>1</v>
      </c>
      <c r="BJ32" s="10"/>
      <c r="BK32" s="10"/>
      <c r="BL32" s="10"/>
      <c r="BM32" s="10"/>
      <c r="BN32" s="10"/>
      <c r="BO32" s="10"/>
    </row>
    <row r="33" spans="1:67" ht="207.95" customHeight="1">
      <c r="A33" s="10"/>
      <c r="B33" s="10">
        <v>1177299</v>
      </c>
      <c r="C33" s="11">
        <v>44907</v>
      </c>
      <c r="D33" s="10">
        <v>45</v>
      </c>
      <c r="E33" s="10" t="s">
        <v>98</v>
      </c>
      <c r="F33" s="10"/>
      <c r="G33" s="10"/>
      <c r="H33" s="10"/>
      <c r="I33" s="10"/>
      <c r="J33" s="10"/>
      <c r="K33" s="10"/>
      <c r="L33" s="10"/>
      <c r="M33" s="10"/>
      <c r="N33" s="10"/>
      <c r="O33" s="10"/>
      <c r="P33" s="10"/>
      <c r="Q33" s="10"/>
      <c r="R33" s="10"/>
      <c r="S33" s="10" t="s">
        <v>483</v>
      </c>
      <c r="T33" s="10" t="s">
        <v>483</v>
      </c>
      <c r="U33" s="10" t="s">
        <v>483</v>
      </c>
      <c r="V33" s="10" t="s">
        <v>483</v>
      </c>
      <c r="W33" s="10"/>
      <c r="X33" s="10">
        <v>3</v>
      </c>
      <c r="Y33" s="10"/>
      <c r="Z33" s="10"/>
      <c r="AA33" s="10"/>
      <c r="AB33" s="10" t="b">
        <v>0</v>
      </c>
      <c r="AC33" s="10" t="b">
        <v>0</v>
      </c>
      <c r="AD33" s="10" t="s">
        <v>507</v>
      </c>
      <c r="AE33" s="10" t="s">
        <v>520</v>
      </c>
      <c r="AF33" s="10" t="s">
        <v>507</v>
      </c>
      <c r="AG33" s="10" t="s">
        <v>518</v>
      </c>
      <c r="AH33" s="10" t="s">
        <v>530</v>
      </c>
      <c r="AI33" s="10" t="s">
        <v>539</v>
      </c>
      <c r="AJ33" s="10"/>
      <c r="AK33" s="10" t="s">
        <v>539</v>
      </c>
      <c r="AL33" s="10"/>
      <c r="AM33" s="10"/>
      <c r="AN33" s="10"/>
      <c r="AO33" s="10"/>
      <c r="AP33" s="10"/>
      <c r="AQ33" s="10"/>
      <c r="AR33" s="10"/>
      <c r="AS33" s="10"/>
      <c r="AT33" s="10"/>
      <c r="AU33" s="10"/>
      <c r="AV33" s="10"/>
      <c r="AW33" s="10"/>
      <c r="AX33" s="10"/>
      <c r="AY33" s="10"/>
      <c r="AZ33" s="10"/>
      <c r="BA33" s="10"/>
      <c r="BB33" s="10"/>
      <c r="BC33" s="10"/>
      <c r="BD33" s="10"/>
      <c r="BE33" s="10"/>
      <c r="BF33" s="10"/>
      <c r="BG33" s="10"/>
      <c r="BH33" s="10" t="b">
        <v>1</v>
      </c>
      <c r="BI33" s="10" t="b">
        <v>1</v>
      </c>
      <c r="BJ33" s="10"/>
      <c r="BK33" s="10"/>
      <c r="BL33" s="10"/>
      <c r="BM33" s="10"/>
      <c r="BN33" s="10"/>
      <c r="BO33" s="10"/>
    </row>
    <row r="34" spans="1:67" ht="207.95" customHeight="1">
      <c r="A34" s="10"/>
      <c r="B34" s="10">
        <v>1177299</v>
      </c>
      <c r="C34" s="11">
        <v>44949</v>
      </c>
      <c r="D34" s="10">
        <v>46</v>
      </c>
      <c r="E34" s="10" t="s">
        <v>99</v>
      </c>
      <c r="F34" s="10"/>
      <c r="G34" s="10"/>
      <c r="H34" s="10"/>
      <c r="I34" s="10"/>
      <c r="J34" s="10"/>
      <c r="K34" s="10"/>
      <c r="L34" s="10"/>
      <c r="M34" s="10"/>
      <c r="N34" s="10"/>
      <c r="O34" s="10" t="b">
        <v>1</v>
      </c>
      <c r="P34" s="10"/>
      <c r="Q34" s="10"/>
      <c r="R34" s="10"/>
      <c r="S34" s="10" t="s">
        <v>483</v>
      </c>
      <c r="T34" s="10" t="s">
        <v>483</v>
      </c>
      <c r="U34" s="10" t="s">
        <v>483</v>
      </c>
      <c r="V34" s="10" t="s">
        <v>483</v>
      </c>
      <c r="W34" s="10"/>
      <c r="X34" s="10"/>
      <c r="Y34" s="10"/>
      <c r="Z34" s="10"/>
      <c r="AA34" s="10"/>
      <c r="AB34" s="10" t="b">
        <v>0</v>
      </c>
      <c r="AC34" s="10" t="b">
        <v>0</v>
      </c>
      <c r="AD34" s="10" t="s">
        <v>507</v>
      </c>
      <c r="AE34" s="10" t="s">
        <v>520</v>
      </c>
      <c r="AF34" s="10" t="s">
        <v>507</v>
      </c>
      <c r="AG34" s="10" t="s">
        <v>518</v>
      </c>
      <c r="AH34" s="10" t="s">
        <v>530</v>
      </c>
      <c r="AI34" s="10" t="s">
        <v>538</v>
      </c>
      <c r="AJ34" s="10"/>
      <c r="AK34" s="10" t="s">
        <v>538</v>
      </c>
      <c r="AL34" s="10"/>
      <c r="AM34" s="10"/>
      <c r="AN34" s="10"/>
      <c r="AO34" s="10"/>
      <c r="AP34" s="10"/>
      <c r="AQ34" s="10"/>
      <c r="AR34" s="10"/>
      <c r="AS34" s="10"/>
      <c r="AT34" s="10"/>
      <c r="AU34" s="10"/>
      <c r="AV34" s="10"/>
      <c r="AW34" s="10"/>
      <c r="AX34" s="10"/>
      <c r="AY34" s="10"/>
      <c r="AZ34" s="10"/>
      <c r="BA34" s="10"/>
      <c r="BB34" s="10"/>
      <c r="BC34" s="10"/>
      <c r="BD34" s="10"/>
      <c r="BE34" s="10"/>
      <c r="BF34" s="10" t="b">
        <v>1</v>
      </c>
      <c r="BG34" s="10"/>
      <c r="BH34" s="10"/>
      <c r="BI34" s="10"/>
      <c r="BJ34" s="10"/>
      <c r="BK34" s="10"/>
      <c r="BL34" s="10"/>
      <c r="BM34" s="10"/>
      <c r="BN34" s="10"/>
      <c r="BO34" s="10"/>
    </row>
    <row r="35" spans="1:67" ht="335.1" customHeight="1">
      <c r="A35" s="10"/>
      <c r="B35" s="10">
        <v>1177299</v>
      </c>
      <c r="C35" s="11">
        <v>44970</v>
      </c>
      <c r="D35" s="10">
        <v>47</v>
      </c>
      <c r="E35" s="10" t="s">
        <v>100</v>
      </c>
      <c r="F35" s="10" t="b">
        <v>1</v>
      </c>
      <c r="G35" s="10"/>
      <c r="H35" s="10"/>
      <c r="I35" s="10"/>
      <c r="J35" s="10"/>
      <c r="K35" s="10"/>
      <c r="L35" s="10"/>
      <c r="M35" s="10"/>
      <c r="N35" s="10"/>
      <c r="O35" s="10"/>
      <c r="P35" s="10"/>
      <c r="Q35" s="10"/>
      <c r="R35" s="10"/>
      <c r="S35" s="10"/>
      <c r="T35" s="10"/>
      <c r="U35" s="10"/>
      <c r="V35" s="10"/>
      <c r="W35" s="10"/>
      <c r="X35" s="10">
        <v>3</v>
      </c>
      <c r="Y35" s="10"/>
      <c r="Z35" s="10"/>
      <c r="AA35" s="10"/>
      <c r="AB35" s="10"/>
      <c r="AC35" s="10"/>
      <c r="AD35" s="10"/>
      <c r="AE35" s="10"/>
      <c r="AF35" s="10"/>
      <c r="AG35" s="10"/>
      <c r="AH35" s="10"/>
      <c r="AI35" s="10"/>
      <c r="AJ35" s="10"/>
      <c r="AK35" s="10"/>
      <c r="AL35" s="10"/>
      <c r="AM35" s="10"/>
      <c r="AN35" s="10"/>
      <c r="AO35" s="10"/>
      <c r="AP35" s="10"/>
      <c r="AQ35" s="10"/>
      <c r="AR35" s="10"/>
      <c r="AS35" s="10"/>
      <c r="AT35" s="10"/>
      <c r="AU35" s="10"/>
      <c r="AV35" s="10"/>
      <c r="AW35" s="10"/>
      <c r="AX35" s="10"/>
      <c r="AY35" s="10"/>
      <c r="AZ35" s="10"/>
      <c r="BA35" s="10" t="s">
        <v>256</v>
      </c>
      <c r="BB35" s="10"/>
      <c r="BC35" s="10"/>
      <c r="BD35" s="10"/>
      <c r="BE35" s="10"/>
      <c r="BF35" s="10"/>
      <c r="BG35" s="10"/>
      <c r="BH35" s="10"/>
      <c r="BI35" s="10"/>
      <c r="BJ35" s="10"/>
      <c r="BK35" s="10"/>
      <c r="BL35" s="10" t="b">
        <v>1</v>
      </c>
      <c r="BM35" s="10" t="b">
        <v>1</v>
      </c>
      <c r="BN35" s="10"/>
      <c r="BO35" s="10"/>
    </row>
    <row r="36" spans="1:67" ht="80.099999999999994" customHeight="1">
      <c r="A36" s="10"/>
      <c r="B36" s="10">
        <v>1177299</v>
      </c>
      <c r="C36" s="11">
        <v>44974</v>
      </c>
      <c r="D36" s="10">
        <v>47</v>
      </c>
      <c r="E36" s="10" t="s">
        <v>101</v>
      </c>
      <c r="F36" s="10" t="b">
        <v>1</v>
      </c>
      <c r="G36" s="10"/>
      <c r="H36" s="10"/>
      <c r="I36" s="10"/>
      <c r="J36" s="10"/>
      <c r="K36" s="10"/>
      <c r="L36" s="10"/>
      <c r="M36" s="10"/>
      <c r="N36" s="10"/>
      <c r="O36" s="10"/>
      <c r="P36" s="10"/>
      <c r="Q36" s="10"/>
      <c r="R36" s="10"/>
      <c r="S36" s="10"/>
      <c r="T36" s="10"/>
      <c r="U36" s="10"/>
      <c r="V36" s="10"/>
      <c r="W36" s="10"/>
      <c r="X36" s="10"/>
      <c r="Y36" s="10"/>
      <c r="Z36" s="10"/>
      <c r="AA36" s="10"/>
      <c r="AB36" s="10"/>
      <c r="AC36" s="10"/>
      <c r="AD36" s="10"/>
      <c r="AE36" s="10"/>
      <c r="AF36" s="10"/>
      <c r="AG36" s="10"/>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t="b">
        <v>1</v>
      </c>
      <c r="BG36" s="10"/>
      <c r="BH36" s="10"/>
      <c r="BI36" s="10"/>
      <c r="BJ36" s="10"/>
      <c r="BK36" s="10"/>
      <c r="BL36" s="10"/>
      <c r="BM36" s="10"/>
      <c r="BN36" s="10"/>
      <c r="BO36" s="10"/>
    </row>
  </sheetData>
  <pageMargins left="0.75" right="0.75" top="1" bottom="1" header="0.5" footer="0.5"/>
  <tableParts count="1">
    <tablePart r:id="rId1"/>
  </tableParts>
  <extLst>
    <ext xmlns:x14="http://schemas.microsoft.com/office/spreadsheetml/2009/9/main" uri="{CCE6A557-97BC-4b89-ADB6-D9C93CAAB3DF}">
      <x14:dataValidations xmlns:xm="http://schemas.microsoft.com/office/excel/2006/main" count="60">
        <x14:dataValidation type="list" allowBlank="1" showInputMessage="1" showErrorMessage="1" xr:uid="{00000000-0002-0000-0000-000000000000}">
          <x14:formula1>
            <xm:f>list!$B$2:$C$2</xm:f>
          </x14:formula1>
          <xm:sqref>G2:G1048576</xm:sqref>
        </x14:dataValidation>
        <x14:dataValidation type="list" allowBlank="1" showInputMessage="1" showErrorMessage="1" xr:uid="{00000000-0002-0000-0000-000001000000}">
          <x14:formula1>
            <xm:f>list!$B$6:$C$6</xm:f>
          </x14:formula1>
          <xm:sqref>H2:H1048576</xm:sqref>
        </x14:dataValidation>
        <x14:dataValidation type="list" allowBlank="1" showInputMessage="1" showErrorMessage="1" xr:uid="{00000000-0002-0000-0000-000002000000}">
          <x14:formula1>
            <xm:f>list!$B$7:$C$7</xm:f>
          </x14:formula1>
          <xm:sqref>I2:I1048576</xm:sqref>
        </x14:dataValidation>
        <x14:dataValidation type="list" allowBlank="1" showInputMessage="1" showErrorMessage="1" xr:uid="{00000000-0002-0000-0000-000003000000}">
          <x14:formula1>
            <xm:f>list!$B$8:$C$8</xm:f>
          </x14:formula1>
          <xm:sqref>J2:J1048576</xm:sqref>
        </x14:dataValidation>
        <x14:dataValidation type="list" allowBlank="1" showInputMessage="1" showErrorMessage="1" xr:uid="{00000000-0002-0000-0000-000004000000}">
          <x14:formula1>
            <xm:f>list!$B$9:$C$9</xm:f>
          </x14:formula1>
          <xm:sqref>K2:K1048576</xm:sqref>
        </x14:dataValidation>
        <x14:dataValidation type="list" allowBlank="1" showInputMessage="1" showErrorMessage="1" xr:uid="{00000000-0002-0000-0000-000005000000}">
          <x14:formula1>
            <xm:f>list!$B$33:$K$33</xm:f>
          </x14:formula1>
          <xm:sqref>L2:L1048576</xm:sqref>
        </x14:dataValidation>
        <x14:dataValidation type="list" allowBlank="1" showInputMessage="1" showErrorMessage="1" xr:uid="{00000000-0002-0000-0000-000006000000}">
          <x14:formula1>
            <xm:f>list!$B$10:$C$10</xm:f>
          </x14:formula1>
          <xm:sqref>M2:M1048576</xm:sqref>
        </x14:dataValidation>
        <x14:dataValidation type="list" allowBlank="1" showInputMessage="1" showErrorMessage="1" xr:uid="{00000000-0002-0000-0000-000007000000}">
          <x14:formula1>
            <xm:f>list!$B$12:$C$12</xm:f>
          </x14:formula1>
          <xm:sqref>N2:N1048576</xm:sqref>
        </x14:dataValidation>
        <x14:dataValidation type="list" allowBlank="1" showInputMessage="1" showErrorMessage="1" xr:uid="{00000000-0002-0000-0000-000008000000}">
          <x14:formula1>
            <xm:f>list!$B$13:$C$13</xm:f>
          </x14:formula1>
          <xm:sqref>O2:O1048576</xm:sqref>
        </x14:dataValidation>
        <x14:dataValidation type="list" allowBlank="1" showInputMessage="1" showErrorMessage="1" xr:uid="{00000000-0002-0000-0000-000009000000}">
          <x14:formula1>
            <xm:f>list!$B$15:$C$15</xm:f>
          </x14:formula1>
          <xm:sqref>P2:P1048576</xm:sqref>
        </x14:dataValidation>
        <x14:dataValidation type="list" allowBlank="1" showInputMessage="1" showErrorMessage="1" xr:uid="{00000000-0002-0000-0000-00000A000000}">
          <x14:formula1>
            <xm:f>list!$B$19:$D$19</xm:f>
          </x14:formula1>
          <xm:sqref>Q2:Q1048576</xm:sqref>
        </x14:dataValidation>
        <x14:dataValidation type="list" allowBlank="1" showInputMessage="1" showErrorMessage="1" xr:uid="{00000000-0002-0000-0000-00000B000000}">
          <x14:formula1>
            <xm:f>list!$B$20:$I$20</xm:f>
          </x14:formula1>
          <xm:sqref>R2:R1048576</xm:sqref>
        </x14:dataValidation>
        <x14:dataValidation type="list" allowBlank="1" showInputMessage="1" showErrorMessage="1" xr:uid="{00000000-0002-0000-0000-00000C000000}">
          <x14:formula1>
            <xm:f>list!$B$21:$M$21</xm:f>
          </x14:formula1>
          <xm:sqref>T5:V6 T14:V15 T8:V8 T17:V26 T32:V34 S2:S1048576</xm:sqref>
        </x14:dataValidation>
        <x14:dataValidation type="list" allowBlank="1" showInputMessage="1" showErrorMessage="1" xr:uid="{00000000-0002-0000-0000-00000D000000}">
          <x14:formula1>
            <xm:f>list!$B$22:$M$22</xm:f>
          </x14:formula1>
          <xm:sqref>T2:T4 T7 T9:T13 T16 T27:T31 T35:T1048576</xm:sqref>
        </x14:dataValidation>
        <x14:dataValidation type="list" allowBlank="1" showInputMessage="1" showErrorMessage="1" xr:uid="{00000000-0002-0000-0000-00000E000000}">
          <x14:formula1>
            <xm:f>list!$B$23:$M$23</xm:f>
          </x14:formula1>
          <xm:sqref>U2:U4 U7 U9:U13 U16 U27:U31 U35:U1048576</xm:sqref>
        </x14:dataValidation>
        <x14:dataValidation type="list" allowBlank="1" showInputMessage="1" showErrorMessage="1" xr:uid="{00000000-0002-0000-0000-00000F000000}">
          <x14:formula1>
            <xm:f>list!$B$24:$M$24</xm:f>
          </x14:formula1>
          <xm:sqref>V2:V4 V7 V9:V13 V16 V27:V31 V35:V1048576</xm:sqref>
        </x14:dataValidation>
        <x14:dataValidation type="list" allowBlank="1" showInputMessage="1" showErrorMessage="1" xr:uid="{00000000-0002-0000-0000-000010000000}">
          <x14:formula1>
            <xm:f>list!$B$25:$E$25</xm:f>
          </x14:formula1>
          <xm:sqref>W37:W1048576</xm:sqref>
        </x14:dataValidation>
        <x14:dataValidation type="list" allowBlank="1" showInputMessage="1" showErrorMessage="1" xr:uid="{00000000-0002-0000-0000-000011000000}">
          <x14:formula1>
            <xm:f>list!$B$26:$E$26</xm:f>
          </x14:formula1>
          <xm:sqref>X37:X1048576</xm:sqref>
        </x14:dataValidation>
        <x14:dataValidation type="list" allowBlank="1" showInputMessage="1" showErrorMessage="1" xr:uid="{00000000-0002-0000-0000-000012000000}">
          <x14:formula1>
            <xm:f>list!$B$29:$C$29</xm:f>
          </x14:formula1>
          <xm:sqref>Y2:Y1048576</xm:sqref>
        </x14:dataValidation>
        <x14:dataValidation type="list" allowBlank="1" showInputMessage="1" showErrorMessage="1" xr:uid="{00000000-0002-0000-0000-000013000000}">
          <x14:formula1>
            <xm:f>list!$B$27:$C$27</xm:f>
          </x14:formula1>
          <xm:sqref>Z2:Z1048576</xm:sqref>
        </x14:dataValidation>
        <x14:dataValidation type="list" allowBlank="1" showInputMessage="1" showErrorMessage="1" xr:uid="{00000000-0002-0000-0000-000014000000}">
          <x14:formula1>
            <xm:f>list!$B$32:$C$32</xm:f>
          </x14:formula1>
          <xm:sqref>AA2:AA1048576</xm:sqref>
        </x14:dataValidation>
        <x14:dataValidation type="list" allowBlank="1" showInputMessage="1" showErrorMessage="1" xr:uid="{00000000-0002-0000-0000-000015000000}">
          <x14:formula1>
            <xm:f>list!$B$34:$C$34</xm:f>
          </x14:formula1>
          <xm:sqref>AB2:AB1048576</xm:sqref>
        </x14:dataValidation>
        <x14:dataValidation type="list" allowBlank="1" showInputMessage="1" showErrorMessage="1" xr:uid="{00000000-0002-0000-0000-000016000000}">
          <x14:formula1>
            <xm:f>list!$B$35:$C$35</xm:f>
          </x14:formula1>
          <xm:sqref>AC2:AC1048576</xm:sqref>
        </x14:dataValidation>
        <x14:dataValidation type="list" allowBlank="1" showInputMessage="1" showErrorMessage="1" xr:uid="{00000000-0002-0000-0000-000017000000}">
          <x14:formula1>
            <xm:f>list!$B$36:$G$36</xm:f>
          </x14:formula1>
          <xm:sqref>AD2:AD1048576</xm:sqref>
        </x14:dataValidation>
        <x14:dataValidation type="list" allowBlank="1" showInputMessage="1" showErrorMessage="1" xr:uid="{00000000-0002-0000-0000-000018000000}">
          <x14:formula1>
            <xm:f>list!$B$37:$U$37</xm:f>
          </x14:formula1>
          <xm:sqref>AE2:AE1048576</xm:sqref>
        </x14:dataValidation>
        <x14:dataValidation type="list" allowBlank="1" showInputMessage="1" showErrorMessage="1" xr:uid="{00000000-0002-0000-0000-000019000000}">
          <x14:formula1>
            <xm:f>list!$B$38:$G$38</xm:f>
          </x14:formula1>
          <xm:sqref>AF2:AF1048576</xm:sqref>
        </x14:dataValidation>
        <x14:dataValidation type="list" allowBlank="1" showInputMessage="1" showErrorMessage="1" xr:uid="{00000000-0002-0000-0000-00001A000000}">
          <x14:formula1>
            <xm:f>list!$B$39:$U$39</xm:f>
          </x14:formula1>
          <xm:sqref>AG2:AG1048576</xm:sqref>
        </x14:dataValidation>
        <x14:dataValidation type="list" allowBlank="1" showInputMessage="1" showErrorMessage="1" xr:uid="{00000000-0002-0000-0000-00001B000000}">
          <x14:formula1>
            <xm:f>list!$B$40:$I$40</xm:f>
          </x14:formula1>
          <xm:sqref>AH2:AH12 AH14:AH1048576</xm:sqref>
        </x14:dataValidation>
        <x14:dataValidation type="list" allowBlank="1" showInputMessage="1" showErrorMessage="1" xr:uid="{00000000-0002-0000-0000-00001C000000}">
          <x14:formula1>
            <xm:f>list!$B$41:$H$41</xm:f>
          </x14:formula1>
          <xm:sqref>AI2:AI1048576</xm:sqref>
        </x14:dataValidation>
        <x14:dataValidation type="list" allowBlank="1" showInputMessage="1" showErrorMessage="1" xr:uid="{00000000-0002-0000-0000-00001D000000}">
          <x14:formula1>
            <xm:f>list!$B$42:$Z$42</xm:f>
          </x14:formula1>
          <xm:sqref>AJ2:AJ1048576</xm:sqref>
        </x14:dataValidation>
        <x14:dataValidation type="list" allowBlank="1" showInputMessage="1" showErrorMessage="1" xr:uid="{00000000-0002-0000-0000-00001E000000}">
          <x14:formula1>
            <xm:f>list!$B$43:$H$43</xm:f>
          </x14:formula1>
          <xm:sqref>AK2:AK1048576</xm:sqref>
        </x14:dataValidation>
        <x14:dataValidation type="list" allowBlank="1" showInputMessage="1" showErrorMessage="1" xr:uid="{00000000-0002-0000-0000-00001F000000}">
          <x14:formula1>
            <xm:f>list!$B$44:$Z$44</xm:f>
          </x14:formula1>
          <xm:sqref>AL2:AL1048576</xm:sqref>
        </x14:dataValidation>
        <x14:dataValidation type="list" allowBlank="1" showInputMessage="1" showErrorMessage="1" xr:uid="{00000000-0002-0000-0000-000020000000}">
          <x14:formula1>
            <xm:f>list!$B$49:$Q$49</xm:f>
          </x14:formula1>
          <xm:sqref>AM2:AM13 AM15:AM23 AM25:AM1048576</xm:sqref>
        </x14:dataValidation>
        <x14:dataValidation type="list" allowBlank="1" showInputMessage="1" showErrorMessage="1" xr:uid="{00000000-0002-0000-0000-000021000000}">
          <x14:formula1>
            <xm:f>list!$B$50:$C$50</xm:f>
          </x14:formula1>
          <xm:sqref>AN2:AN1048576</xm:sqref>
        </x14:dataValidation>
        <x14:dataValidation type="list" allowBlank="1" showInputMessage="1" showErrorMessage="1" xr:uid="{00000000-0002-0000-0000-000022000000}">
          <x14:formula1>
            <xm:f>list!$B$51:$C$51</xm:f>
          </x14:formula1>
          <xm:sqref>AO2:AO1048576</xm:sqref>
        </x14:dataValidation>
        <x14:dataValidation type="list" allowBlank="1" showInputMessage="1" showErrorMessage="1" xr:uid="{00000000-0002-0000-0000-000023000000}">
          <x14:formula1>
            <xm:f>list!$B$52:$C$52</xm:f>
          </x14:formula1>
          <xm:sqref>AP2:AP1048576</xm:sqref>
        </x14:dataValidation>
        <x14:dataValidation type="list" allowBlank="1" showInputMessage="1" showErrorMessage="1" xr:uid="{00000000-0002-0000-0000-000024000000}">
          <x14:formula1>
            <xm:f>list!$B$53:$C$53</xm:f>
          </x14:formula1>
          <xm:sqref>AQ2:AQ1048576</xm:sqref>
        </x14:dataValidation>
        <x14:dataValidation type="list" allowBlank="1" showInputMessage="1" showErrorMessage="1" xr:uid="{00000000-0002-0000-0000-000025000000}">
          <x14:formula1>
            <xm:f>list!$B$54:$C$54</xm:f>
          </x14:formula1>
          <xm:sqref>AR2:AR1048576</xm:sqref>
        </x14:dataValidation>
        <x14:dataValidation type="list" allowBlank="1" showInputMessage="1" showErrorMessage="1" xr:uid="{00000000-0002-0000-0000-000026000000}">
          <x14:formula1>
            <xm:f>list!$B$55:$C$55</xm:f>
          </x14:formula1>
          <xm:sqref>AS2:AS1048576</xm:sqref>
        </x14:dataValidation>
        <x14:dataValidation type="list" allowBlank="1" showInputMessage="1" showErrorMessage="1" xr:uid="{00000000-0002-0000-0000-000027000000}">
          <x14:formula1>
            <xm:f>list!$B$56:$C$56</xm:f>
          </x14:formula1>
          <xm:sqref>AT2:AT1048576</xm:sqref>
        </x14:dataValidation>
        <x14:dataValidation type="list" allowBlank="1" showInputMessage="1" showErrorMessage="1" xr:uid="{00000000-0002-0000-0000-000028000000}">
          <x14:formula1>
            <xm:f>list!$B$57:$C$57</xm:f>
          </x14:formula1>
          <xm:sqref>AU2:AU1048576</xm:sqref>
        </x14:dataValidation>
        <x14:dataValidation type="list" allowBlank="1" showInputMessage="1" showErrorMessage="1" xr:uid="{00000000-0002-0000-0000-000029000000}">
          <x14:formula1>
            <xm:f>list!$B$58:$C$58</xm:f>
          </x14:formula1>
          <xm:sqref>AV2:AV1048576</xm:sqref>
        </x14:dataValidation>
        <x14:dataValidation type="list" allowBlank="1" showInputMessage="1" showErrorMessage="1" xr:uid="{00000000-0002-0000-0000-00002A000000}">
          <x14:formula1>
            <xm:f>list!$B$59:$C$59</xm:f>
          </x14:formula1>
          <xm:sqref>AW2:AW1048576</xm:sqref>
        </x14:dataValidation>
        <x14:dataValidation type="list" allowBlank="1" showInputMessage="1" showErrorMessage="1" xr:uid="{00000000-0002-0000-0000-00002B000000}">
          <x14:formula1>
            <xm:f>list!$B$60:$C$60</xm:f>
          </x14:formula1>
          <xm:sqref>AX2:AX1048576</xm:sqref>
        </x14:dataValidation>
        <x14:dataValidation type="list" allowBlank="1" showInputMessage="1" showErrorMessage="1" xr:uid="{00000000-0002-0000-0000-00002C000000}">
          <x14:formula1>
            <xm:f>list!$B$61:$C$61</xm:f>
          </x14:formula1>
          <xm:sqref>AY2:AY1048576</xm:sqref>
        </x14:dataValidation>
        <x14:dataValidation type="list" allowBlank="1" showInputMessage="1" showErrorMessage="1" xr:uid="{00000000-0002-0000-0000-00002D000000}">
          <x14:formula1>
            <xm:f>list!$B$63:$C$63</xm:f>
          </x14:formula1>
          <xm:sqref>AZ2:AZ1048576</xm:sqref>
        </x14:dataValidation>
        <x14:dataValidation type="list" allowBlank="1" showInputMessage="1" showErrorMessage="1" xr:uid="{00000000-0002-0000-0000-00002E000000}">
          <x14:formula1>
            <xm:f>list!$B$64:$E$64</xm:f>
          </x14:formula1>
          <xm:sqref>BA2:BA1048576</xm:sqref>
        </x14:dataValidation>
        <x14:dataValidation type="list" allowBlank="1" showInputMessage="1" showErrorMessage="1" xr:uid="{00000000-0002-0000-0000-00002F000000}">
          <x14:formula1>
            <xm:f>list!$B$65:$F$65</xm:f>
          </x14:formula1>
          <xm:sqref>BB2:BB1048576</xm:sqref>
        </x14:dataValidation>
        <x14:dataValidation type="list" allowBlank="1" showInputMessage="1" showErrorMessage="1" xr:uid="{00000000-0002-0000-0000-000030000000}">
          <x14:formula1>
            <xm:f>list!$B$66:$C$66</xm:f>
          </x14:formula1>
          <xm:sqref>BC2:BC1048576</xm:sqref>
        </x14:dataValidation>
        <x14:dataValidation type="list" allowBlank="1" showInputMessage="1" showErrorMessage="1" xr:uid="{00000000-0002-0000-0000-000031000000}">
          <x14:formula1>
            <xm:f>list!$B$67:$C$67</xm:f>
          </x14:formula1>
          <xm:sqref>BD2:BD1048576</xm:sqref>
        </x14:dataValidation>
        <x14:dataValidation type="list" allowBlank="1" showInputMessage="1" showErrorMessage="1" xr:uid="{00000000-0002-0000-0000-000032000000}">
          <x14:formula1>
            <xm:f>list!$B$68:$G$68</xm:f>
          </x14:formula1>
          <xm:sqref>BE2:BE1048576</xm:sqref>
        </x14:dataValidation>
        <x14:dataValidation type="list" allowBlank="1" showInputMessage="1" showErrorMessage="1" xr:uid="{00000000-0002-0000-0000-000033000000}">
          <x14:formula1>
            <xm:f>list!$B$69:$C$69</xm:f>
          </x14:formula1>
          <xm:sqref>BF2:BF1048576</xm:sqref>
        </x14:dataValidation>
        <x14:dataValidation type="list" allowBlank="1" showInputMessage="1" showErrorMessage="1" xr:uid="{00000000-0002-0000-0000-000034000000}">
          <x14:formula1>
            <xm:f>list!$B$70:$G$70</xm:f>
          </x14:formula1>
          <xm:sqref>BG2:BG1048576</xm:sqref>
        </x14:dataValidation>
        <x14:dataValidation type="list" allowBlank="1" showInputMessage="1" showErrorMessage="1" xr:uid="{00000000-0002-0000-0000-000035000000}">
          <x14:formula1>
            <xm:f>list!$B$72:$C$72</xm:f>
          </x14:formula1>
          <xm:sqref>BH2:BH1048576</xm:sqref>
        </x14:dataValidation>
        <x14:dataValidation type="list" allowBlank="1" showInputMessage="1" showErrorMessage="1" xr:uid="{00000000-0002-0000-0000-000036000000}">
          <x14:formula1>
            <xm:f>list!$B$73:$C$73</xm:f>
          </x14:formula1>
          <xm:sqref>BI2:BI1048576</xm:sqref>
        </x14:dataValidation>
        <x14:dataValidation type="list" allowBlank="1" showInputMessage="1" showErrorMessage="1" xr:uid="{00000000-0002-0000-0000-000037000000}">
          <x14:formula1>
            <xm:f>list!$B$84:$D$84</xm:f>
          </x14:formula1>
          <xm:sqref>BJ2:BJ1048576</xm:sqref>
        </x14:dataValidation>
        <x14:dataValidation type="list" allowBlank="1" showInputMessage="1" showErrorMessage="1" xr:uid="{00000000-0002-0000-0000-000038000000}">
          <x14:formula1>
            <xm:f>list!$B$85:$D$85</xm:f>
          </x14:formula1>
          <xm:sqref>BK2:BK1048576</xm:sqref>
        </x14:dataValidation>
        <x14:dataValidation type="list" allowBlank="1" showInputMessage="1" showErrorMessage="1" xr:uid="{00000000-0002-0000-0000-000039000000}">
          <x14:formula1>
            <xm:f>list!$B$79:$C$79</xm:f>
          </x14:formula1>
          <xm:sqref>BL2:BL1048576</xm:sqref>
        </x14:dataValidation>
        <x14:dataValidation type="list" allowBlank="1" showInputMessage="1" showErrorMessage="1" xr:uid="{00000000-0002-0000-0000-00003A000000}">
          <x14:formula1>
            <xm:f>list!$B$80:$C$80</xm:f>
          </x14:formula1>
          <xm:sqref>BM2:BM1048576</xm:sqref>
        </x14:dataValidation>
        <x14:dataValidation type="list" allowBlank="1" showInputMessage="1" showErrorMessage="1" xr:uid="{00000000-0002-0000-0000-00003B000000}">
          <x14:formula1>
            <xm:f>list!$B$82:$C$82</xm:f>
          </x14:formula1>
          <xm:sqref>BO2:BO1048576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92D050"/>
  </sheetPr>
  <dimension ref="A1:BO53"/>
  <sheetViews>
    <sheetView zoomScale="69" workbookViewId="0">
      <pane xSplit="6" ySplit="1" topLeftCell="BB3" activePane="bottomRight" state="frozen"/>
      <selection pane="topRight" activeCell="G1" sqref="G1"/>
      <selection pane="bottomLeft" activeCell="A2" sqref="A2"/>
      <selection pane="bottomRight" activeCell="BE8" sqref="BE8"/>
    </sheetView>
  </sheetViews>
  <sheetFormatPr defaultColWidth="10.875" defaultRowHeight="15.75"/>
  <cols>
    <col min="1" max="1" width="20.375" style="1" bestFit="1" customWidth="1"/>
    <col min="2" max="2" width="20" style="1" bestFit="1" customWidth="1"/>
    <col min="3" max="3" width="20.5" style="1" bestFit="1" customWidth="1"/>
    <col min="4" max="4" width="22.125" style="1" bestFit="1" customWidth="1"/>
    <col min="5" max="5" width="66.5" style="1" customWidth="1"/>
    <col min="6" max="6" width="14.375" style="1" customWidth="1"/>
    <col min="7" max="7" width="63.5" style="1" customWidth="1"/>
    <col min="8" max="8" width="22" style="1" customWidth="1"/>
    <col min="9" max="9" width="21.625" style="1" customWidth="1"/>
    <col min="10" max="10" width="22" style="1" customWidth="1"/>
    <col min="11" max="11" width="21.625" style="1" customWidth="1"/>
    <col min="12" max="12" width="38.875" style="1" customWidth="1"/>
    <col min="13" max="13" width="23.875" style="1" bestFit="1" customWidth="1"/>
    <col min="14" max="14" width="7.625" style="1" customWidth="1"/>
    <col min="15" max="15" width="21.5" style="1" customWidth="1"/>
    <col min="16" max="16" width="17.125" style="1" customWidth="1"/>
    <col min="17" max="17" width="21.625" style="1" customWidth="1"/>
    <col min="18" max="18" width="13.5" style="1" customWidth="1"/>
    <col min="19" max="19" width="25.375" style="1" customWidth="1"/>
    <col min="20" max="20" width="24.375" style="1" customWidth="1"/>
    <col min="21" max="21" width="23.875" style="1" customWidth="1"/>
    <col min="22" max="22" width="22.875" style="1" customWidth="1"/>
    <col min="23" max="23" width="21.5" style="1" customWidth="1"/>
    <col min="24" max="24" width="19.875" style="1" customWidth="1"/>
    <col min="25" max="25" width="32" style="1" customWidth="1"/>
    <col min="26" max="26" width="35.875" style="1" bestFit="1" customWidth="1"/>
    <col min="27" max="27" width="28.375" style="1" customWidth="1"/>
    <col min="28" max="29" width="35.5" style="1" customWidth="1"/>
    <col min="30" max="30" width="29.125" style="1" customWidth="1"/>
    <col min="31" max="31" width="23.375" style="1" customWidth="1"/>
    <col min="32" max="32" width="29.125" style="1" customWidth="1"/>
    <col min="33" max="33" width="23.375" style="1" customWidth="1"/>
    <col min="34" max="34" width="24.375" style="1" customWidth="1"/>
    <col min="35" max="35" width="28" style="1" customWidth="1"/>
    <col min="36" max="36" width="24.625" style="1" customWidth="1"/>
    <col min="37" max="37" width="26.5" style="1" customWidth="1"/>
    <col min="38" max="38" width="23" style="1" customWidth="1"/>
    <col min="39" max="39" width="16.125" style="1" customWidth="1"/>
    <col min="40" max="40" width="18.5" style="1" customWidth="1"/>
    <col min="41" max="41" width="20.125" style="1" customWidth="1"/>
    <col min="42" max="42" width="28.5" style="1" customWidth="1"/>
    <col min="43" max="43" width="29.375" style="1" customWidth="1"/>
    <col min="44" max="44" width="16.5" style="1" customWidth="1"/>
    <col min="45" max="45" width="12.125" style="1" customWidth="1"/>
    <col min="46" max="46" width="9.875" style="1" customWidth="1"/>
    <col min="47" max="47" width="48.625" style="1" customWidth="1"/>
    <col min="48" max="48" width="27" style="1" customWidth="1"/>
    <col min="49" max="49" width="8.5" style="1" customWidth="1"/>
    <col min="50" max="50" width="10.875" style="1" customWidth="1"/>
    <col min="51" max="51" width="18.375" style="1" customWidth="1"/>
    <col min="52" max="52" width="15.625" style="1" customWidth="1"/>
    <col min="53" max="53" width="19.375" style="1" customWidth="1"/>
    <col min="54" max="54" width="20.125" style="1" customWidth="1"/>
    <col min="55" max="55" width="42" style="1" customWidth="1"/>
    <col min="56" max="56" width="18.875" style="1" customWidth="1"/>
    <col min="57" max="57" width="23.5" style="1" customWidth="1"/>
    <col min="58" max="58" width="26.5" style="1" customWidth="1"/>
    <col min="59" max="59" width="15.875" style="1" customWidth="1"/>
    <col min="60" max="61" width="25.625" style="1" customWidth="1"/>
    <col min="62" max="62" width="20.875" style="1" customWidth="1"/>
    <col min="63" max="63" width="20.375" style="1" customWidth="1"/>
    <col min="64" max="65" width="21.625" style="1" customWidth="1"/>
    <col min="66" max="66" width="22.125" style="1" customWidth="1"/>
    <col min="67" max="67" width="16.5" style="1" customWidth="1"/>
    <col min="68" max="68" width="10.875" style="1" customWidth="1"/>
    <col min="69" max="16384" width="10.875" style="1"/>
  </cols>
  <sheetData>
    <row r="1" spans="1:67" s="17" customFormat="1" ht="75" customHeight="1">
      <c r="A1" s="12" t="s">
        <v>0</v>
      </c>
      <c r="B1" s="12" t="s">
        <v>1</v>
      </c>
      <c r="C1" s="12" t="s">
        <v>2</v>
      </c>
      <c r="D1" s="13" t="s">
        <v>3</v>
      </c>
      <c r="E1" s="13" t="s">
        <v>4</v>
      </c>
      <c r="F1" s="13" t="s">
        <v>5</v>
      </c>
      <c r="G1" s="14" t="s">
        <v>6</v>
      </c>
      <c r="H1" s="14" t="s">
        <v>7</v>
      </c>
      <c r="I1" s="14" t="s">
        <v>8</v>
      </c>
      <c r="J1" s="14" t="s">
        <v>9</v>
      </c>
      <c r="K1" s="14" t="s">
        <v>10</v>
      </c>
      <c r="L1" s="14" t="s">
        <v>11</v>
      </c>
      <c r="M1" s="14" t="s">
        <v>102</v>
      </c>
      <c r="N1" s="14" t="s">
        <v>13</v>
      </c>
      <c r="O1" s="14" t="s">
        <v>14</v>
      </c>
      <c r="P1" s="14" t="s">
        <v>15</v>
      </c>
      <c r="Q1" s="14" t="s">
        <v>16</v>
      </c>
      <c r="R1" s="14" t="s">
        <v>17</v>
      </c>
      <c r="S1" s="14" t="s">
        <v>18</v>
      </c>
      <c r="T1" s="14" t="s">
        <v>19</v>
      </c>
      <c r="U1" s="14" t="s">
        <v>20</v>
      </c>
      <c r="V1" s="14" t="s">
        <v>21</v>
      </c>
      <c r="W1" s="14" t="s">
        <v>22</v>
      </c>
      <c r="X1" s="14" t="s">
        <v>23</v>
      </c>
      <c r="Y1" s="14" t="s">
        <v>24</v>
      </c>
      <c r="Z1" s="14" t="s">
        <v>25</v>
      </c>
      <c r="AA1" s="14" t="s">
        <v>26</v>
      </c>
      <c r="AB1" s="14" t="s">
        <v>27</v>
      </c>
      <c r="AC1" s="14" t="s">
        <v>28</v>
      </c>
      <c r="AD1" s="14" t="s">
        <v>29</v>
      </c>
      <c r="AE1" s="14" t="s">
        <v>30</v>
      </c>
      <c r="AF1" s="14" t="s">
        <v>31</v>
      </c>
      <c r="AG1" s="14" t="s">
        <v>32</v>
      </c>
      <c r="AH1" s="15" t="s">
        <v>33</v>
      </c>
      <c r="AI1" s="14" t="s">
        <v>34</v>
      </c>
      <c r="AJ1" s="14" t="s">
        <v>35</v>
      </c>
      <c r="AK1" s="14" t="s">
        <v>36</v>
      </c>
      <c r="AL1" s="14" t="s">
        <v>37</v>
      </c>
      <c r="AM1" s="14" t="s">
        <v>38</v>
      </c>
      <c r="AN1" s="14" t="s">
        <v>39</v>
      </c>
      <c r="AO1" s="14" t="s">
        <v>40</v>
      </c>
      <c r="AP1" s="14" t="s">
        <v>41</v>
      </c>
      <c r="AQ1" s="14" t="s">
        <v>42</v>
      </c>
      <c r="AR1" s="14" t="s">
        <v>43</v>
      </c>
      <c r="AS1" s="14" t="s">
        <v>44</v>
      </c>
      <c r="AT1" s="14" t="s">
        <v>45</v>
      </c>
      <c r="AU1" s="14" t="s">
        <v>46</v>
      </c>
      <c r="AV1" s="14" t="s">
        <v>47</v>
      </c>
      <c r="AW1" s="14" t="s">
        <v>48</v>
      </c>
      <c r="AX1" s="14" t="s">
        <v>49</v>
      </c>
      <c r="AY1" s="14" t="s">
        <v>50</v>
      </c>
      <c r="AZ1" s="14" t="s">
        <v>51</v>
      </c>
      <c r="BA1" s="14" t="s">
        <v>52</v>
      </c>
      <c r="BB1" s="14" t="s">
        <v>53</v>
      </c>
      <c r="BC1" s="14" t="s">
        <v>54</v>
      </c>
      <c r="BD1" s="14" t="s">
        <v>55</v>
      </c>
      <c r="BE1" s="14" t="s">
        <v>56</v>
      </c>
      <c r="BF1" s="14" t="s">
        <v>57</v>
      </c>
      <c r="BG1" s="14" t="s">
        <v>58</v>
      </c>
      <c r="BH1" s="14" t="s">
        <v>59</v>
      </c>
      <c r="BI1" s="14" t="s">
        <v>60</v>
      </c>
      <c r="BJ1" s="16" t="s">
        <v>61</v>
      </c>
      <c r="BK1" s="16" t="s">
        <v>62</v>
      </c>
      <c r="BL1" s="16" t="s">
        <v>63</v>
      </c>
      <c r="BM1" s="16" t="s">
        <v>64</v>
      </c>
      <c r="BN1" s="16" t="s">
        <v>65</v>
      </c>
      <c r="BO1" s="16" t="s">
        <v>66</v>
      </c>
    </row>
    <row r="2" spans="1:67" ht="153" customHeight="1">
      <c r="B2" s="1">
        <v>1151000</v>
      </c>
      <c r="C2" s="2">
        <v>42845</v>
      </c>
      <c r="E2" s="1" t="s">
        <v>144</v>
      </c>
      <c r="F2" s="1" t="b">
        <v>1</v>
      </c>
      <c r="G2" s="1" t="b">
        <v>1</v>
      </c>
      <c r="Q2" s="1" t="b">
        <v>0</v>
      </c>
      <c r="T2" s="1" t="s">
        <v>483</v>
      </c>
      <c r="V2" s="1" t="s">
        <v>483</v>
      </c>
    </row>
    <row r="3" spans="1:67" ht="119.1" customHeight="1">
      <c r="B3" s="1">
        <v>1151000</v>
      </c>
      <c r="C3" s="2">
        <v>42874</v>
      </c>
      <c r="E3" s="1" t="s">
        <v>145</v>
      </c>
      <c r="F3" s="1" t="b">
        <v>1</v>
      </c>
      <c r="H3" s="1" t="b">
        <v>1</v>
      </c>
      <c r="R3" s="1" t="s">
        <v>471</v>
      </c>
    </row>
    <row r="4" spans="1:67" ht="186.95" customHeight="1">
      <c r="B4" s="1">
        <v>1151000</v>
      </c>
      <c r="C4" s="2">
        <v>42880</v>
      </c>
      <c r="E4" s="1" t="s">
        <v>146</v>
      </c>
      <c r="F4" s="1" t="b">
        <v>1</v>
      </c>
      <c r="J4" s="1" t="b">
        <v>1</v>
      </c>
    </row>
    <row r="5" spans="1:67" ht="68.099999999999994" customHeight="1">
      <c r="B5" s="1">
        <v>1151000</v>
      </c>
      <c r="C5" s="2">
        <v>42886</v>
      </c>
      <c r="E5" s="1" t="s">
        <v>147</v>
      </c>
      <c r="F5" s="1" t="b">
        <v>1</v>
      </c>
      <c r="AF5" s="1" t="s">
        <v>504</v>
      </c>
      <c r="AG5" s="1" t="s">
        <v>513</v>
      </c>
      <c r="AH5" s="1" t="s">
        <v>531</v>
      </c>
    </row>
    <row r="6" spans="1:67" ht="84.95" customHeight="1">
      <c r="B6" s="1">
        <v>1151000</v>
      </c>
      <c r="C6" s="2">
        <v>42914</v>
      </c>
      <c r="E6" s="1" t="s">
        <v>148</v>
      </c>
      <c r="F6" s="1" t="b">
        <v>1</v>
      </c>
      <c r="R6" s="1" t="s">
        <v>471</v>
      </c>
      <c r="AC6" s="1" t="b">
        <v>0</v>
      </c>
      <c r="AD6" s="1" t="s">
        <v>504</v>
      </c>
      <c r="AE6" s="1" t="s">
        <v>513</v>
      </c>
      <c r="AF6" s="1" t="s">
        <v>504</v>
      </c>
      <c r="AG6" s="1" t="s">
        <v>513</v>
      </c>
      <c r="AH6" s="1" t="s">
        <v>533</v>
      </c>
    </row>
    <row r="7" spans="1:67" ht="33.950000000000003" customHeight="1">
      <c r="B7" s="1">
        <v>1151000</v>
      </c>
      <c r="C7" s="2">
        <v>42934</v>
      </c>
      <c r="E7" s="1" t="s">
        <v>149</v>
      </c>
      <c r="F7" s="1" t="b">
        <v>1</v>
      </c>
    </row>
    <row r="8" spans="1:67" ht="33.950000000000003" customHeight="1">
      <c r="B8" s="1">
        <v>1151000</v>
      </c>
      <c r="C8" s="2">
        <v>42937</v>
      </c>
      <c r="E8" s="1" t="s">
        <v>150</v>
      </c>
      <c r="F8" s="1" t="b">
        <v>1</v>
      </c>
      <c r="BD8" s="1" t="b">
        <v>1</v>
      </c>
      <c r="BE8" s="1" t="s">
        <v>589</v>
      </c>
    </row>
    <row r="9" spans="1:67" ht="51" customHeight="1">
      <c r="B9" s="1">
        <v>1151000</v>
      </c>
      <c r="C9" s="2">
        <v>42944</v>
      </c>
      <c r="E9" s="1" t="s">
        <v>151</v>
      </c>
      <c r="F9" s="1" t="b">
        <v>1</v>
      </c>
      <c r="I9" s="1" t="b">
        <v>1</v>
      </c>
    </row>
    <row r="10" spans="1:67" ht="170.1" customHeight="1">
      <c r="B10" s="1">
        <v>1151000</v>
      </c>
      <c r="C10" s="2">
        <v>42956</v>
      </c>
      <c r="E10" s="1" t="s">
        <v>152</v>
      </c>
      <c r="F10" s="1" t="b">
        <v>1</v>
      </c>
      <c r="S10" s="1" t="s">
        <v>482</v>
      </c>
      <c r="T10" s="1" t="s">
        <v>483</v>
      </c>
      <c r="U10" s="1" t="s">
        <v>482</v>
      </c>
      <c r="V10" s="1" t="s">
        <v>483</v>
      </c>
      <c r="W10" s="1">
        <v>4</v>
      </c>
      <c r="X10" s="1">
        <v>5</v>
      </c>
      <c r="AB10" s="1" t="b">
        <v>0</v>
      </c>
      <c r="AC10" s="1" t="b">
        <v>0</v>
      </c>
      <c r="AD10" s="1" t="s">
        <v>504</v>
      </c>
      <c r="AE10" s="1" t="s">
        <v>513</v>
      </c>
      <c r="AF10" s="1" t="s">
        <v>504</v>
      </c>
      <c r="AG10" s="1" t="s">
        <v>513</v>
      </c>
      <c r="AH10" s="1" t="s">
        <v>531</v>
      </c>
      <c r="BA10" s="1" t="s">
        <v>583</v>
      </c>
      <c r="BB10" s="1" t="s">
        <v>259</v>
      </c>
    </row>
    <row r="11" spans="1:67" ht="170.1" customHeight="1">
      <c r="B11" s="1">
        <v>1151000</v>
      </c>
      <c r="C11" s="2">
        <v>43006</v>
      </c>
      <c r="E11" s="1" t="s">
        <v>153</v>
      </c>
      <c r="F11" s="1" t="b">
        <v>1</v>
      </c>
      <c r="J11" s="1" t="b">
        <v>1</v>
      </c>
      <c r="S11" s="1" t="s">
        <v>482</v>
      </c>
      <c r="T11" s="1" t="s">
        <v>483</v>
      </c>
      <c r="U11" s="1" t="s">
        <v>482</v>
      </c>
      <c r="V11" s="1" t="s">
        <v>483</v>
      </c>
      <c r="AB11" s="1" t="b">
        <v>1</v>
      </c>
      <c r="AC11" s="1" t="b">
        <v>0</v>
      </c>
      <c r="AD11" s="1" t="s">
        <v>504</v>
      </c>
      <c r="AE11" s="1" t="s">
        <v>514</v>
      </c>
      <c r="AF11" s="1" t="s">
        <v>504</v>
      </c>
      <c r="AG11" s="1" t="s">
        <v>513</v>
      </c>
      <c r="BA11" s="1" t="s">
        <v>583</v>
      </c>
      <c r="BB11" s="1" t="s">
        <v>259</v>
      </c>
    </row>
    <row r="12" spans="1:67" ht="153" customHeight="1">
      <c r="B12" s="1">
        <v>1151000</v>
      </c>
      <c r="C12" s="2">
        <v>43040</v>
      </c>
      <c r="E12" s="1" t="s">
        <v>154</v>
      </c>
      <c r="F12" s="1" t="b">
        <v>1</v>
      </c>
      <c r="H12" s="1" t="b">
        <v>1</v>
      </c>
      <c r="AB12" s="1" t="b">
        <v>0</v>
      </c>
      <c r="AC12" s="1" t="b">
        <v>1</v>
      </c>
      <c r="AD12" s="1" t="s">
        <v>504</v>
      </c>
      <c r="AE12" s="1" t="s">
        <v>514</v>
      </c>
      <c r="AF12" s="1" t="s">
        <v>504</v>
      </c>
      <c r="AG12" s="1" t="s">
        <v>514</v>
      </c>
      <c r="BA12" s="1" t="s">
        <v>583</v>
      </c>
      <c r="BB12" s="1" t="s">
        <v>259</v>
      </c>
    </row>
    <row r="13" spans="1:67" ht="170.1" customHeight="1">
      <c r="B13" s="1">
        <v>1151000</v>
      </c>
      <c r="C13" s="2">
        <v>43068</v>
      </c>
      <c r="E13" s="1" t="s">
        <v>155</v>
      </c>
      <c r="F13" s="1" t="b">
        <v>1</v>
      </c>
      <c r="S13" s="1" t="s">
        <v>482</v>
      </c>
      <c r="T13" s="1" t="s">
        <v>483</v>
      </c>
      <c r="U13" s="1" t="s">
        <v>482</v>
      </c>
      <c r="V13" s="1" t="s">
        <v>483</v>
      </c>
      <c r="AB13" s="1" t="b">
        <v>1</v>
      </c>
      <c r="AC13" s="1" t="b">
        <v>0</v>
      </c>
      <c r="AD13" s="1" t="s">
        <v>508</v>
      </c>
      <c r="AE13" s="1" t="s">
        <v>521</v>
      </c>
      <c r="AF13" s="1" t="s">
        <v>504</v>
      </c>
      <c r="AG13" s="1" t="s">
        <v>514</v>
      </c>
      <c r="AH13" s="1" t="s">
        <v>534</v>
      </c>
      <c r="BA13" s="1" t="s">
        <v>583</v>
      </c>
      <c r="BB13" s="1" t="s">
        <v>259</v>
      </c>
    </row>
    <row r="14" spans="1:67" ht="153" customHeight="1">
      <c r="B14" s="1">
        <v>1151000</v>
      </c>
      <c r="C14" s="2">
        <v>43110</v>
      </c>
      <c r="E14" s="1" t="s">
        <v>156</v>
      </c>
      <c r="F14" s="1" t="b">
        <v>1</v>
      </c>
      <c r="S14" s="1" t="s">
        <v>482</v>
      </c>
      <c r="T14" s="1" t="s">
        <v>483</v>
      </c>
      <c r="U14" s="1" t="s">
        <v>482</v>
      </c>
      <c r="V14" s="1" t="s">
        <v>483</v>
      </c>
      <c r="AB14" s="1" t="b">
        <v>1</v>
      </c>
      <c r="AC14" s="1" t="b">
        <v>1</v>
      </c>
      <c r="AD14" s="1" t="s">
        <v>504</v>
      </c>
      <c r="AE14" s="1" t="s">
        <v>520</v>
      </c>
      <c r="AF14" s="1" t="s">
        <v>508</v>
      </c>
      <c r="AG14" s="1" t="s">
        <v>521</v>
      </c>
      <c r="BA14" s="1" t="s">
        <v>259</v>
      </c>
      <c r="BB14" s="1" t="s">
        <v>259</v>
      </c>
    </row>
    <row r="15" spans="1:67" ht="153" customHeight="1">
      <c r="B15" s="1">
        <v>1151000</v>
      </c>
      <c r="C15" s="2">
        <v>43138</v>
      </c>
      <c r="E15" s="1" t="s">
        <v>157</v>
      </c>
      <c r="F15" s="1" t="b">
        <v>1</v>
      </c>
      <c r="S15" s="1" t="s">
        <v>482</v>
      </c>
      <c r="T15" s="1" t="s">
        <v>482</v>
      </c>
      <c r="U15" s="1" t="s">
        <v>482</v>
      </c>
      <c r="V15" s="1" t="s">
        <v>482</v>
      </c>
      <c r="AB15" s="1" t="b">
        <v>0</v>
      </c>
      <c r="AC15" s="1" t="b">
        <v>1</v>
      </c>
      <c r="AD15" s="1" t="s">
        <v>504</v>
      </c>
      <c r="AE15" s="1" t="s">
        <v>520</v>
      </c>
      <c r="AF15" s="1" t="s">
        <v>504</v>
      </c>
      <c r="AG15" s="1" t="s">
        <v>520</v>
      </c>
      <c r="AI15" s="1" t="s">
        <v>540</v>
      </c>
      <c r="AJ15" s="1" t="s">
        <v>562</v>
      </c>
      <c r="AK15" s="1" t="s">
        <v>540</v>
      </c>
      <c r="AL15" s="1" t="s">
        <v>562</v>
      </c>
      <c r="BA15" s="1" t="s">
        <v>259</v>
      </c>
      <c r="BB15" s="1" t="s">
        <v>259</v>
      </c>
    </row>
    <row r="16" spans="1:67" ht="51" customHeight="1">
      <c r="B16" s="1">
        <v>1151000</v>
      </c>
      <c r="C16" s="2">
        <v>43166</v>
      </c>
      <c r="E16" s="1" t="s">
        <v>158</v>
      </c>
      <c r="F16" s="1" t="b">
        <v>1</v>
      </c>
    </row>
    <row r="17" spans="2:63" ht="153" customHeight="1">
      <c r="B17" s="1">
        <v>1151000</v>
      </c>
      <c r="C17" s="2">
        <v>43167</v>
      </c>
      <c r="E17" s="1" t="s">
        <v>159</v>
      </c>
      <c r="F17" s="1" t="b">
        <v>1</v>
      </c>
      <c r="AB17" s="1" t="b">
        <v>1</v>
      </c>
      <c r="AC17" s="1" t="b">
        <v>0</v>
      </c>
      <c r="AD17" s="1" t="s">
        <v>507</v>
      </c>
      <c r="AE17" s="1" t="s">
        <v>520</v>
      </c>
      <c r="AF17" s="1" t="s">
        <v>504</v>
      </c>
      <c r="AG17" s="1" t="s">
        <v>520</v>
      </c>
      <c r="AI17" s="1" t="s">
        <v>540</v>
      </c>
      <c r="AJ17" s="1" t="s">
        <v>562</v>
      </c>
      <c r="AK17" s="1" t="s">
        <v>540</v>
      </c>
      <c r="AL17" s="1" t="s">
        <v>562</v>
      </c>
      <c r="BA17" s="1" t="s">
        <v>256</v>
      </c>
      <c r="BB17" s="1" t="s">
        <v>259</v>
      </c>
    </row>
    <row r="18" spans="2:63" ht="153" customHeight="1">
      <c r="B18" s="1">
        <v>1151000</v>
      </c>
      <c r="C18" s="2">
        <v>43229</v>
      </c>
      <c r="E18" s="1" t="s">
        <v>160</v>
      </c>
      <c r="F18" s="1" t="b">
        <v>1</v>
      </c>
      <c r="S18" s="1" t="s">
        <v>482</v>
      </c>
      <c r="T18" s="1" t="s">
        <v>483</v>
      </c>
      <c r="U18" s="1" t="s">
        <v>482</v>
      </c>
      <c r="V18" s="1" t="s">
        <v>483</v>
      </c>
      <c r="AB18" s="1" t="b">
        <v>1</v>
      </c>
      <c r="AC18" s="1" t="b">
        <v>0</v>
      </c>
      <c r="AD18" s="1" t="s">
        <v>506</v>
      </c>
      <c r="AE18" s="1" t="s">
        <v>518</v>
      </c>
      <c r="AF18" s="1" t="s">
        <v>504</v>
      </c>
      <c r="AG18" s="1" t="s">
        <v>520</v>
      </c>
      <c r="AH18" s="1" t="s">
        <v>537</v>
      </c>
      <c r="AI18" s="1" t="s">
        <v>540</v>
      </c>
      <c r="AJ18" s="1" t="s">
        <v>561</v>
      </c>
      <c r="AK18" s="1" t="s">
        <v>540</v>
      </c>
      <c r="AL18" s="1" t="s">
        <v>561</v>
      </c>
      <c r="BA18" s="1" t="s">
        <v>612</v>
      </c>
      <c r="BB18" s="1" t="s">
        <v>259</v>
      </c>
    </row>
    <row r="19" spans="2:63" ht="170.1" customHeight="1">
      <c r="B19" s="1">
        <v>1151000</v>
      </c>
      <c r="C19" s="2">
        <v>43271</v>
      </c>
      <c r="E19" s="1" t="s">
        <v>161</v>
      </c>
      <c r="F19" s="1" t="b">
        <v>1</v>
      </c>
      <c r="S19" s="1" t="s">
        <v>482</v>
      </c>
      <c r="U19" s="1" t="s">
        <v>482</v>
      </c>
      <c r="AB19" s="1" t="b">
        <v>0</v>
      </c>
      <c r="AC19" s="1" t="b">
        <v>0</v>
      </c>
      <c r="AD19" s="1" t="s">
        <v>506</v>
      </c>
      <c r="AE19" s="1" t="s">
        <v>518</v>
      </c>
      <c r="AF19" s="1" t="s">
        <v>504</v>
      </c>
      <c r="AG19" s="1" t="s">
        <v>520</v>
      </c>
      <c r="AH19" s="1" t="s">
        <v>537</v>
      </c>
      <c r="AJ19" s="1" t="s">
        <v>561</v>
      </c>
      <c r="AL19" s="1" t="s">
        <v>561</v>
      </c>
      <c r="BA19" s="1" t="s">
        <v>612</v>
      </c>
      <c r="BB19" s="1" t="s">
        <v>259</v>
      </c>
    </row>
    <row r="20" spans="2:63" ht="221.1" customHeight="1">
      <c r="B20" s="1">
        <v>1151000</v>
      </c>
      <c r="C20" s="2">
        <v>43306</v>
      </c>
      <c r="E20" s="1" t="s">
        <v>162</v>
      </c>
      <c r="F20" s="1" t="b">
        <v>1</v>
      </c>
      <c r="S20" s="1" t="s">
        <v>483</v>
      </c>
      <c r="T20" s="1" t="s">
        <v>483</v>
      </c>
      <c r="U20" s="1" t="s">
        <v>483</v>
      </c>
      <c r="V20" s="1" t="s">
        <v>483</v>
      </c>
      <c r="AB20" s="1" t="b">
        <v>1</v>
      </c>
      <c r="AC20" s="1" t="b">
        <v>1</v>
      </c>
      <c r="AD20" s="1" t="s">
        <v>504</v>
      </c>
      <c r="AE20" s="1" t="s">
        <v>520</v>
      </c>
      <c r="AF20" s="1" t="s">
        <v>504</v>
      </c>
      <c r="AG20" s="1" t="s">
        <v>518</v>
      </c>
      <c r="AH20" s="1" t="s">
        <v>531</v>
      </c>
      <c r="AI20" s="1" t="s">
        <v>599</v>
      </c>
      <c r="AK20" s="1" t="s">
        <v>599</v>
      </c>
      <c r="BA20" s="1" t="s">
        <v>612</v>
      </c>
      <c r="BB20" s="1" t="s">
        <v>259</v>
      </c>
      <c r="BF20" s="1" t="b">
        <v>1</v>
      </c>
      <c r="BK20" s="1" t="s">
        <v>597</v>
      </c>
    </row>
    <row r="21" spans="2:63" ht="221.1" customHeight="1">
      <c r="B21" s="1">
        <v>1151000</v>
      </c>
      <c r="C21" s="2">
        <v>43340</v>
      </c>
      <c r="E21" s="1" t="s">
        <v>163</v>
      </c>
      <c r="F21" s="1" t="b">
        <v>1</v>
      </c>
      <c r="G21" s="1" t="b">
        <v>1</v>
      </c>
      <c r="S21" s="1" t="s">
        <v>482</v>
      </c>
      <c r="T21" s="1" t="s">
        <v>482</v>
      </c>
      <c r="U21" s="1" t="s">
        <v>482</v>
      </c>
      <c r="V21" s="1" t="s">
        <v>482</v>
      </c>
      <c r="AB21" s="1" t="b">
        <v>0</v>
      </c>
      <c r="AC21" s="1" t="b">
        <v>0</v>
      </c>
      <c r="AD21" s="1" t="s">
        <v>504</v>
      </c>
      <c r="AE21" s="1" t="s">
        <v>520</v>
      </c>
      <c r="AF21" s="1" t="s">
        <v>504</v>
      </c>
      <c r="AG21" s="1" t="s">
        <v>518</v>
      </c>
      <c r="AH21" s="1" t="s">
        <v>535</v>
      </c>
      <c r="BA21" s="1" t="s">
        <v>612</v>
      </c>
      <c r="BB21" s="1" t="s">
        <v>259</v>
      </c>
      <c r="BK21" s="1" t="s">
        <v>597</v>
      </c>
    </row>
    <row r="22" spans="2:63" ht="153" customHeight="1">
      <c r="B22" s="1">
        <v>1151000</v>
      </c>
      <c r="C22" s="2">
        <v>43382</v>
      </c>
      <c r="E22" s="1" t="s">
        <v>164</v>
      </c>
      <c r="F22" s="1" t="b">
        <v>1</v>
      </c>
      <c r="S22" s="1" t="s">
        <v>482</v>
      </c>
      <c r="T22" s="1" t="s">
        <v>482</v>
      </c>
      <c r="U22" s="1" t="s">
        <v>482</v>
      </c>
      <c r="V22" s="1" t="s">
        <v>482</v>
      </c>
      <c r="AB22" s="1" t="b">
        <v>1</v>
      </c>
      <c r="AC22" s="1" t="b">
        <v>0</v>
      </c>
      <c r="AD22" s="1" t="s">
        <v>506</v>
      </c>
      <c r="AE22" s="1" t="s">
        <v>518</v>
      </c>
      <c r="AF22" s="1" t="s">
        <v>504</v>
      </c>
      <c r="AG22" s="1" t="s">
        <v>520</v>
      </c>
      <c r="BA22" s="1" t="s">
        <v>259</v>
      </c>
      <c r="BB22" s="1" t="s">
        <v>259</v>
      </c>
      <c r="BK22" s="1" t="s">
        <v>597</v>
      </c>
    </row>
    <row r="23" spans="2:63" ht="135.94999999999999" customHeight="1">
      <c r="B23" s="1">
        <v>1151000</v>
      </c>
      <c r="C23" s="2">
        <v>43430</v>
      </c>
      <c r="E23" s="1" t="s">
        <v>165</v>
      </c>
      <c r="F23" s="1" t="b">
        <v>1</v>
      </c>
      <c r="AB23" s="1" t="b">
        <v>1</v>
      </c>
      <c r="AC23" s="1" t="b">
        <v>0</v>
      </c>
      <c r="AD23" s="1" t="s">
        <v>504</v>
      </c>
      <c r="AE23" s="1" t="s">
        <v>518</v>
      </c>
      <c r="AF23" s="1" t="s">
        <v>504</v>
      </c>
      <c r="AG23" s="1" t="s">
        <v>520</v>
      </c>
      <c r="AH23" s="1" t="s">
        <v>530</v>
      </c>
      <c r="BA23" s="1" t="s">
        <v>259</v>
      </c>
      <c r="BB23" s="1" t="s">
        <v>259</v>
      </c>
    </row>
    <row r="24" spans="2:63" ht="153" customHeight="1">
      <c r="B24" s="1">
        <v>1151000</v>
      </c>
      <c r="C24" s="2">
        <v>43455</v>
      </c>
      <c r="E24" s="1" t="s">
        <v>166</v>
      </c>
      <c r="F24" s="1" t="b">
        <v>1</v>
      </c>
      <c r="AB24" s="1" t="b">
        <v>1</v>
      </c>
      <c r="AC24" s="1" t="b">
        <v>1</v>
      </c>
      <c r="AD24" s="1" t="s">
        <v>507</v>
      </c>
      <c r="AE24" s="1" t="s">
        <v>520</v>
      </c>
      <c r="AF24" s="1" t="s">
        <v>607</v>
      </c>
      <c r="AG24" s="1" t="s">
        <v>520</v>
      </c>
      <c r="AH24" s="1" t="s">
        <v>530</v>
      </c>
    </row>
    <row r="25" spans="2:63" ht="135.94999999999999" customHeight="1">
      <c r="B25" s="1">
        <v>1151000</v>
      </c>
      <c r="C25" s="2">
        <v>43511</v>
      </c>
      <c r="E25" s="1" t="s">
        <v>167</v>
      </c>
      <c r="F25" s="1" t="b">
        <v>1</v>
      </c>
      <c r="AB25" s="1" t="b">
        <v>0</v>
      </c>
      <c r="AC25" s="1" t="b">
        <v>0</v>
      </c>
      <c r="AD25" s="1" t="s">
        <v>507</v>
      </c>
      <c r="AE25" s="35" t="s">
        <v>608</v>
      </c>
      <c r="AF25" s="1" t="s">
        <v>607</v>
      </c>
      <c r="AG25" s="1" t="s">
        <v>520</v>
      </c>
      <c r="AH25" s="34"/>
      <c r="BA25" s="34"/>
      <c r="BB25" s="34"/>
    </row>
    <row r="26" spans="2:63" ht="135.94999999999999" customHeight="1">
      <c r="B26" s="1">
        <v>1151000</v>
      </c>
      <c r="C26" s="2">
        <v>43567</v>
      </c>
      <c r="E26" s="1" t="s">
        <v>168</v>
      </c>
      <c r="F26" s="1" t="b">
        <v>1</v>
      </c>
      <c r="AB26" s="1" t="b">
        <v>1</v>
      </c>
      <c r="AC26" s="1" t="b">
        <v>0</v>
      </c>
      <c r="AD26" s="1" t="s">
        <v>506</v>
      </c>
      <c r="AE26" s="1" t="s">
        <v>520</v>
      </c>
      <c r="AF26" s="1" t="s">
        <v>607</v>
      </c>
      <c r="AG26" s="1" t="s">
        <v>520</v>
      </c>
    </row>
    <row r="27" spans="2:63" ht="17.100000000000001" customHeight="1">
      <c r="B27" s="1">
        <v>1151000</v>
      </c>
      <c r="C27" s="2">
        <v>43574</v>
      </c>
      <c r="E27" s="1" t="s">
        <v>169</v>
      </c>
      <c r="F27" s="1" t="b">
        <v>1</v>
      </c>
    </row>
    <row r="28" spans="2:63" ht="119.1" customHeight="1">
      <c r="B28" s="1">
        <v>1151000</v>
      </c>
      <c r="C28" s="2">
        <v>43609</v>
      </c>
      <c r="E28" s="1" t="s">
        <v>170</v>
      </c>
      <c r="F28" s="1" t="b">
        <v>1</v>
      </c>
      <c r="AB28" s="1" t="b">
        <v>1</v>
      </c>
      <c r="AC28" s="1" t="b">
        <v>1</v>
      </c>
      <c r="AD28" s="1" t="s">
        <v>506</v>
      </c>
      <c r="AE28" s="1" t="s">
        <v>518</v>
      </c>
      <c r="AF28" s="1" t="s">
        <v>609</v>
      </c>
      <c r="AG28" s="1" t="s">
        <v>518</v>
      </c>
    </row>
    <row r="29" spans="2:63" ht="119.1" customHeight="1">
      <c r="B29" s="1">
        <v>1151000</v>
      </c>
      <c r="C29" s="2">
        <v>43637</v>
      </c>
      <c r="E29" s="1" t="s">
        <v>171</v>
      </c>
      <c r="F29" s="1" t="b">
        <v>1</v>
      </c>
      <c r="AB29" s="1" t="b">
        <v>1</v>
      </c>
      <c r="AC29" s="1" t="b">
        <v>1</v>
      </c>
      <c r="AD29" s="1" t="s">
        <v>506</v>
      </c>
      <c r="AE29" s="1" t="s">
        <v>520</v>
      </c>
      <c r="AF29" s="1" t="s">
        <v>507</v>
      </c>
      <c r="AG29" s="1" t="s">
        <v>520</v>
      </c>
    </row>
    <row r="30" spans="2:63" ht="51" customHeight="1">
      <c r="B30" s="1">
        <v>1151000</v>
      </c>
      <c r="C30" s="2">
        <v>43642</v>
      </c>
      <c r="E30" s="1" t="s">
        <v>172</v>
      </c>
      <c r="F30" s="1" t="b">
        <v>1</v>
      </c>
      <c r="BD30" s="1" t="b">
        <v>1</v>
      </c>
      <c r="BE30" s="1" t="s">
        <v>523</v>
      </c>
    </row>
    <row r="31" spans="2:63" ht="135.94999999999999" customHeight="1">
      <c r="B31" s="1">
        <v>1151000</v>
      </c>
      <c r="C31" s="2">
        <v>43665</v>
      </c>
      <c r="E31" s="1" t="s">
        <v>173</v>
      </c>
      <c r="F31" s="1" t="b">
        <v>1</v>
      </c>
      <c r="AB31" s="1" t="b">
        <v>0</v>
      </c>
      <c r="AC31" s="1" t="b">
        <v>0</v>
      </c>
      <c r="AD31" s="1" t="s">
        <v>506</v>
      </c>
      <c r="AE31" s="1" t="s">
        <v>520</v>
      </c>
      <c r="AF31" s="1" t="s">
        <v>507</v>
      </c>
      <c r="AG31" s="1" t="s">
        <v>520</v>
      </c>
      <c r="AH31" s="1" t="s">
        <v>530</v>
      </c>
    </row>
    <row r="32" spans="2:63" ht="119.1" customHeight="1">
      <c r="B32" s="1">
        <v>1151000</v>
      </c>
      <c r="C32" s="2">
        <v>43686</v>
      </c>
      <c r="E32" s="1" t="s">
        <v>174</v>
      </c>
      <c r="F32" s="1" t="b">
        <v>1</v>
      </c>
      <c r="AB32" s="1" t="b">
        <v>1</v>
      </c>
      <c r="AC32" s="1" t="b">
        <v>1</v>
      </c>
      <c r="AD32" s="1" t="s">
        <v>506</v>
      </c>
      <c r="AE32" s="1" t="s">
        <v>518</v>
      </c>
      <c r="AF32" s="1" t="s">
        <v>506</v>
      </c>
      <c r="AG32" s="1" t="s">
        <v>518</v>
      </c>
    </row>
    <row r="33" spans="2:65" ht="17.100000000000001" customHeight="1">
      <c r="B33" s="1">
        <v>1151000</v>
      </c>
      <c r="C33" s="2">
        <v>43707</v>
      </c>
      <c r="E33" s="1" t="s">
        <v>175</v>
      </c>
      <c r="F33" s="1" t="b">
        <v>1</v>
      </c>
    </row>
    <row r="34" spans="2:65" ht="135.94999999999999" customHeight="1">
      <c r="B34" s="1">
        <v>1151000</v>
      </c>
      <c r="C34" s="2">
        <v>43718</v>
      </c>
      <c r="E34" s="1" t="s">
        <v>176</v>
      </c>
      <c r="F34" s="1" t="b">
        <v>1</v>
      </c>
      <c r="AB34" s="1" t="b">
        <v>0</v>
      </c>
      <c r="AC34" s="1" t="b">
        <v>0</v>
      </c>
      <c r="AD34" s="1" t="s">
        <v>506</v>
      </c>
      <c r="AE34" s="1" t="s">
        <v>518</v>
      </c>
      <c r="AF34" s="1" t="s">
        <v>506</v>
      </c>
      <c r="AG34" s="1" t="s">
        <v>518</v>
      </c>
      <c r="AM34" s="1" t="s">
        <v>569</v>
      </c>
    </row>
    <row r="35" spans="2:65" ht="255" customHeight="1">
      <c r="B35" s="1">
        <v>1151000</v>
      </c>
      <c r="C35" s="2">
        <v>43756</v>
      </c>
      <c r="E35" s="1" t="s">
        <v>177</v>
      </c>
      <c r="F35" s="1" t="b">
        <v>1</v>
      </c>
      <c r="O35" s="1" t="b">
        <v>1</v>
      </c>
      <c r="S35" s="1" t="s">
        <v>482</v>
      </c>
      <c r="T35" s="1" t="s">
        <v>482</v>
      </c>
      <c r="U35" s="1" t="s">
        <v>482</v>
      </c>
      <c r="V35" s="1" t="s">
        <v>482</v>
      </c>
      <c r="AB35" s="1" t="b">
        <v>1</v>
      </c>
      <c r="AC35" s="1" t="b">
        <v>1</v>
      </c>
      <c r="AD35" s="1" t="s">
        <v>506</v>
      </c>
      <c r="AE35" s="1" t="s">
        <v>520</v>
      </c>
      <c r="AF35" s="1" t="s">
        <v>506</v>
      </c>
      <c r="AG35" s="1" t="s">
        <v>518</v>
      </c>
      <c r="AH35" t="s">
        <v>610</v>
      </c>
      <c r="AM35" s="1" t="s">
        <v>569</v>
      </c>
      <c r="BA35" s="34"/>
      <c r="BB35" s="34"/>
    </row>
    <row r="36" spans="2:65" ht="255" customHeight="1">
      <c r="B36" s="1">
        <v>1151000</v>
      </c>
      <c r="C36" s="2">
        <v>43811</v>
      </c>
      <c r="E36" s="1" t="s">
        <v>178</v>
      </c>
      <c r="F36" s="1" t="b">
        <v>1</v>
      </c>
      <c r="S36" s="1" t="s">
        <v>482</v>
      </c>
      <c r="T36" s="1" t="s">
        <v>482</v>
      </c>
      <c r="U36" s="1" t="s">
        <v>482</v>
      </c>
      <c r="V36" s="1" t="s">
        <v>482</v>
      </c>
      <c r="W36" s="1">
        <v>2</v>
      </c>
      <c r="X36" s="1">
        <v>2</v>
      </c>
      <c r="AB36" s="1" t="b">
        <v>1</v>
      </c>
      <c r="AC36" s="1" t="b">
        <v>1</v>
      </c>
      <c r="AD36" s="1" t="s">
        <v>507</v>
      </c>
      <c r="AE36" s="1" t="s">
        <v>520</v>
      </c>
      <c r="AF36" s="1" t="s">
        <v>504</v>
      </c>
      <c r="AG36" s="1" t="s">
        <v>518</v>
      </c>
      <c r="AI36" s="1" t="s">
        <v>540</v>
      </c>
      <c r="AJ36" s="1" t="s">
        <v>565</v>
      </c>
      <c r="AK36" s="1" t="s">
        <v>540</v>
      </c>
      <c r="AL36" s="1" t="s">
        <v>565</v>
      </c>
      <c r="BA36" s="1" t="s">
        <v>583</v>
      </c>
      <c r="BF36" s="1" t="b">
        <v>1</v>
      </c>
      <c r="BH36" s="1" t="b">
        <v>1</v>
      </c>
    </row>
    <row r="37" spans="2:65" ht="221.1" customHeight="1">
      <c r="B37" s="1">
        <v>1151000</v>
      </c>
      <c r="C37" s="2">
        <v>43860</v>
      </c>
      <c r="E37" s="1" t="s">
        <v>179</v>
      </c>
      <c r="F37" s="1" t="b">
        <v>1</v>
      </c>
      <c r="S37" s="1" t="s">
        <v>482</v>
      </c>
      <c r="T37" s="1" t="s">
        <v>483</v>
      </c>
      <c r="U37" s="1" t="s">
        <v>482</v>
      </c>
      <c r="V37" s="1" t="s">
        <v>483</v>
      </c>
      <c r="W37" s="1">
        <v>2</v>
      </c>
      <c r="X37" s="1">
        <v>4</v>
      </c>
      <c r="AB37" s="1" t="b">
        <v>0</v>
      </c>
      <c r="AC37" s="1" t="b">
        <v>1</v>
      </c>
      <c r="AD37" s="1" t="s">
        <v>507</v>
      </c>
      <c r="AE37" s="1" t="s">
        <v>520</v>
      </c>
      <c r="AF37" s="1" t="s">
        <v>607</v>
      </c>
      <c r="AG37" s="1" t="s">
        <v>520</v>
      </c>
      <c r="AH37" s="1" t="s">
        <v>530</v>
      </c>
      <c r="AI37" s="1" t="s">
        <v>540</v>
      </c>
      <c r="AJ37" s="1" t="s">
        <v>565</v>
      </c>
      <c r="AK37" s="1" t="s">
        <v>540</v>
      </c>
      <c r="AL37" s="1" t="s">
        <v>565</v>
      </c>
      <c r="BA37" s="1" t="s">
        <v>583</v>
      </c>
      <c r="BH37" s="1" t="b">
        <v>1</v>
      </c>
    </row>
    <row r="38" spans="2:65" ht="204" customHeight="1">
      <c r="B38" s="1">
        <v>1151000</v>
      </c>
      <c r="C38" s="2">
        <v>43900</v>
      </c>
      <c r="E38" s="1" t="s">
        <v>180</v>
      </c>
      <c r="F38" s="1" t="b">
        <v>1</v>
      </c>
      <c r="S38" s="1" t="s">
        <v>482</v>
      </c>
      <c r="T38" s="1" t="s">
        <v>483</v>
      </c>
      <c r="U38" s="1" t="s">
        <v>482</v>
      </c>
      <c r="V38" s="1" t="s">
        <v>483</v>
      </c>
      <c r="W38" s="1">
        <v>3</v>
      </c>
      <c r="X38" s="1">
        <v>3</v>
      </c>
      <c r="AB38" s="1" t="b">
        <v>0</v>
      </c>
      <c r="AC38" s="1" t="b">
        <v>0</v>
      </c>
      <c r="AD38" s="1" t="s">
        <v>507</v>
      </c>
      <c r="AE38" s="1" t="s">
        <v>520</v>
      </c>
      <c r="AF38" s="1" t="s">
        <v>607</v>
      </c>
      <c r="AG38" s="1" t="s">
        <v>520</v>
      </c>
      <c r="AH38" s="1" t="s">
        <v>530</v>
      </c>
      <c r="AI38" s="1" t="s">
        <v>540</v>
      </c>
      <c r="AJ38" s="1" t="s">
        <v>565</v>
      </c>
      <c r="AK38" s="1" t="s">
        <v>540</v>
      </c>
      <c r="AL38" s="1" t="s">
        <v>565</v>
      </c>
      <c r="BA38" s="1" t="s">
        <v>613</v>
      </c>
      <c r="BB38" s="1" t="s">
        <v>614</v>
      </c>
    </row>
    <row r="39" spans="2:65" ht="119.1" customHeight="1">
      <c r="B39" s="1">
        <v>1151000</v>
      </c>
      <c r="C39" s="2">
        <v>43990</v>
      </c>
      <c r="E39" s="1" t="s">
        <v>181</v>
      </c>
      <c r="F39" s="1" t="b">
        <v>1</v>
      </c>
      <c r="BB39" s="1" t="s">
        <v>614</v>
      </c>
    </row>
    <row r="40" spans="2:65" ht="237.95" customHeight="1">
      <c r="B40" s="1">
        <v>1151000</v>
      </c>
      <c r="C40" s="2">
        <v>44005</v>
      </c>
      <c r="E40" s="1" t="s">
        <v>182</v>
      </c>
      <c r="F40" s="1" t="b">
        <v>1</v>
      </c>
      <c r="S40" s="1" t="s">
        <v>482</v>
      </c>
      <c r="T40" s="1" t="s">
        <v>483</v>
      </c>
      <c r="U40" s="1" t="s">
        <v>482</v>
      </c>
      <c r="V40" s="1" t="s">
        <v>483</v>
      </c>
      <c r="W40" s="1">
        <v>3</v>
      </c>
      <c r="X40" s="1">
        <v>3</v>
      </c>
      <c r="AB40" s="1" t="b">
        <v>0</v>
      </c>
      <c r="AC40" s="1" t="b">
        <v>0</v>
      </c>
      <c r="AD40" s="1" t="s">
        <v>507</v>
      </c>
      <c r="AE40" s="1" t="s">
        <v>520</v>
      </c>
      <c r="AF40" s="1" t="s">
        <v>607</v>
      </c>
      <c r="AG40" s="1" t="s">
        <v>520</v>
      </c>
      <c r="AH40" s="1" t="s">
        <v>530</v>
      </c>
      <c r="AI40" s="1" t="s">
        <v>540</v>
      </c>
      <c r="AJ40" s="1" t="s">
        <v>561</v>
      </c>
      <c r="AK40" s="1" t="s">
        <v>540</v>
      </c>
      <c r="AL40" s="1" t="s">
        <v>561</v>
      </c>
      <c r="BA40" s="1" t="s">
        <v>259</v>
      </c>
      <c r="BB40" s="1" t="s">
        <v>614</v>
      </c>
      <c r="BH40" s="1" t="b">
        <v>1</v>
      </c>
    </row>
    <row r="41" spans="2:65" ht="17.100000000000001" customHeight="1">
      <c r="B41" s="1">
        <v>1151000</v>
      </c>
      <c r="C41" s="2">
        <v>44022</v>
      </c>
      <c r="E41" s="1" t="s">
        <v>183</v>
      </c>
      <c r="F41" s="1" t="b">
        <v>1</v>
      </c>
      <c r="BB41" s="1" t="s">
        <v>614</v>
      </c>
    </row>
    <row r="42" spans="2:65" ht="51" customHeight="1">
      <c r="B42" s="1">
        <v>1151000</v>
      </c>
      <c r="C42" s="2">
        <v>44028</v>
      </c>
      <c r="E42" s="1" t="s">
        <v>184</v>
      </c>
      <c r="F42" s="1" t="b">
        <v>1</v>
      </c>
      <c r="S42" s="34"/>
      <c r="T42" s="34"/>
      <c r="U42" s="34"/>
      <c r="V42" s="34"/>
      <c r="W42" s="34"/>
      <c r="X42" s="34"/>
      <c r="AB42" s="34"/>
      <c r="AC42" s="34"/>
      <c r="AD42" s="34"/>
      <c r="AE42" s="34"/>
      <c r="AF42" s="34"/>
      <c r="AG42" s="34"/>
      <c r="AH42" s="34"/>
      <c r="AI42" s="1" t="s">
        <v>540</v>
      </c>
      <c r="AJ42" t="s">
        <v>611</v>
      </c>
      <c r="AK42" s="1" t="s">
        <v>540</v>
      </c>
      <c r="AL42" t="s">
        <v>611</v>
      </c>
      <c r="BA42" s="34"/>
      <c r="BB42" s="34"/>
      <c r="BH42" s="34"/>
    </row>
    <row r="43" spans="2:65" ht="204" customHeight="1">
      <c r="B43" s="1">
        <v>1151000</v>
      </c>
      <c r="C43" s="2">
        <v>44043</v>
      </c>
      <c r="E43" s="1" t="s">
        <v>185</v>
      </c>
      <c r="F43" s="1" t="b">
        <v>1</v>
      </c>
      <c r="S43" s="1" t="s">
        <v>482</v>
      </c>
      <c r="T43" s="1" t="s">
        <v>483</v>
      </c>
      <c r="U43" s="1" t="s">
        <v>482</v>
      </c>
      <c r="V43" s="1" t="s">
        <v>483</v>
      </c>
      <c r="W43" s="1">
        <v>3</v>
      </c>
      <c r="X43" s="1">
        <v>3</v>
      </c>
      <c r="AB43" s="1" t="b">
        <v>0</v>
      </c>
      <c r="AC43" s="1" t="b">
        <v>0</v>
      </c>
      <c r="AD43" s="1" t="s">
        <v>507</v>
      </c>
      <c r="AE43" s="1" t="s">
        <v>520</v>
      </c>
      <c r="AF43" s="1" t="s">
        <v>607</v>
      </c>
      <c r="AG43" s="1" t="s">
        <v>520</v>
      </c>
      <c r="AH43" s="1" t="s">
        <v>530</v>
      </c>
      <c r="AI43" s="1" t="s">
        <v>540</v>
      </c>
      <c r="AJ43" s="1" t="s">
        <v>561</v>
      </c>
      <c r="AK43" s="1" t="s">
        <v>540</v>
      </c>
      <c r="AL43" s="1" t="s">
        <v>561</v>
      </c>
      <c r="BA43" s="1" t="s">
        <v>259</v>
      </c>
      <c r="BB43" s="1" t="s">
        <v>259</v>
      </c>
      <c r="BH43" s="1" t="b">
        <v>1</v>
      </c>
    </row>
    <row r="44" spans="2:65" ht="204" customHeight="1">
      <c r="B44" s="1">
        <v>1151000</v>
      </c>
      <c r="C44" s="2">
        <v>44056</v>
      </c>
      <c r="E44" s="1" t="s">
        <v>186</v>
      </c>
      <c r="F44" s="1" t="b">
        <v>1</v>
      </c>
      <c r="S44" s="1" t="s">
        <v>482</v>
      </c>
      <c r="T44" s="1" t="s">
        <v>483</v>
      </c>
      <c r="U44" s="1" t="s">
        <v>482</v>
      </c>
      <c r="V44" s="1" t="s">
        <v>483</v>
      </c>
      <c r="W44" s="1">
        <v>3</v>
      </c>
      <c r="X44" s="1">
        <v>3</v>
      </c>
      <c r="AB44" s="1" t="b">
        <v>0</v>
      </c>
      <c r="AC44" s="1" t="b">
        <v>0</v>
      </c>
      <c r="AD44" s="1" t="s">
        <v>507</v>
      </c>
      <c r="AE44" s="1" t="s">
        <v>520</v>
      </c>
      <c r="AF44" s="1" t="s">
        <v>607</v>
      </c>
      <c r="AG44" s="1" t="s">
        <v>520</v>
      </c>
      <c r="AH44" s="1" t="s">
        <v>530</v>
      </c>
      <c r="AI44" s="1" t="s">
        <v>540</v>
      </c>
      <c r="AJ44" s="1" t="s">
        <v>561</v>
      </c>
      <c r="AK44" s="1" t="s">
        <v>540</v>
      </c>
      <c r="AL44" s="1" t="s">
        <v>561</v>
      </c>
      <c r="BA44" s="1" t="s">
        <v>259</v>
      </c>
      <c r="BB44" s="1" t="s">
        <v>259</v>
      </c>
      <c r="BH44" s="1" t="b">
        <v>1</v>
      </c>
    </row>
    <row r="45" spans="2:65" ht="272.10000000000002" customHeight="1">
      <c r="B45" s="1">
        <v>1151000</v>
      </c>
      <c r="C45" s="2">
        <v>44071</v>
      </c>
      <c r="E45" s="1" t="s">
        <v>187</v>
      </c>
      <c r="F45" s="1" t="b">
        <v>1</v>
      </c>
      <c r="S45" s="1" t="s">
        <v>482</v>
      </c>
      <c r="T45" s="1" t="s">
        <v>483</v>
      </c>
      <c r="U45" s="1" t="s">
        <v>482</v>
      </c>
      <c r="V45" s="1" t="s">
        <v>483</v>
      </c>
      <c r="W45" s="1">
        <v>3</v>
      </c>
      <c r="X45" s="1">
        <v>3</v>
      </c>
      <c r="AB45" s="1" t="b">
        <v>0</v>
      </c>
      <c r="AC45" s="1" t="b">
        <v>0</v>
      </c>
      <c r="AD45" s="1" t="s">
        <v>507</v>
      </c>
      <c r="AE45" s="1" t="s">
        <v>520</v>
      </c>
      <c r="AF45" s="1" t="s">
        <v>607</v>
      </c>
      <c r="AG45" s="1" t="s">
        <v>520</v>
      </c>
      <c r="AH45" s="1" t="s">
        <v>530</v>
      </c>
      <c r="AI45" s="1" t="s">
        <v>540</v>
      </c>
      <c r="AJ45" s="1" t="s">
        <v>561</v>
      </c>
      <c r="AK45" s="1" t="s">
        <v>540</v>
      </c>
      <c r="AL45" s="1" t="s">
        <v>561</v>
      </c>
      <c r="BA45" s="1" t="s">
        <v>259</v>
      </c>
      <c r="BB45" s="1" t="s">
        <v>259</v>
      </c>
      <c r="BH45" s="1" t="b">
        <v>1</v>
      </c>
    </row>
    <row r="46" spans="2:65" ht="272.10000000000002" customHeight="1">
      <c r="B46" s="1">
        <v>1151000</v>
      </c>
      <c r="C46" s="2">
        <v>44084</v>
      </c>
      <c r="E46" s="1" t="s">
        <v>188</v>
      </c>
      <c r="F46" s="1" t="b">
        <v>1</v>
      </c>
      <c r="S46" s="1" t="s">
        <v>482</v>
      </c>
      <c r="T46" s="1" t="s">
        <v>483</v>
      </c>
      <c r="U46" s="1" t="s">
        <v>482</v>
      </c>
      <c r="V46" s="1" t="s">
        <v>483</v>
      </c>
      <c r="W46" s="1">
        <v>3</v>
      </c>
      <c r="X46" s="1">
        <v>3</v>
      </c>
      <c r="AB46" s="1" t="b">
        <v>0</v>
      </c>
      <c r="AC46" s="1" t="b">
        <v>0</v>
      </c>
      <c r="AD46" s="1" t="s">
        <v>507</v>
      </c>
      <c r="AE46" s="1" t="s">
        <v>520</v>
      </c>
      <c r="AF46" s="1" t="s">
        <v>607</v>
      </c>
      <c r="AG46" s="1" t="s">
        <v>520</v>
      </c>
      <c r="AH46" s="1" t="s">
        <v>530</v>
      </c>
      <c r="AI46" s="1" t="s">
        <v>540</v>
      </c>
      <c r="AJ46" s="1" t="s">
        <v>561</v>
      </c>
      <c r="AK46" s="1" t="s">
        <v>540</v>
      </c>
      <c r="AL46" s="1" t="s">
        <v>561</v>
      </c>
      <c r="BA46" s="1" t="s">
        <v>259</v>
      </c>
      <c r="BB46" s="1" t="s">
        <v>259</v>
      </c>
      <c r="BH46" s="1" t="b">
        <v>1</v>
      </c>
    </row>
    <row r="47" spans="2:65" ht="68.099999999999994" customHeight="1">
      <c r="B47" s="1">
        <v>1151000</v>
      </c>
      <c r="C47" s="2">
        <v>44113</v>
      </c>
      <c r="E47" s="1" t="s">
        <v>189</v>
      </c>
      <c r="F47" s="1" t="b">
        <v>1</v>
      </c>
      <c r="AH47" s="1" t="s">
        <v>530</v>
      </c>
    </row>
    <row r="48" spans="2:65" ht="237.95" customHeight="1">
      <c r="B48" s="1">
        <v>1151000</v>
      </c>
      <c r="C48" s="2">
        <v>44132</v>
      </c>
      <c r="E48" s="1" t="s">
        <v>190</v>
      </c>
      <c r="F48" s="1" t="b">
        <v>1</v>
      </c>
      <c r="G48" s="1" t="b">
        <v>1</v>
      </c>
      <c r="BA48" s="1" t="s">
        <v>583</v>
      </c>
      <c r="BB48" s="1" t="s">
        <v>613</v>
      </c>
      <c r="BL48" s="1" t="b">
        <v>1</v>
      </c>
      <c r="BM48" s="1" t="b">
        <v>1</v>
      </c>
    </row>
    <row r="49" spans="2:67" ht="170.1" customHeight="1">
      <c r="B49" s="1">
        <v>1151000</v>
      </c>
      <c r="C49" s="2">
        <v>44139</v>
      </c>
      <c r="E49" s="1" t="s">
        <v>191</v>
      </c>
      <c r="F49" s="1" t="b">
        <v>1</v>
      </c>
      <c r="BA49" s="1" t="s">
        <v>583</v>
      </c>
      <c r="BG49" s="1" t="s">
        <v>592</v>
      </c>
      <c r="BO49" s="1" t="b">
        <v>1</v>
      </c>
    </row>
    <row r="50" spans="2:67" ht="135.94999999999999" customHeight="1">
      <c r="B50" s="1">
        <v>1151000</v>
      </c>
      <c r="C50" s="2">
        <v>44182</v>
      </c>
      <c r="E50" s="1" t="s">
        <v>192</v>
      </c>
      <c r="F50" s="1" t="b">
        <v>1</v>
      </c>
      <c r="BA50" s="1" t="s">
        <v>583</v>
      </c>
      <c r="BB50" s="1" t="s">
        <v>613</v>
      </c>
      <c r="BN50" s="1" t="b">
        <v>1</v>
      </c>
    </row>
    <row r="51" spans="2:67" ht="288.95" customHeight="1">
      <c r="B51" s="1">
        <v>1151000</v>
      </c>
      <c r="C51" s="2">
        <v>44229</v>
      </c>
      <c r="E51" s="1" t="s">
        <v>193</v>
      </c>
      <c r="F51" s="1" t="b">
        <v>1</v>
      </c>
      <c r="BA51" s="1" t="s">
        <v>583</v>
      </c>
      <c r="BB51" s="1" t="s">
        <v>583</v>
      </c>
      <c r="BN51" s="1" t="b">
        <v>1</v>
      </c>
      <c r="BO51" s="1" t="b">
        <v>1</v>
      </c>
    </row>
    <row r="52" spans="2:67" ht="221.1" customHeight="1">
      <c r="B52" s="1">
        <v>1151000</v>
      </c>
      <c r="C52" s="2">
        <v>44358</v>
      </c>
      <c r="E52" s="1" t="s">
        <v>194</v>
      </c>
      <c r="F52" s="1" t="b">
        <v>1</v>
      </c>
      <c r="BA52" s="1" t="s">
        <v>583</v>
      </c>
      <c r="BB52" s="1" t="s">
        <v>583</v>
      </c>
      <c r="BN52" s="1" t="b">
        <v>1</v>
      </c>
      <c r="BO52" s="1" t="b">
        <v>1</v>
      </c>
    </row>
    <row r="53" spans="2:67" ht="102" customHeight="1">
      <c r="B53" s="1">
        <v>1151000</v>
      </c>
      <c r="C53" s="2">
        <v>44363</v>
      </c>
      <c r="E53" s="1" t="s">
        <v>195</v>
      </c>
      <c r="F53" s="1" t="b">
        <v>1</v>
      </c>
      <c r="BG53" s="1" t="s">
        <v>592</v>
      </c>
    </row>
  </sheetData>
  <dataValidations count="1">
    <dataValidation allowBlank="1" showInputMessage="1" showErrorMessage="1" sqref="W10:X10 W36:X38 W40:X46" xr:uid="{579782B9-EF99-024F-A931-E9236EFD2D04}"/>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60">
        <x14:dataValidation type="list" allowBlank="1" showInputMessage="1" showErrorMessage="1" xr:uid="{00000000-0002-0000-0200-000000000000}">
          <x14:formula1>
            <xm:f>list!$B$2:$C$2</xm:f>
          </x14:formula1>
          <xm:sqref>G2:G1048576</xm:sqref>
        </x14:dataValidation>
        <x14:dataValidation type="list" allowBlank="1" showInputMessage="1" showErrorMessage="1" xr:uid="{00000000-0002-0000-0200-000001000000}">
          <x14:formula1>
            <xm:f>list!$B$6:$C$6</xm:f>
          </x14:formula1>
          <xm:sqref>H2:H1048576</xm:sqref>
        </x14:dataValidation>
        <x14:dataValidation type="list" allowBlank="1" showInputMessage="1" showErrorMessage="1" xr:uid="{00000000-0002-0000-0200-000002000000}">
          <x14:formula1>
            <xm:f>list!$B$7:$C$7</xm:f>
          </x14:formula1>
          <xm:sqref>I2:I1048576</xm:sqref>
        </x14:dataValidation>
        <x14:dataValidation type="list" allowBlank="1" showInputMessage="1" showErrorMessage="1" xr:uid="{00000000-0002-0000-0200-000003000000}">
          <x14:formula1>
            <xm:f>list!$B$8:$C$8</xm:f>
          </x14:formula1>
          <xm:sqref>J2:J1048576</xm:sqref>
        </x14:dataValidation>
        <x14:dataValidation type="list" allowBlank="1" showInputMessage="1" showErrorMessage="1" xr:uid="{00000000-0002-0000-0200-000004000000}">
          <x14:formula1>
            <xm:f>list!$B$9:$C$9</xm:f>
          </x14:formula1>
          <xm:sqref>K2:K1048576</xm:sqref>
        </x14:dataValidation>
        <x14:dataValidation type="list" allowBlank="1" showInputMessage="1" showErrorMessage="1" xr:uid="{00000000-0002-0000-0200-000005000000}">
          <x14:formula1>
            <xm:f>list!$B$33:$K$33</xm:f>
          </x14:formula1>
          <xm:sqref>L2:L1048576</xm:sqref>
        </x14:dataValidation>
        <x14:dataValidation type="list" allowBlank="1" showInputMessage="1" showErrorMessage="1" xr:uid="{00000000-0002-0000-0200-000006000000}">
          <x14:formula1>
            <xm:f>list!$B$10:$C$10</xm:f>
          </x14:formula1>
          <xm:sqref>M2:M1048576</xm:sqref>
        </x14:dataValidation>
        <x14:dataValidation type="list" allowBlank="1" showInputMessage="1" showErrorMessage="1" xr:uid="{00000000-0002-0000-0200-000007000000}">
          <x14:formula1>
            <xm:f>list!$B$12:$C$12</xm:f>
          </x14:formula1>
          <xm:sqref>N2:N1048576</xm:sqref>
        </x14:dataValidation>
        <x14:dataValidation type="list" allowBlank="1" showInputMessage="1" showErrorMessage="1" xr:uid="{00000000-0002-0000-0200-000008000000}">
          <x14:formula1>
            <xm:f>list!$B$13:$C$13</xm:f>
          </x14:formula1>
          <xm:sqref>O2:O1048576</xm:sqref>
        </x14:dataValidation>
        <x14:dataValidation type="list" allowBlank="1" showInputMessage="1" showErrorMessage="1" xr:uid="{00000000-0002-0000-0200-000009000000}">
          <x14:formula1>
            <xm:f>list!$B$15:$C$15</xm:f>
          </x14:formula1>
          <xm:sqref>P2:P1048576</xm:sqref>
        </x14:dataValidation>
        <x14:dataValidation type="list" allowBlank="1" showInputMessage="1" showErrorMessage="1" xr:uid="{00000000-0002-0000-0200-00000A000000}">
          <x14:formula1>
            <xm:f>list!$B$19:$D$19</xm:f>
          </x14:formula1>
          <xm:sqref>Q2:Q1048576</xm:sqref>
        </x14:dataValidation>
        <x14:dataValidation type="list" allowBlank="1" showInputMessage="1" showErrorMessage="1" xr:uid="{00000000-0002-0000-0200-00000B000000}">
          <x14:formula1>
            <xm:f>list!$B$20:$I$20</xm:f>
          </x14:formula1>
          <xm:sqref>R2:R1048576</xm:sqref>
        </x14:dataValidation>
        <x14:dataValidation type="list" allowBlank="1" showInputMessage="1" showErrorMessage="1" xr:uid="{00000000-0002-0000-0200-00000C000000}">
          <x14:formula1>
            <xm:f>list!$B$21:$M$21</xm:f>
          </x14:formula1>
          <xm:sqref>S2:S9 S23:S35 S39 S47:S1048576 T35:V35</xm:sqref>
        </x14:dataValidation>
        <x14:dataValidation type="list" allowBlank="1" showInputMessage="1" showErrorMessage="1" xr:uid="{00000000-0002-0000-0200-00000D000000}">
          <x14:formula1>
            <xm:f>list!$B$22:$M$22</xm:f>
          </x14:formula1>
          <xm:sqref>T2:T9 T47:T1048576 T39 T23:T34</xm:sqref>
        </x14:dataValidation>
        <x14:dataValidation type="list" allowBlank="1" showInputMessage="1" showErrorMessage="1" xr:uid="{00000000-0002-0000-0200-00000E000000}">
          <x14:formula1>
            <xm:f>list!$B$23:$M$23</xm:f>
          </x14:formula1>
          <xm:sqref>U2:U9 U47:U1048576 U39 U23:U34</xm:sqref>
        </x14:dataValidation>
        <x14:dataValidation type="list" allowBlank="1" showInputMessage="1" showErrorMessage="1" xr:uid="{00000000-0002-0000-0200-00000F000000}">
          <x14:formula1>
            <xm:f>list!$B$24:$M$24</xm:f>
          </x14:formula1>
          <xm:sqref>V2:V9 V47:V1048576 V39 V23:V34</xm:sqref>
        </x14:dataValidation>
        <x14:dataValidation type="list" allowBlank="1" showInputMessage="1" showErrorMessage="1" xr:uid="{00000000-0002-0000-0200-000010000000}">
          <x14:formula1>
            <xm:f>list!$B$25:$E$25</xm:f>
          </x14:formula1>
          <xm:sqref>W2:W9 W11:W35 W39 W47:W1048576</xm:sqref>
        </x14:dataValidation>
        <x14:dataValidation type="list" allowBlank="1" showInputMessage="1" showErrorMessage="1" xr:uid="{00000000-0002-0000-0200-000011000000}">
          <x14:formula1>
            <xm:f>list!$B$26:$E$26</xm:f>
          </x14:formula1>
          <xm:sqref>X2:X9 X11:X35 X39 X47:X1048576</xm:sqref>
        </x14:dataValidation>
        <x14:dataValidation type="list" allowBlank="1" showInputMessage="1" showErrorMessage="1" xr:uid="{00000000-0002-0000-0200-000012000000}">
          <x14:formula1>
            <xm:f>list!$B$29:$C$29</xm:f>
          </x14:formula1>
          <xm:sqref>Y2:Y1048576</xm:sqref>
        </x14:dataValidation>
        <x14:dataValidation type="list" allowBlank="1" showInputMessage="1" showErrorMessage="1" xr:uid="{00000000-0002-0000-0200-000013000000}">
          <x14:formula1>
            <xm:f>list!$B$27:$C$27</xm:f>
          </x14:formula1>
          <xm:sqref>Z2:Z1048576</xm:sqref>
        </x14:dataValidation>
        <x14:dataValidation type="list" allowBlank="1" showInputMessage="1" showErrorMessage="1" xr:uid="{00000000-0002-0000-0200-000014000000}">
          <x14:formula1>
            <xm:f>list!$B$32:$C$32</xm:f>
          </x14:formula1>
          <xm:sqref>AA2:AA1048576</xm:sqref>
        </x14:dataValidation>
        <x14:dataValidation type="list" allowBlank="1" showInputMessage="1" showErrorMessage="1" xr:uid="{00000000-0002-0000-0200-000015000000}">
          <x14:formula1>
            <xm:f>list!$B$34:$C$34</xm:f>
          </x14:formula1>
          <xm:sqref>AB2:AB9 AB48:AB1048576</xm:sqref>
        </x14:dataValidation>
        <x14:dataValidation type="list" allowBlank="1" showInputMessage="1" showErrorMessage="1" xr:uid="{00000000-0002-0000-0200-000016000000}">
          <x14:formula1>
            <xm:f>list!$B$35:$C$35</xm:f>
          </x14:formula1>
          <xm:sqref>AC2:AC5 AC7:AC9 AC48:AC1048576</xm:sqref>
        </x14:dataValidation>
        <x14:dataValidation type="list" allowBlank="1" showInputMessage="1" showErrorMessage="1" xr:uid="{00000000-0002-0000-0200-000017000000}">
          <x14:formula1>
            <xm:f>list!$B$36:$G$36</xm:f>
          </x14:formula1>
          <xm:sqref>AD2:AD5 AD7:AD9 AD48:AD1048576</xm:sqref>
        </x14:dataValidation>
        <x14:dataValidation type="list" allowBlank="1" showInputMessage="1" showErrorMessage="1" xr:uid="{00000000-0002-0000-0200-000018000000}">
          <x14:formula1>
            <xm:f>list!$B$37:$U$37</xm:f>
          </x14:formula1>
          <xm:sqref>AE2:AE5 AE7:AE9 AE48:AE1048576</xm:sqref>
        </x14:dataValidation>
        <x14:dataValidation type="list" allowBlank="1" showInputMessage="1" showErrorMessage="1" xr:uid="{00000000-0002-0000-0200-000019000000}">
          <x14:formula1>
            <xm:f>list!$B$38:$G$38</xm:f>
          </x14:formula1>
          <xm:sqref>AF2:AF4 AF7:AF9 AF48:AF1048576</xm:sqref>
        </x14:dataValidation>
        <x14:dataValidation type="list" allowBlank="1" showInputMessage="1" showErrorMessage="1" xr:uid="{00000000-0002-0000-0200-00001A000000}">
          <x14:formula1>
            <xm:f>list!$B$39:$U$39</xm:f>
          </x14:formula1>
          <xm:sqref>AG2:AG4 AG7:AG9 AG48:AG1048576</xm:sqref>
        </x14:dataValidation>
        <x14:dataValidation type="list" allowBlank="1" showInputMessage="1" showErrorMessage="1" xr:uid="{00000000-0002-0000-0200-00001B000000}">
          <x14:formula1>
            <xm:f>list!$B$40:$I$40</xm:f>
          </x14:formula1>
          <xm:sqref>AH2:AH5 AH7:AH9 AH48:AH1048576</xm:sqref>
        </x14:dataValidation>
        <x14:dataValidation type="list" allowBlank="1" showInputMessage="1" showErrorMessage="1" xr:uid="{00000000-0002-0000-0200-00001C000000}">
          <x14:formula1>
            <xm:f>list!$B$41:$H$41</xm:f>
          </x14:formula1>
          <xm:sqref>AI47:AI1048576 AI2:AI14 AI21:AI42</xm:sqref>
        </x14:dataValidation>
        <x14:dataValidation type="list" allowBlank="1" showInputMessage="1" showErrorMessage="1" xr:uid="{00000000-0002-0000-0200-00001D000000}">
          <x14:formula1>
            <xm:f>list!$B$42:$Z$42</xm:f>
          </x14:formula1>
          <xm:sqref>AJ47:AJ1048576 AJ41 AJ2:AJ14 AJ21:AJ35</xm:sqref>
        </x14:dataValidation>
        <x14:dataValidation type="list" allowBlank="1" showInputMessage="1" showErrorMessage="1" xr:uid="{00000000-0002-0000-0200-00001E000000}">
          <x14:formula1>
            <xm:f>list!$B$43:$H$43</xm:f>
          </x14:formula1>
          <xm:sqref>AK47:AK1048576 AK41:AK42 AK2:AK14 AK21:AK35</xm:sqref>
        </x14:dataValidation>
        <x14:dataValidation type="list" allowBlank="1" showInputMessage="1" showErrorMessage="1" xr:uid="{00000000-0002-0000-0200-00001F000000}">
          <x14:formula1>
            <xm:f>list!$B$44:$Z$44</xm:f>
          </x14:formula1>
          <xm:sqref>AL47:AL1048576 AL41 AL2:AL14 AL21:AL35</xm:sqref>
        </x14:dataValidation>
        <x14:dataValidation type="list" allowBlank="1" showInputMessage="1" showErrorMessage="1" xr:uid="{00000000-0002-0000-0200-000020000000}">
          <x14:formula1>
            <xm:f>list!$B$49:$Q$49</xm:f>
          </x14:formula1>
          <xm:sqref>AM2:AM1048576</xm:sqref>
        </x14:dataValidation>
        <x14:dataValidation type="list" allowBlank="1" showInputMessage="1" showErrorMessage="1" xr:uid="{00000000-0002-0000-0200-000021000000}">
          <x14:formula1>
            <xm:f>list!$B$50:$C$50</xm:f>
          </x14:formula1>
          <xm:sqref>AN2:AN1048576</xm:sqref>
        </x14:dataValidation>
        <x14:dataValidation type="list" allowBlank="1" showInputMessage="1" showErrorMessage="1" xr:uid="{00000000-0002-0000-0200-000022000000}">
          <x14:formula1>
            <xm:f>list!$B$51:$C$51</xm:f>
          </x14:formula1>
          <xm:sqref>AO2:AO1048576</xm:sqref>
        </x14:dataValidation>
        <x14:dataValidation type="list" allowBlank="1" showInputMessage="1" showErrorMessage="1" xr:uid="{00000000-0002-0000-0200-000023000000}">
          <x14:formula1>
            <xm:f>list!$B$52:$C$52</xm:f>
          </x14:formula1>
          <xm:sqref>AP2:AP1048576</xm:sqref>
        </x14:dataValidation>
        <x14:dataValidation type="list" allowBlank="1" showInputMessage="1" showErrorMessage="1" xr:uid="{00000000-0002-0000-0200-000024000000}">
          <x14:formula1>
            <xm:f>list!$B$53:$C$53</xm:f>
          </x14:formula1>
          <xm:sqref>AQ2:AQ1048576</xm:sqref>
        </x14:dataValidation>
        <x14:dataValidation type="list" allowBlank="1" showInputMessage="1" showErrorMessage="1" xr:uid="{00000000-0002-0000-0200-000025000000}">
          <x14:formula1>
            <xm:f>list!$B$54:$C$54</xm:f>
          </x14:formula1>
          <xm:sqref>AR2:AR1048576</xm:sqref>
        </x14:dataValidation>
        <x14:dataValidation type="list" allowBlank="1" showInputMessage="1" showErrorMessage="1" xr:uid="{00000000-0002-0000-0200-000026000000}">
          <x14:formula1>
            <xm:f>list!$B$55:$C$55</xm:f>
          </x14:formula1>
          <xm:sqref>AS2:AS1048576</xm:sqref>
        </x14:dataValidation>
        <x14:dataValidation type="list" allowBlank="1" showInputMessage="1" showErrorMessage="1" xr:uid="{00000000-0002-0000-0200-000027000000}">
          <x14:formula1>
            <xm:f>list!$B$56:$C$56</xm:f>
          </x14:formula1>
          <xm:sqref>AT2:AT1048576</xm:sqref>
        </x14:dataValidation>
        <x14:dataValidation type="list" allowBlank="1" showInputMessage="1" showErrorMessage="1" xr:uid="{00000000-0002-0000-0200-000028000000}">
          <x14:formula1>
            <xm:f>list!$B$57:$C$57</xm:f>
          </x14:formula1>
          <xm:sqref>AU2:AU1048576</xm:sqref>
        </x14:dataValidation>
        <x14:dataValidation type="list" allowBlank="1" showInputMessage="1" showErrorMessage="1" xr:uid="{00000000-0002-0000-0200-000029000000}">
          <x14:formula1>
            <xm:f>list!$B$58:$C$58</xm:f>
          </x14:formula1>
          <xm:sqref>AV2:AV1048576</xm:sqref>
        </x14:dataValidation>
        <x14:dataValidation type="list" allowBlank="1" showInputMessage="1" showErrorMessage="1" xr:uid="{00000000-0002-0000-0200-00002A000000}">
          <x14:formula1>
            <xm:f>list!$B$59:$C$59</xm:f>
          </x14:formula1>
          <xm:sqref>AW2:AW1048576</xm:sqref>
        </x14:dataValidation>
        <x14:dataValidation type="list" allowBlank="1" showInputMessage="1" showErrorMessage="1" xr:uid="{00000000-0002-0000-0200-00002B000000}">
          <x14:formula1>
            <xm:f>list!$B$60:$C$60</xm:f>
          </x14:formula1>
          <xm:sqref>AX2:AX1048576</xm:sqref>
        </x14:dataValidation>
        <x14:dataValidation type="list" allowBlank="1" showInputMessage="1" showErrorMessage="1" xr:uid="{00000000-0002-0000-0200-00002C000000}">
          <x14:formula1>
            <xm:f>list!$B$61:$C$61</xm:f>
          </x14:formula1>
          <xm:sqref>AY2:AY1048576</xm:sqref>
        </x14:dataValidation>
        <x14:dataValidation type="list" allowBlank="1" showInputMessage="1" showErrorMessage="1" xr:uid="{00000000-0002-0000-0200-00002D000000}">
          <x14:formula1>
            <xm:f>list!$B$63:$C$63</xm:f>
          </x14:formula1>
          <xm:sqref>AZ2:AZ1048576</xm:sqref>
        </x14:dataValidation>
        <x14:dataValidation type="list" allowBlank="1" showInputMessage="1" showErrorMessage="1" xr:uid="{00000000-0002-0000-0200-00002E000000}">
          <x14:formula1>
            <xm:f>list!$B$64:$E$64</xm:f>
          </x14:formula1>
          <xm:sqref>BA2:BA9 BA53:BA1048576</xm:sqref>
        </x14:dataValidation>
        <x14:dataValidation type="list" allowBlank="1" showInputMessage="1" showErrorMessage="1" xr:uid="{00000000-0002-0000-0200-00002F000000}">
          <x14:formula1>
            <xm:f>list!$B$65:$F$65</xm:f>
          </x14:formula1>
          <xm:sqref>BB2:BB9 BB53:BB1048576</xm:sqref>
        </x14:dataValidation>
        <x14:dataValidation type="list" allowBlank="1" showInputMessage="1" showErrorMessage="1" xr:uid="{00000000-0002-0000-0200-000030000000}">
          <x14:formula1>
            <xm:f>list!$B$66:$C$66</xm:f>
          </x14:formula1>
          <xm:sqref>BC2:BC1048576</xm:sqref>
        </x14:dataValidation>
        <x14:dataValidation type="list" allowBlank="1" showInputMessage="1" showErrorMessage="1" xr:uid="{00000000-0002-0000-0200-000031000000}">
          <x14:formula1>
            <xm:f>list!$B$67:$C$67</xm:f>
          </x14:formula1>
          <xm:sqref>BD2:BD1048576</xm:sqref>
        </x14:dataValidation>
        <x14:dataValidation type="list" allowBlank="1" showInputMessage="1" showErrorMessage="1" xr:uid="{00000000-0002-0000-0200-000032000000}">
          <x14:formula1>
            <xm:f>list!$B$68:$G$68</xm:f>
          </x14:formula1>
          <xm:sqref>BE2:BE1048576</xm:sqref>
        </x14:dataValidation>
        <x14:dataValidation type="list" allowBlank="1" showInputMessage="1" showErrorMessage="1" xr:uid="{00000000-0002-0000-0200-000033000000}">
          <x14:formula1>
            <xm:f>list!$B$69:$C$69</xm:f>
          </x14:formula1>
          <xm:sqref>BF2:BF1048576</xm:sqref>
        </x14:dataValidation>
        <x14:dataValidation type="list" allowBlank="1" showInputMessage="1" showErrorMessage="1" xr:uid="{00000000-0002-0000-0200-000034000000}">
          <x14:formula1>
            <xm:f>list!$B$70:$G$70</xm:f>
          </x14:formula1>
          <xm:sqref>BG2:BG1048576</xm:sqref>
        </x14:dataValidation>
        <x14:dataValidation type="list" allowBlank="1" showInputMessage="1" showErrorMessage="1" xr:uid="{00000000-0002-0000-0200-000035000000}">
          <x14:formula1>
            <xm:f>list!$B$72:$C$72</xm:f>
          </x14:formula1>
          <xm:sqref>BH2:BH39 BH47:BH1048576</xm:sqref>
        </x14:dataValidation>
        <x14:dataValidation type="list" allowBlank="1" showInputMessage="1" showErrorMessage="1" xr:uid="{00000000-0002-0000-0200-000036000000}">
          <x14:formula1>
            <xm:f>list!$B$73:$C$73</xm:f>
          </x14:formula1>
          <xm:sqref>BI2:BI1048576</xm:sqref>
        </x14:dataValidation>
        <x14:dataValidation type="list" allowBlank="1" showInputMessage="1" showErrorMessage="1" xr:uid="{00000000-0002-0000-0200-000037000000}">
          <x14:formula1>
            <xm:f>list!$B$84:$D$84</xm:f>
          </x14:formula1>
          <xm:sqref>BJ2:BJ1048576</xm:sqref>
        </x14:dataValidation>
        <x14:dataValidation type="list" allowBlank="1" showInputMessage="1" showErrorMessage="1" xr:uid="{00000000-0002-0000-0200-000038000000}">
          <x14:formula1>
            <xm:f>list!$B$85:$D$85</xm:f>
          </x14:formula1>
          <xm:sqref>BK2:BK1048576</xm:sqref>
        </x14:dataValidation>
        <x14:dataValidation type="list" allowBlank="1" showInputMessage="1" showErrorMessage="1" xr:uid="{00000000-0002-0000-0200-000039000000}">
          <x14:formula1>
            <xm:f>list!$B$79:$C$79</xm:f>
          </x14:formula1>
          <xm:sqref>BL2:BL1048576</xm:sqref>
        </x14:dataValidation>
        <x14:dataValidation type="list" allowBlank="1" showInputMessage="1" showErrorMessage="1" xr:uid="{00000000-0002-0000-0200-00003A000000}">
          <x14:formula1>
            <xm:f>list!$B$80:$C$80</xm:f>
          </x14:formula1>
          <xm:sqref>BM2:BM1048576</xm:sqref>
        </x14:dataValidation>
        <x14:dataValidation type="list" allowBlank="1" showInputMessage="1" showErrorMessage="1" xr:uid="{00000000-0002-0000-0200-00003B000000}">
          <x14:formula1>
            <xm:f>list!$B$82:$C$82</xm:f>
          </x14:formula1>
          <xm:sqref>BO2:BO1048576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92D050"/>
  </sheetPr>
  <dimension ref="A1:BO36"/>
  <sheetViews>
    <sheetView zoomScale="62" zoomScaleNormal="62" workbookViewId="0">
      <pane xSplit="6" ySplit="1" topLeftCell="AT36" activePane="bottomRight" state="frozen"/>
      <selection pane="topRight" activeCell="G1" sqref="G1"/>
      <selection pane="bottomLeft" activeCell="A2" sqref="A2"/>
      <selection pane="bottomRight" activeCell="F2" sqref="F2:F36"/>
    </sheetView>
  </sheetViews>
  <sheetFormatPr defaultColWidth="8.875" defaultRowHeight="15"/>
  <cols>
    <col min="1" max="1" width="13.625" style="6" hidden="1" customWidth="1"/>
    <col min="2" max="2" width="1.625" style="6" customWidth="1"/>
    <col min="3" max="3" width="3.125" style="6" customWidth="1"/>
    <col min="4" max="4" width="8.125" style="6" bestFit="1" customWidth="1"/>
    <col min="5" max="5" width="75.125" style="6" customWidth="1"/>
    <col min="6" max="6" width="9.375" style="6" bestFit="1" customWidth="1"/>
    <col min="7" max="7" width="9.5" style="6" bestFit="1" customWidth="1"/>
    <col min="8" max="8" width="12.5" style="6" bestFit="1" customWidth="1"/>
    <col min="9" max="9" width="17.5" style="6" bestFit="1" customWidth="1"/>
    <col min="10" max="10" width="9.5" style="6" bestFit="1" customWidth="1"/>
    <col min="11" max="11" width="17.5" style="6" bestFit="1" customWidth="1"/>
    <col min="12" max="12" width="25.125" style="6" bestFit="1" customWidth="1"/>
    <col min="13" max="13" width="22.375" style="6" bestFit="1" customWidth="1"/>
    <col min="14" max="14" width="8.625" style="6" bestFit="1" customWidth="1"/>
    <col min="15" max="15" width="9.5" style="6" bestFit="1" customWidth="1"/>
    <col min="16" max="16" width="14.625" style="6" bestFit="1" customWidth="1"/>
    <col min="17" max="17" width="9.375" style="6" bestFit="1" customWidth="1"/>
    <col min="18" max="18" width="12.375" style="6" bestFit="1" customWidth="1"/>
    <col min="19" max="19" width="11.5" style="6" bestFit="1" customWidth="1"/>
    <col min="20" max="20" width="10.875" style="6" bestFit="1" customWidth="1"/>
    <col min="21" max="21" width="11.5" style="6" bestFit="1" customWidth="1"/>
    <col min="22" max="22" width="10.875" style="6" bestFit="1" customWidth="1"/>
    <col min="23" max="24" width="7.125" style="6" bestFit="1" customWidth="1"/>
    <col min="25" max="25" width="20.375" style="6" bestFit="1" customWidth="1"/>
    <col min="26" max="26" width="9.5" style="6" bestFit="1" customWidth="1"/>
    <col min="27" max="27" width="21.875" style="6" bestFit="1" customWidth="1"/>
    <col min="28" max="29" width="9.875" style="6" bestFit="1" customWidth="1"/>
    <col min="30" max="30" width="9.375" style="6" bestFit="1" customWidth="1"/>
    <col min="31" max="31" width="15.125" style="6" bestFit="1" customWidth="1"/>
    <col min="32" max="32" width="9.125" style="6" bestFit="1" customWidth="1"/>
    <col min="33" max="33" width="15.125" style="6" bestFit="1" customWidth="1"/>
    <col min="34" max="34" width="19.125" style="6" bestFit="1" customWidth="1"/>
    <col min="35" max="35" width="12" style="6" bestFit="1" customWidth="1"/>
    <col min="36" max="36" width="19.375" style="6" bestFit="1" customWidth="1"/>
    <col min="37" max="37" width="15.375" style="6" bestFit="1" customWidth="1"/>
    <col min="38" max="38" width="18.375" style="6" bestFit="1" customWidth="1"/>
    <col min="39" max="39" width="14" style="6" bestFit="1" customWidth="1"/>
    <col min="40" max="41" width="9.375" style="6" bestFit="1" customWidth="1"/>
    <col min="42" max="42" width="22" style="6" bestFit="1" customWidth="1"/>
    <col min="43" max="43" width="9.625" style="6" bestFit="1" customWidth="1"/>
    <col min="44" max="44" width="14.125" style="6" bestFit="1" customWidth="1"/>
    <col min="45" max="45" width="11.5" style="6" bestFit="1" customWidth="1"/>
    <col min="46" max="46" width="10" style="6" bestFit="1" customWidth="1"/>
    <col min="47" max="47" width="35" style="6" bestFit="1" customWidth="1"/>
    <col min="48" max="48" width="20.875" style="6" bestFit="1" customWidth="1"/>
    <col min="49" max="49" width="9.125" style="6" bestFit="1" customWidth="1"/>
    <col min="50" max="50" width="10.125" style="6" bestFit="1" customWidth="1"/>
    <col min="51" max="51" width="15.375" style="6" bestFit="1" customWidth="1"/>
    <col min="52" max="52" width="13.625" style="6" bestFit="1" customWidth="1"/>
    <col min="53" max="53" width="9.5" style="6" bestFit="1" customWidth="1"/>
    <col min="54" max="54" width="15.375" style="6" bestFit="1" customWidth="1"/>
    <col min="55" max="56" width="9.5" style="6" bestFit="1" customWidth="1"/>
    <col min="57" max="57" width="18.625" style="6" bestFit="1" customWidth="1"/>
    <col min="58" max="58" width="9.5" style="6" bestFit="1" customWidth="1"/>
    <col min="59" max="59" width="12.875" style="6" bestFit="1" customWidth="1"/>
    <col min="60" max="61" width="9.375" style="6" bestFit="1" customWidth="1"/>
    <col min="62" max="62" width="14.125" style="6" bestFit="1" customWidth="1"/>
    <col min="63" max="63" width="10.625" style="6" bestFit="1" customWidth="1"/>
    <col min="64" max="65" width="9.375" style="6" bestFit="1" customWidth="1"/>
    <col min="66" max="67" width="9.5" style="6" bestFit="1" customWidth="1"/>
    <col min="68" max="68" width="8.875" style="6" customWidth="1"/>
    <col min="69" max="16384" width="8.875" style="6"/>
  </cols>
  <sheetData>
    <row r="1" spans="1:67" ht="91.5" customHeight="1">
      <c r="A1" s="7" t="s">
        <v>0</v>
      </c>
      <c r="B1" s="7" t="s">
        <v>1</v>
      </c>
      <c r="C1" s="7" t="s">
        <v>2</v>
      </c>
      <c r="D1" s="7" t="s">
        <v>3</v>
      </c>
      <c r="E1" s="7" t="s">
        <v>4</v>
      </c>
      <c r="F1" s="7" t="s">
        <v>5</v>
      </c>
      <c r="G1" s="7" t="s">
        <v>6</v>
      </c>
      <c r="H1" s="7" t="s">
        <v>7</v>
      </c>
      <c r="I1" s="7" t="s">
        <v>8</v>
      </c>
      <c r="J1" s="7" t="s">
        <v>9</v>
      </c>
      <c r="K1" s="7" t="s">
        <v>10</v>
      </c>
      <c r="L1" s="7" t="s">
        <v>11</v>
      </c>
      <c r="M1" s="7" t="s">
        <v>12</v>
      </c>
      <c r="N1" s="7" t="s">
        <v>13</v>
      </c>
      <c r="O1" s="7" t="s">
        <v>14</v>
      </c>
      <c r="P1" s="7" t="s">
        <v>15</v>
      </c>
      <c r="Q1" s="7" t="s">
        <v>16</v>
      </c>
      <c r="R1" s="7" t="s">
        <v>17</v>
      </c>
      <c r="S1" s="7" t="s">
        <v>18</v>
      </c>
      <c r="T1" s="7" t="s">
        <v>19</v>
      </c>
      <c r="U1" s="7" t="s">
        <v>20</v>
      </c>
      <c r="V1" s="7" t="s">
        <v>21</v>
      </c>
      <c r="W1" s="7" t="s">
        <v>22</v>
      </c>
      <c r="X1" s="7" t="s">
        <v>23</v>
      </c>
      <c r="Y1" s="7" t="s">
        <v>24</v>
      </c>
      <c r="Z1" s="7" t="s">
        <v>25</v>
      </c>
      <c r="AA1" s="7" t="s">
        <v>26</v>
      </c>
      <c r="AB1" s="7" t="s">
        <v>27</v>
      </c>
      <c r="AC1" s="7" t="s">
        <v>28</v>
      </c>
      <c r="AD1" s="7" t="s">
        <v>29</v>
      </c>
      <c r="AE1" s="7" t="s">
        <v>30</v>
      </c>
      <c r="AF1" s="7" t="s">
        <v>31</v>
      </c>
      <c r="AG1" s="7" t="s">
        <v>32</v>
      </c>
      <c r="AH1" s="7" t="s">
        <v>33</v>
      </c>
      <c r="AI1" s="7" t="s">
        <v>34</v>
      </c>
      <c r="AJ1" s="7" t="s">
        <v>35</v>
      </c>
      <c r="AK1" s="7" t="s">
        <v>36</v>
      </c>
      <c r="AL1" s="7" t="s">
        <v>37</v>
      </c>
      <c r="AM1" s="7" t="s">
        <v>38</v>
      </c>
      <c r="AN1" s="7" t="s">
        <v>39</v>
      </c>
      <c r="AO1" s="7" t="s">
        <v>40</v>
      </c>
      <c r="AP1" s="7" t="s">
        <v>41</v>
      </c>
      <c r="AQ1" s="7" t="s">
        <v>42</v>
      </c>
      <c r="AR1" s="7" t="s">
        <v>43</v>
      </c>
      <c r="AS1" s="7" t="s">
        <v>44</v>
      </c>
      <c r="AT1" s="7" t="s">
        <v>45</v>
      </c>
      <c r="AU1" s="7" t="s">
        <v>46</v>
      </c>
      <c r="AV1" s="7" t="s">
        <v>47</v>
      </c>
      <c r="AW1" s="7" t="s">
        <v>48</v>
      </c>
      <c r="AX1" s="7" t="s">
        <v>49</v>
      </c>
      <c r="AY1" s="7" t="s">
        <v>50</v>
      </c>
      <c r="AZ1" s="7" t="s">
        <v>51</v>
      </c>
      <c r="BA1" s="7" t="s">
        <v>52</v>
      </c>
      <c r="BB1" s="7" t="s">
        <v>53</v>
      </c>
      <c r="BC1" s="7" t="s">
        <v>54</v>
      </c>
      <c r="BD1" s="7" t="s">
        <v>55</v>
      </c>
      <c r="BE1" s="7" t="s">
        <v>56</v>
      </c>
      <c r="BF1" s="7" t="s">
        <v>57</v>
      </c>
      <c r="BG1" s="7" t="s">
        <v>58</v>
      </c>
      <c r="BH1" s="7" t="s">
        <v>59</v>
      </c>
      <c r="BI1" s="7" t="s">
        <v>60</v>
      </c>
      <c r="BJ1" s="7" t="s">
        <v>61</v>
      </c>
      <c r="BK1" s="7" t="s">
        <v>62</v>
      </c>
      <c r="BL1" s="7" t="s">
        <v>63</v>
      </c>
      <c r="BM1" s="7" t="s">
        <v>64</v>
      </c>
      <c r="BN1" s="7" t="s">
        <v>65</v>
      </c>
      <c r="BO1" s="7" t="s">
        <v>66</v>
      </c>
    </row>
    <row r="2" spans="1:67" ht="409.5" customHeight="1">
      <c r="A2" s="10"/>
      <c r="B2" s="10">
        <v>1122091</v>
      </c>
      <c r="C2" s="11">
        <v>41682</v>
      </c>
      <c r="D2" s="10">
        <v>0</v>
      </c>
      <c r="E2" s="10" t="s">
        <v>196</v>
      </c>
      <c r="F2" s="10" t="b">
        <v>1</v>
      </c>
      <c r="G2" s="8"/>
      <c r="H2" s="10"/>
      <c r="I2" s="10"/>
      <c r="J2" s="10"/>
      <c r="K2" s="10"/>
      <c r="L2" s="10"/>
      <c r="M2" s="10"/>
      <c r="N2" s="10"/>
      <c r="O2" s="10"/>
      <c r="P2" s="10"/>
      <c r="Q2" s="10"/>
      <c r="R2" s="10"/>
      <c r="S2" s="10" t="s">
        <v>487</v>
      </c>
      <c r="T2" s="10" t="s">
        <v>483</v>
      </c>
      <c r="U2" s="10" t="s">
        <v>487</v>
      </c>
      <c r="V2" s="10" t="s">
        <v>483</v>
      </c>
      <c r="W2" s="10">
        <v>1</v>
      </c>
      <c r="X2" s="10">
        <v>1</v>
      </c>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c r="AY2" s="10"/>
      <c r="AZ2" s="10"/>
      <c r="BA2" s="10"/>
      <c r="BB2" s="10"/>
      <c r="BC2" s="10"/>
      <c r="BD2" s="10"/>
      <c r="BE2" s="10"/>
      <c r="BF2" s="10"/>
      <c r="BG2" s="10"/>
      <c r="BH2" s="10"/>
      <c r="BI2" s="10"/>
      <c r="BJ2" s="10"/>
      <c r="BK2" s="10"/>
      <c r="BL2" s="10"/>
      <c r="BM2" s="10"/>
      <c r="BN2" s="10"/>
      <c r="BO2" s="10"/>
    </row>
    <row r="3" spans="1:67" ht="80.099999999999994" customHeight="1">
      <c r="A3" s="10"/>
      <c r="B3" s="10">
        <v>1122091</v>
      </c>
      <c r="C3" s="11">
        <v>41684</v>
      </c>
      <c r="D3" s="10">
        <v>0</v>
      </c>
      <c r="E3" s="10" t="s">
        <v>197</v>
      </c>
      <c r="F3" s="10" t="b">
        <v>1</v>
      </c>
      <c r="G3" s="8" t="b">
        <v>1</v>
      </c>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c r="BL3" s="10"/>
      <c r="BM3" s="10"/>
      <c r="BN3" s="10"/>
      <c r="BO3" s="10"/>
    </row>
    <row r="4" spans="1:67" ht="409.5" customHeight="1">
      <c r="A4" s="10"/>
      <c r="B4" s="10">
        <v>1122091</v>
      </c>
      <c r="C4" s="11">
        <v>41704</v>
      </c>
      <c r="D4" s="10">
        <v>0</v>
      </c>
      <c r="E4" s="10" t="s">
        <v>198</v>
      </c>
      <c r="F4" s="10" t="b">
        <v>1</v>
      </c>
      <c r="G4" s="8"/>
      <c r="H4" s="10" t="b">
        <v>1</v>
      </c>
      <c r="I4" s="10"/>
      <c r="J4" s="10" t="b">
        <v>1</v>
      </c>
      <c r="K4" s="10"/>
      <c r="L4" s="10"/>
      <c r="M4" s="10"/>
      <c r="N4" s="10"/>
      <c r="O4" s="10"/>
      <c r="P4" s="10"/>
      <c r="Q4" s="10"/>
      <c r="R4" s="10"/>
      <c r="S4" s="10"/>
      <c r="T4" s="10"/>
      <c r="U4" s="10"/>
      <c r="V4" s="10"/>
      <c r="W4" s="10"/>
      <c r="X4" s="10"/>
      <c r="Y4" s="10"/>
      <c r="Z4" s="10"/>
      <c r="AA4" s="10"/>
      <c r="AB4" s="10"/>
      <c r="AC4" s="10"/>
      <c r="AD4" s="36" t="s">
        <v>618</v>
      </c>
      <c r="AE4" s="10" t="s">
        <v>512</v>
      </c>
      <c r="AF4" s="36" t="s">
        <v>618</v>
      </c>
      <c r="AG4" s="10" t="s">
        <v>512</v>
      </c>
      <c r="AH4" s="10"/>
      <c r="AI4" s="10"/>
      <c r="AJ4" s="10"/>
      <c r="AK4" s="10"/>
      <c r="AL4" s="10"/>
      <c r="AM4" s="10"/>
      <c r="AN4" s="10"/>
      <c r="AO4" s="10"/>
      <c r="AP4" s="10"/>
      <c r="AQ4" s="10" t="b">
        <v>1</v>
      </c>
      <c r="AR4" s="10"/>
      <c r="AS4" s="10"/>
      <c r="AT4" s="10"/>
      <c r="AU4" s="10"/>
      <c r="AV4" s="10"/>
      <c r="AW4" s="10"/>
      <c r="AX4" s="10"/>
      <c r="AY4" s="10"/>
      <c r="AZ4" s="10"/>
      <c r="BA4" s="10"/>
      <c r="BB4" s="10"/>
      <c r="BC4" s="10"/>
      <c r="BD4" s="10"/>
      <c r="BE4" s="10"/>
      <c r="BF4" s="10"/>
      <c r="BG4" s="10"/>
      <c r="BH4" s="10"/>
      <c r="BI4" s="10"/>
      <c r="BJ4" s="10"/>
      <c r="BK4" s="10"/>
      <c r="BL4" s="10"/>
      <c r="BM4" s="10"/>
      <c r="BN4" s="10"/>
      <c r="BO4" s="10"/>
    </row>
    <row r="5" spans="1:67" ht="409.5" customHeight="1">
      <c r="A5" s="10"/>
      <c r="B5" s="10">
        <v>1122091</v>
      </c>
      <c r="C5" s="11">
        <v>41732</v>
      </c>
      <c r="D5" s="10">
        <v>1</v>
      </c>
      <c r="E5" s="10" t="s">
        <v>199</v>
      </c>
      <c r="F5" s="10" t="b">
        <v>1</v>
      </c>
      <c r="G5" s="8" t="b">
        <v>1</v>
      </c>
      <c r="H5" s="10"/>
      <c r="I5" s="10"/>
      <c r="J5" s="10"/>
      <c r="K5" s="10"/>
      <c r="L5" s="10"/>
      <c r="M5" s="10"/>
      <c r="N5" s="10"/>
      <c r="O5" s="10"/>
      <c r="P5" s="10"/>
      <c r="Q5" s="10"/>
      <c r="R5" s="10"/>
      <c r="S5" s="10"/>
      <c r="T5" s="10"/>
      <c r="U5" s="10"/>
      <c r="V5" s="10"/>
      <c r="W5" s="10"/>
      <c r="X5" s="10"/>
      <c r="Y5" s="10"/>
      <c r="Z5" s="10"/>
      <c r="AA5" s="10"/>
      <c r="AB5" s="10" t="b">
        <v>0</v>
      </c>
      <c r="AC5" s="10" t="b">
        <v>0</v>
      </c>
      <c r="AD5" s="36" t="s">
        <v>618</v>
      </c>
      <c r="AE5" s="10" t="s">
        <v>512</v>
      </c>
      <c r="AF5" s="36" t="s">
        <v>618</v>
      </c>
      <c r="AG5" s="10" t="s">
        <v>512</v>
      </c>
      <c r="AH5" s="10" t="s">
        <v>615</v>
      </c>
      <c r="AI5" s="10"/>
      <c r="AJ5" s="10"/>
      <c r="AK5" s="10"/>
      <c r="AL5" s="10"/>
      <c r="AM5" s="10"/>
      <c r="AN5" s="10" t="b">
        <v>1</v>
      </c>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row>
    <row r="6" spans="1:67" ht="365.1" customHeight="1">
      <c r="A6" s="10"/>
      <c r="B6" s="10">
        <v>1122091</v>
      </c>
      <c r="C6" s="11">
        <v>41760</v>
      </c>
      <c r="D6" s="10">
        <v>2</v>
      </c>
      <c r="E6" s="10" t="s">
        <v>200</v>
      </c>
      <c r="F6" s="10" t="b">
        <v>1</v>
      </c>
      <c r="G6" s="10" t="b">
        <v>1</v>
      </c>
      <c r="H6" s="10" t="b">
        <v>1</v>
      </c>
      <c r="I6" s="10"/>
      <c r="J6" s="10" t="b">
        <v>1</v>
      </c>
      <c r="K6" s="10"/>
      <c r="L6" s="10"/>
      <c r="M6" s="10"/>
      <c r="N6" s="10"/>
      <c r="O6" s="10"/>
      <c r="P6" s="10"/>
      <c r="Q6" s="10"/>
      <c r="R6" s="10"/>
      <c r="S6" s="10"/>
      <c r="T6" s="10"/>
      <c r="U6" s="10"/>
      <c r="V6" s="10"/>
      <c r="W6" s="10"/>
      <c r="X6" s="10"/>
      <c r="Y6" s="10"/>
      <c r="Z6" s="10"/>
      <c r="AA6" s="10"/>
      <c r="AB6" s="10" t="b">
        <v>1</v>
      </c>
      <c r="AC6" s="10" t="b">
        <v>0</v>
      </c>
      <c r="AD6" s="36" t="s">
        <v>618</v>
      </c>
      <c r="AE6" s="10" t="s">
        <v>514</v>
      </c>
      <c r="AF6" s="36" t="s">
        <v>618</v>
      </c>
      <c r="AG6" s="10" t="s">
        <v>512</v>
      </c>
      <c r="AH6" s="10" t="s">
        <v>615</v>
      </c>
      <c r="AI6" s="10"/>
      <c r="AJ6" s="10"/>
      <c r="AK6" s="10"/>
      <c r="AL6" s="10"/>
      <c r="AM6" s="10"/>
      <c r="AN6" s="10"/>
      <c r="AO6" s="10"/>
      <c r="AP6" s="10"/>
      <c r="AQ6" s="10"/>
      <c r="AR6" s="10"/>
      <c r="AS6" s="10"/>
      <c r="AT6" s="10"/>
      <c r="AU6" s="10"/>
      <c r="AV6" s="10"/>
      <c r="AW6" s="10"/>
      <c r="AX6" s="10"/>
      <c r="AY6" s="10"/>
      <c r="AZ6" s="10"/>
      <c r="BA6" s="10"/>
      <c r="BB6" s="10"/>
      <c r="BC6" s="10" t="b">
        <v>1</v>
      </c>
      <c r="BD6" s="10"/>
      <c r="BE6" s="10"/>
      <c r="BF6" s="10"/>
      <c r="BG6" s="10"/>
      <c r="BH6" s="10"/>
      <c r="BI6" s="10"/>
      <c r="BJ6" s="10"/>
      <c r="BK6" s="10"/>
      <c r="BL6" s="10"/>
      <c r="BM6" s="10"/>
      <c r="BN6" s="10"/>
      <c r="BO6" s="10"/>
    </row>
    <row r="7" spans="1:67" ht="409.5" customHeight="1">
      <c r="A7" s="10"/>
      <c r="B7" s="10">
        <v>1122091</v>
      </c>
      <c r="C7" s="11">
        <v>41795</v>
      </c>
      <c r="D7" s="10">
        <v>3</v>
      </c>
      <c r="E7" s="10" t="s">
        <v>201</v>
      </c>
      <c r="F7" s="10" t="b">
        <v>1</v>
      </c>
      <c r="G7" s="10"/>
      <c r="H7" s="10"/>
      <c r="I7" s="10"/>
      <c r="J7" s="10"/>
      <c r="K7" s="10"/>
      <c r="L7" s="10"/>
      <c r="M7" s="10"/>
      <c r="N7" s="10"/>
      <c r="O7" s="10"/>
      <c r="P7" s="10"/>
      <c r="Q7" s="10"/>
      <c r="R7" s="10"/>
      <c r="S7" s="10" t="s">
        <v>483</v>
      </c>
      <c r="T7" s="10" t="s">
        <v>483</v>
      </c>
      <c r="U7" s="10" t="s">
        <v>483</v>
      </c>
      <c r="V7" s="10" t="s">
        <v>483</v>
      </c>
      <c r="W7" s="10"/>
      <c r="X7" s="10"/>
      <c r="Y7" s="10"/>
      <c r="Z7" s="10"/>
      <c r="AA7" s="10"/>
      <c r="AB7" s="10" t="b">
        <v>1</v>
      </c>
      <c r="AC7" s="10" t="b">
        <v>0</v>
      </c>
      <c r="AD7" s="36" t="s">
        <v>618</v>
      </c>
      <c r="AE7" s="10" t="s">
        <v>518</v>
      </c>
      <c r="AF7" s="36" t="s">
        <v>618</v>
      </c>
      <c r="AG7" s="10" t="s">
        <v>512</v>
      </c>
      <c r="AH7" s="10" t="s">
        <v>616</v>
      </c>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row>
    <row r="8" spans="1:67" ht="288" customHeight="1">
      <c r="A8" s="10"/>
      <c r="B8" s="10">
        <v>1122091</v>
      </c>
      <c r="C8" s="11">
        <v>41837</v>
      </c>
      <c r="D8" s="10">
        <v>5</v>
      </c>
      <c r="E8" s="10" t="s">
        <v>202</v>
      </c>
      <c r="F8" s="10" t="b">
        <v>1</v>
      </c>
      <c r="G8" s="10"/>
      <c r="H8" s="10"/>
      <c r="I8" s="10"/>
      <c r="J8" s="10"/>
      <c r="K8" s="10"/>
      <c r="L8" s="10"/>
      <c r="M8" s="10"/>
      <c r="N8" s="10"/>
      <c r="O8" s="10"/>
      <c r="P8" s="10"/>
      <c r="Q8" s="10"/>
      <c r="R8" s="10"/>
      <c r="S8" s="10"/>
      <c r="T8" s="10"/>
      <c r="U8" s="10"/>
      <c r="V8" s="10"/>
      <c r="W8" s="10"/>
      <c r="X8" s="10"/>
      <c r="Y8" s="10"/>
      <c r="Z8" s="10"/>
      <c r="AA8" s="10"/>
      <c r="AB8" s="10" t="b">
        <v>1</v>
      </c>
      <c r="AC8" s="10" t="b">
        <v>0</v>
      </c>
      <c r="AD8" s="36" t="s">
        <v>618</v>
      </c>
      <c r="AE8" s="10" t="s">
        <v>520</v>
      </c>
      <c r="AF8" s="36" t="s">
        <v>618</v>
      </c>
      <c r="AG8" s="10" t="s">
        <v>512</v>
      </c>
      <c r="AH8" s="10" t="s">
        <v>535</v>
      </c>
      <c r="AI8" s="10"/>
      <c r="AJ8" s="10"/>
      <c r="AK8" s="10"/>
      <c r="AL8" s="10"/>
      <c r="AM8" s="10"/>
      <c r="AN8" s="10"/>
      <c r="AO8" s="10"/>
      <c r="AP8" s="10"/>
      <c r="AQ8" s="10" t="b">
        <v>1</v>
      </c>
      <c r="AR8" s="10"/>
      <c r="AS8" s="10"/>
      <c r="AT8" s="10"/>
      <c r="AU8" s="10"/>
      <c r="AV8" s="10"/>
      <c r="AW8" s="10"/>
      <c r="AX8" s="10"/>
      <c r="AY8" s="10"/>
      <c r="AZ8" s="10"/>
      <c r="BA8" s="10"/>
      <c r="BB8" s="10"/>
      <c r="BC8" s="10" t="b">
        <v>1</v>
      </c>
      <c r="BD8" s="10"/>
      <c r="BE8" s="10"/>
      <c r="BF8" s="10"/>
      <c r="BG8" s="10"/>
      <c r="BH8" s="10"/>
      <c r="BI8" s="10"/>
      <c r="BJ8" s="10"/>
      <c r="BK8" s="10"/>
      <c r="BL8" s="10"/>
      <c r="BM8" s="10"/>
      <c r="BN8" s="10"/>
      <c r="BO8" s="10"/>
    </row>
    <row r="9" spans="1:67" ht="272.10000000000002" customHeight="1">
      <c r="A9" s="10"/>
      <c r="B9" s="10">
        <v>1122091</v>
      </c>
      <c r="C9" s="11">
        <v>41864</v>
      </c>
      <c r="D9" s="10">
        <v>6</v>
      </c>
      <c r="E9" s="10" t="s">
        <v>203</v>
      </c>
      <c r="F9" s="10" t="b">
        <v>1</v>
      </c>
      <c r="G9" s="10"/>
      <c r="H9" s="10"/>
      <c r="I9" s="10"/>
      <c r="J9" s="10"/>
      <c r="K9" s="10"/>
      <c r="L9" s="10"/>
      <c r="M9" s="10"/>
      <c r="N9" s="10"/>
      <c r="O9" s="10"/>
      <c r="P9" s="10"/>
      <c r="Q9" s="10"/>
      <c r="R9" s="10"/>
      <c r="S9" s="10"/>
      <c r="T9" s="10"/>
      <c r="U9" s="10"/>
      <c r="V9" s="10"/>
      <c r="W9" s="10"/>
      <c r="X9" s="10"/>
      <c r="Y9" s="10"/>
      <c r="Z9" s="10"/>
      <c r="AA9" s="10"/>
      <c r="AB9" s="10" t="b">
        <v>0</v>
      </c>
      <c r="AC9" s="10"/>
      <c r="AD9" s="36" t="s">
        <v>618</v>
      </c>
      <c r="AE9" s="10" t="s">
        <v>520</v>
      </c>
      <c r="AF9" s="10"/>
      <c r="AG9" s="10"/>
      <c r="AH9" s="10" t="s">
        <v>535</v>
      </c>
      <c r="AI9" s="10"/>
      <c r="AJ9" s="10"/>
      <c r="AK9" s="10"/>
      <c r="AL9" s="10"/>
      <c r="AM9" s="10"/>
      <c r="AN9" s="10"/>
      <c r="AO9" s="10"/>
      <c r="AP9" s="10"/>
      <c r="AQ9" s="10"/>
      <c r="AR9" s="10"/>
      <c r="AS9" s="10"/>
      <c r="AT9" s="10"/>
      <c r="AU9" s="10"/>
      <c r="AV9" s="10"/>
      <c r="AW9" s="10"/>
      <c r="AX9" s="10"/>
      <c r="AY9" s="10"/>
      <c r="AZ9" s="10"/>
      <c r="BA9" s="10"/>
      <c r="BB9" s="10"/>
      <c r="BC9" s="10"/>
      <c r="BD9" s="10" t="b">
        <v>1</v>
      </c>
      <c r="BE9" s="10" t="s">
        <v>585</v>
      </c>
      <c r="BF9" s="10" t="b">
        <v>1</v>
      </c>
      <c r="BG9" s="10"/>
      <c r="BH9" s="10"/>
      <c r="BI9" s="10"/>
      <c r="BJ9" s="10"/>
      <c r="BK9" s="10"/>
      <c r="BL9" s="10"/>
      <c r="BM9" s="10"/>
      <c r="BN9" s="10"/>
      <c r="BO9" s="10"/>
    </row>
    <row r="10" spans="1:67" ht="288" customHeight="1">
      <c r="A10" s="10"/>
      <c r="B10" s="10">
        <v>1122091</v>
      </c>
      <c r="C10" s="11">
        <v>41872</v>
      </c>
      <c r="D10" s="10">
        <v>6</v>
      </c>
      <c r="E10" s="10" t="s">
        <v>204</v>
      </c>
      <c r="F10" s="10" t="b">
        <v>1</v>
      </c>
      <c r="G10" s="10"/>
      <c r="H10" s="10"/>
      <c r="I10" s="10"/>
      <c r="J10" s="10"/>
      <c r="K10" s="10"/>
      <c r="L10" s="10"/>
      <c r="M10" s="10"/>
      <c r="N10" s="10"/>
      <c r="O10" s="10" t="b">
        <v>1</v>
      </c>
      <c r="P10" s="10"/>
      <c r="Q10" s="10"/>
      <c r="R10" s="10"/>
      <c r="S10" s="10"/>
      <c r="T10" s="10"/>
      <c r="U10" s="10"/>
      <c r="V10" s="10"/>
      <c r="W10" s="10"/>
      <c r="X10" s="10"/>
      <c r="Y10" s="10"/>
      <c r="Z10" s="10"/>
      <c r="AA10" s="10"/>
      <c r="AB10" s="10" t="b">
        <v>1</v>
      </c>
      <c r="AC10" s="10" t="b">
        <v>1</v>
      </c>
      <c r="AD10" s="10" t="s">
        <v>609</v>
      </c>
      <c r="AE10" s="10" t="s">
        <v>520</v>
      </c>
      <c r="AF10" s="36" t="s">
        <v>618</v>
      </c>
      <c r="AG10" s="10" t="s">
        <v>514</v>
      </c>
      <c r="AH10" s="10" t="s">
        <v>535</v>
      </c>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row>
    <row r="11" spans="1:67" ht="409.5" customHeight="1">
      <c r="A11" s="10"/>
      <c r="B11" s="10">
        <v>1122091</v>
      </c>
      <c r="C11" s="11">
        <v>41900</v>
      </c>
      <c r="D11" s="10">
        <v>7</v>
      </c>
      <c r="E11" s="10" t="s">
        <v>205</v>
      </c>
      <c r="F11" s="10" t="b">
        <v>1</v>
      </c>
      <c r="G11" s="10"/>
      <c r="H11" s="10"/>
      <c r="I11" s="10"/>
      <c r="J11" s="10"/>
      <c r="K11" s="10"/>
      <c r="L11" s="10"/>
      <c r="M11" s="10"/>
      <c r="N11" s="10"/>
      <c r="O11" s="10"/>
      <c r="P11" s="10"/>
      <c r="Q11" s="10"/>
      <c r="R11" s="10"/>
      <c r="S11" s="10" t="s">
        <v>483</v>
      </c>
      <c r="T11" s="10" t="s">
        <v>483</v>
      </c>
      <c r="U11" s="10" t="s">
        <v>483</v>
      </c>
      <c r="V11" s="10" t="s">
        <v>483</v>
      </c>
      <c r="W11" s="10"/>
      <c r="X11" s="10"/>
      <c r="Y11" s="10"/>
      <c r="Z11" s="10"/>
      <c r="AA11" s="10"/>
      <c r="AB11" s="10" t="b">
        <v>0</v>
      </c>
      <c r="AC11" s="10" t="b">
        <v>1</v>
      </c>
      <c r="AD11" s="10" t="s">
        <v>609</v>
      </c>
      <c r="AE11" s="10" t="s">
        <v>520</v>
      </c>
      <c r="AF11" s="36" t="s">
        <v>618</v>
      </c>
      <c r="AG11" s="10" t="s">
        <v>517</v>
      </c>
      <c r="AH11" s="10" t="s">
        <v>535</v>
      </c>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t="b">
        <v>1</v>
      </c>
      <c r="BI11" s="10"/>
      <c r="BJ11" s="10"/>
      <c r="BK11" s="10"/>
      <c r="BL11" s="10"/>
      <c r="BM11" s="10"/>
      <c r="BN11" s="10"/>
      <c r="BO11" s="10"/>
    </row>
    <row r="12" spans="1:67" ht="350.1" customHeight="1">
      <c r="A12" s="10"/>
      <c r="B12" s="10">
        <v>1122091</v>
      </c>
      <c r="C12" s="11">
        <v>41942</v>
      </c>
      <c r="D12" s="10">
        <v>8</v>
      </c>
      <c r="E12" s="10" t="s">
        <v>206</v>
      </c>
      <c r="F12" s="10" t="b">
        <v>1</v>
      </c>
      <c r="G12" s="10"/>
      <c r="H12" s="10"/>
      <c r="I12" s="10"/>
      <c r="J12" s="10"/>
      <c r="K12" s="10"/>
      <c r="L12" s="10"/>
      <c r="M12" s="10"/>
      <c r="N12" s="10"/>
      <c r="O12" s="10"/>
      <c r="P12" s="10"/>
      <c r="Q12" s="10"/>
      <c r="R12" s="10"/>
      <c r="S12" s="10"/>
      <c r="T12" s="10"/>
      <c r="U12" s="10"/>
      <c r="V12" s="10"/>
      <c r="W12" s="10"/>
      <c r="X12" s="10"/>
      <c r="Y12" s="10"/>
      <c r="Z12" s="10"/>
      <c r="AA12" s="10"/>
      <c r="AB12" s="10" t="b">
        <v>0</v>
      </c>
      <c r="AC12" s="10" t="b">
        <v>1</v>
      </c>
      <c r="AD12" s="10" t="s">
        <v>609</v>
      </c>
      <c r="AE12" s="10" t="s">
        <v>520</v>
      </c>
      <c r="AF12" s="36" t="s">
        <v>618</v>
      </c>
      <c r="AG12" s="10" t="s">
        <v>518</v>
      </c>
      <c r="AH12" s="36" t="s">
        <v>531</v>
      </c>
      <c r="AI12" s="10"/>
      <c r="AJ12" s="10"/>
      <c r="AK12" s="10"/>
      <c r="AL12" s="10"/>
      <c r="AM12" s="10"/>
      <c r="AN12" s="10"/>
      <c r="AO12" s="10"/>
      <c r="AP12" s="10"/>
      <c r="AQ12" s="10"/>
      <c r="AR12" s="10"/>
      <c r="AS12" s="10"/>
      <c r="AT12" s="10"/>
      <c r="AU12" s="10"/>
      <c r="AV12" s="10"/>
      <c r="AW12" s="10"/>
      <c r="AX12" s="10"/>
      <c r="AY12" s="10"/>
      <c r="AZ12" s="10"/>
      <c r="BA12" s="10"/>
      <c r="BB12" s="10"/>
      <c r="BC12" s="10"/>
      <c r="BD12" s="10"/>
      <c r="BE12" s="10"/>
      <c r="BF12" s="10"/>
      <c r="BG12" s="10"/>
      <c r="BH12" s="10" t="b">
        <v>1</v>
      </c>
      <c r="BI12" s="10"/>
      <c r="BJ12" s="10"/>
      <c r="BK12" s="36" t="s">
        <v>597</v>
      </c>
      <c r="BL12" s="10"/>
      <c r="BM12" s="10"/>
      <c r="BN12" s="10"/>
      <c r="BO12" s="10"/>
    </row>
    <row r="13" spans="1:67" ht="409.5" customHeight="1">
      <c r="A13" s="10"/>
      <c r="B13" s="10">
        <v>1122091</v>
      </c>
      <c r="C13" s="11">
        <v>41977</v>
      </c>
      <c r="D13" s="10">
        <v>9</v>
      </c>
      <c r="E13" s="10" t="s">
        <v>207</v>
      </c>
      <c r="F13" s="10" t="b">
        <v>1</v>
      </c>
      <c r="G13" s="10"/>
      <c r="H13" s="10"/>
      <c r="I13" s="10"/>
      <c r="J13" s="10"/>
      <c r="K13" s="10"/>
      <c r="L13" s="10"/>
      <c r="M13" s="10"/>
      <c r="N13" s="10"/>
      <c r="O13" s="10"/>
      <c r="P13" s="10"/>
      <c r="Q13" s="10"/>
      <c r="R13" s="10"/>
      <c r="S13" s="10"/>
      <c r="T13" s="10"/>
      <c r="U13" s="10"/>
      <c r="V13" s="10"/>
      <c r="W13" s="10"/>
      <c r="X13" s="10"/>
      <c r="Y13" s="10"/>
      <c r="Z13" s="10"/>
      <c r="AA13" s="10"/>
      <c r="AB13" s="10" t="b">
        <v>1</v>
      </c>
      <c r="AC13" s="10" t="b">
        <v>1</v>
      </c>
      <c r="AD13" s="36" t="s">
        <v>618</v>
      </c>
      <c r="AE13" s="10" t="s">
        <v>518</v>
      </c>
      <c r="AF13" s="36" t="s">
        <v>618</v>
      </c>
      <c r="AG13" s="10" t="s">
        <v>517</v>
      </c>
      <c r="AH13" s="10"/>
      <c r="AI13" s="10"/>
      <c r="AJ13" s="10"/>
      <c r="AK13" s="10"/>
      <c r="AL13" s="10"/>
      <c r="AM13" s="10"/>
      <c r="AN13" s="10"/>
      <c r="AO13" s="10" t="b">
        <v>1</v>
      </c>
      <c r="AP13" s="10"/>
      <c r="AQ13" s="10"/>
      <c r="AR13" s="10"/>
      <c r="AS13" s="10"/>
      <c r="AT13" s="10"/>
      <c r="AU13" s="10"/>
      <c r="AV13" s="10"/>
      <c r="AW13" s="10"/>
      <c r="AX13" s="10"/>
      <c r="AY13" s="10"/>
      <c r="AZ13" s="10"/>
      <c r="BA13" s="10"/>
      <c r="BB13" s="10"/>
      <c r="BC13" s="10" t="b">
        <v>1</v>
      </c>
      <c r="BD13" s="10"/>
      <c r="BE13" s="10"/>
      <c r="BF13" s="10"/>
      <c r="BG13" s="10"/>
      <c r="BH13" s="10"/>
      <c r="BI13" s="10"/>
      <c r="BJ13" s="10"/>
      <c r="BK13" s="10"/>
      <c r="BL13" s="10"/>
      <c r="BM13" s="10"/>
      <c r="BN13" s="10"/>
      <c r="BO13" s="10"/>
    </row>
    <row r="14" spans="1:67" ht="409.5" customHeight="1">
      <c r="A14" s="10"/>
      <c r="B14" s="10">
        <v>1122091</v>
      </c>
      <c r="C14" s="11">
        <v>42012</v>
      </c>
      <c r="D14" s="10">
        <v>10</v>
      </c>
      <c r="E14" s="10" t="s">
        <v>208</v>
      </c>
      <c r="F14" s="10" t="b">
        <v>1</v>
      </c>
      <c r="G14" s="10"/>
      <c r="H14" s="10"/>
      <c r="I14" s="10"/>
      <c r="J14" s="10"/>
      <c r="K14" s="10"/>
      <c r="L14" s="10"/>
      <c r="M14" s="10"/>
      <c r="N14" s="10"/>
      <c r="O14" s="10"/>
      <c r="P14" s="10"/>
      <c r="Q14" s="10"/>
      <c r="R14" s="10"/>
      <c r="S14" s="10" t="s">
        <v>485</v>
      </c>
      <c r="T14" s="10" t="s">
        <v>485</v>
      </c>
      <c r="U14" s="10" t="s">
        <v>483</v>
      </c>
      <c r="V14" s="10" t="s">
        <v>483</v>
      </c>
      <c r="W14" s="10"/>
      <c r="X14" s="10"/>
      <c r="Y14" s="10"/>
      <c r="Z14" s="10"/>
      <c r="AA14" s="10"/>
      <c r="AB14" s="10" t="b">
        <v>1</v>
      </c>
      <c r="AC14" s="10" t="b">
        <v>1</v>
      </c>
      <c r="AD14" s="36" t="s">
        <v>507</v>
      </c>
      <c r="AE14" s="10" t="s">
        <v>520</v>
      </c>
      <c r="AF14" s="36" t="s">
        <v>618</v>
      </c>
      <c r="AG14" s="10" t="s">
        <v>518</v>
      </c>
      <c r="AH14" s="10" t="s">
        <v>617</v>
      </c>
      <c r="AI14" s="10"/>
      <c r="AJ14" s="10"/>
      <c r="AK14" s="10"/>
      <c r="AL14" s="10"/>
      <c r="AM14" s="10"/>
      <c r="AN14" s="10"/>
      <c r="AO14" s="10"/>
      <c r="AP14" s="10"/>
      <c r="AQ14" s="10"/>
      <c r="AR14" s="10"/>
      <c r="AS14" s="10"/>
      <c r="AT14" s="10"/>
      <c r="AU14" s="10"/>
      <c r="AV14" s="10"/>
      <c r="AW14" s="10"/>
      <c r="AX14" s="10"/>
      <c r="AY14" s="10"/>
      <c r="AZ14" s="10"/>
      <c r="BA14" s="10"/>
      <c r="BB14" s="10"/>
      <c r="BC14" s="10"/>
      <c r="BD14" s="10" t="b">
        <v>1</v>
      </c>
      <c r="BE14" s="10" t="s">
        <v>585</v>
      </c>
      <c r="BF14" s="10" t="b">
        <v>1</v>
      </c>
      <c r="BG14" s="10"/>
      <c r="BH14" s="10"/>
      <c r="BI14" s="10"/>
      <c r="BJ14" s="10"/>
      <c r="BK14" s="10"/>
      <c r="BL14" s="10"/>
      <c r="BM14" s="10"/>
      <c r="BN14" s="10"/>
      <c r="BO14" s="10"/>
    </row>
    <row r="15" spans="1:67" ht="409.5" customHeight="1">
      <c r="A15" s="10"/>
      <c r="B15" s="10">
        <v>1122091</v>
      </c>
      <c r="C15" s="11">
        <v>42040</v>
      </c>
      <c r="D15" s="10">
        <v>11</v>
      </c>
      <c r="E15" s="10" t="s">
        <v>209</v>
      </c>
      <c r="F15" s="10" t="b">
        <v>1</v>
      </c>
      <c r="G15" s="10"/>
      <c r="H15" s="10"/>
      <c r="I15" s="10"/>
      <c r="J15" s="10"/>
      <c r="K15" s="10"/>
      <c r="L15" s="10"/>
      <c r="M15" s="10"/>
      <c r="N15" s="10"/>
      <c r="O15" s="10"/>
      <c r="P15" s="10"/>
      <c r="Q15" s="10"/>
      <c r="R15" s="10" t="s">
        <v>470</v>
      </c>
      <c r="S15" s="10"/>
      <c r="T15" s="10"/>
      <c r="U15" s="10" t="s">
        <v>485</v>
      </c>
      <c r="V15" s="10" t="s">
        <v>485</v>
      </c>
      <c r="W15" s="10"/>
      <c r="X15" s="10"/>
      <c r="Y15" s="10"/>
      <c r="Z15" s="10"/>
      <c r="AA15" s="10"/>
      <c r="AB15" s="10" t="b">
        <v>0</v>
      </c>
      <c r="AC15" s="10" t="b">
        <v>1</v>
      </c>
      <c r="AD15" s="36" t="s">
        <v>507</v>
      </c>
      <c r="AE15" s="10" t="s">
        <v>520</v>
      </c>
      <c r="AF15" s="10" t="s">
        <v>609</v>
      </c>
      <c r="AG15" s="10" t="s">
        <v>520</v>
      </c>
      <c r="AH15" s="10" t="s">
        <v>530</v>
      </c>
      <c r="AI15" s="10" t="s">
        <v>541</v>
      </c>
      <c r="AJ15" s="10" t="s">
        <v>558</v>
      </c>
      <c r="AK15" s="10" t="s">
        <v>541</v>
      </c>
      <c r="AL15" s="10" t="s">
        <v>558</v>
      </c>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row>
    <row r="16" spans="1:67" ht="409.5" customHeight="1">
      <c r="A16" s="10"/>
      <c r="B16" s="10">
        <v>1122091</v>
      </c>
      <c r="C16" s="11">
        <v>42075</v>
      </c>
      <c r="D16" s="10">
        <v>13</v>
      </c>
      <c r="E16" s="10" t="s">
        <v>210</v>
      </c>
      <c r="F16" s="10" t="b">
        <v>1</v>
      </c>
      <c r="G16" s="10"/>
      <c r="H16" s="10"/>
      <c r="I16" s="10"/>
      <c r="J16" s="10"/>
      <c r="K16" s="10"/>
      <c r="L16" s="10"/>
      <c r="M16" s="10"/>
      <c r="N16" s="10"/>
      <c r="O16" s="10"/>
      <c r="P16" s="10"/>
      <c r="Q16" s="10"/>
      <c r="R16" s="10"/>
      <c r="S16" s="10"/>
      <c r="T16" s="10"/>
      <c r="U16" s="10"/>
      <c r="V16" s="10"/>
      <c r="W16" s="10"/>
      <c r="X16" s="10">
        <v>3</v>
      </c>
      <c r="Y16" s="10"/>
      <c r="Z16" s="10"/>
      <c r="AA16" s="10"/>
      <c r="AB16" s="10" t="b">
        <v>1</v>
      </c>
      <c r="AC16" s="10" t="b">
        <v>0</v>
      </c>
      <c r="AD16" s="10" t="s">
        <v>609</v>
      </c>
      <c r="AE16" s="10" t="s">
        <v>520</v>
      </c>
      <c r="AF16" s="10" t="s">
        <v>609</v>
      </c>
      <c r="AG16" s="10" t="s">
        <v>520</v>
      </c>
      <c r="AH16" s="10" t="s">
        <v>530</v>
      </c>
      <c r="AI16" s="36" t="s">
        <v>599</v>
      </c>
      <c r="AJ16" s="10"/>
      <c r="AK16" s="10" t="s">
        <v>540</v>
      </c>
      <c r="AL16" s="10" t="s">
        <v>563</v>
      </c>
      <c r="AM16" s="10"/>
      <c r="AN16" s="10"/>
      <c r="AO16" s="10"/>
      <c r="AP16" s="10"/>
      <c r="AQ16" s="10" t="b">
        <v>0</v>
      </c>
      <c r="AR16" s="10"/>
      <c r="AS16" s="10"/>
      <c r="AT16" s="10"/>
      <c r="AU16" s="10"/>
      <c r="AV16" s="10"/>
      <c r="AW16" s="10"/>
      <c r="AX16" s="10"/>
      <c r="AY16" s="10"/>
      <c r="AZ16" s="10"/>
      <c r="BA16" s="10"/>
      <c r="BB16" s="10"/>
      <c r="BC16" s="10"/>
      <c r="BD16" s="10"/>
      <c r="BE16" s="10"/>
      <c r="BF16" s="10"/>
      <c r="BG16" s="10"/>
      <c r="BH16" s="10"/>
      <c r="BI16" s="10" t="b">
        <v>1</v>
      </c>
      <c r="BJ16" s="10"/>
      <c r="BK16" s="10"/>
      <c r="BL16" s="10"/>
      <c r="BM16" s="10"/>
      <c r="BN16" s="10"/>
      <c r="BO16" s="10"/>
    </row>
    <row r="17" spans="1:67" ht="365.1" customHeight="1">
      <c r="A17" s="10"/>
      <c r="B17" s="10">
        <v>1122091</v>
      </c>
      <c r="C17" s="11">
        <v>42103</v>
      </c>
      <c r="D17" s="10">
        <v>13</v>
      </c>
      <c r="E17" s="10" t="s">
        <v>211</v>
      </c>
      <c r="F17" s="10" t="b">
        <v>1</v>
      </c>
      <c r="G17" s="10"/>
      <c r="H17" s="10"/>
      <c r="I17" s="10"/>
      <c r="J17" s="10"/>
      <c r="K17" s="10"/>
      <c r="L17" s="10"/>
      <c r="M17" s="10"/>
      <c r="N17" s="10"/>
      <c r="O17" s="10"/>
      <c r="P17" s="10"/>
      <c r="Q17" s="10"/>
      <c r="R17" s="10"/>
      <c r="S17" s="10"/>
      <c r="T17" s="10"/>
      <c r="U17" s="10" t="s">
        <v>482</v>
      </c>
      <c r="V17" s="10" t="s">
        <v>482</v>
      </c>
      <c r="W17" s="10"/>
      <c r="X17" s="10">
        <v>3</v>
      </c>
      <c r="Y17" s="10"/>
      <c r="Z17" s="10"/>
      <c r="AA17" s="10"/>
      <c r="AB17" s="10" t="b">
        <v>0</v>
      </c>
      <c r="AC17" s="10" t="b">
        <v>0</v>
      </c>
      <c r="AD17" s="10" t="s">
        <v>609</v>
      </c>
      <c r="AE17" s="10" t="s">
        <v>520</v>
      </c>
      <c r="AF17" s="10" t="s">
        <v>609</v>
      </c>
      <c r="AG17" s="10" t="s">
        <v>520</v>
      </c>
      <c r="AH17" s="10" t="s">
        <v>530</v>
      </c>
      <c r="AI17" s="10"/>
      <c r="AJ17" s="10"/>
      <c r="AK17" s="10" t="s">
        <v>540</v>
      </c>
      <c r="AL17" s="10" t="s">
        <v>563</v>
      </c>
      <c r="AM17" s="10"/>
      <c r="AN17" s="10"/>
      <c r="AO17" s="10"/>
      <c r="AP17" s="10"/>
      <c r="AQ17" s="10"/>
      <c r="AR17" s="10"/>
      <c r="AS17" s="10"/>
      <c r="AT17" s="10"/>
      <c r="AU17" s="10"/>
      <c r="AV17" s="10"/>
      <c r="AW17" s="10"/>
      <c r="AX17" s="10"/>
      <c r="AY17" s="10"/>
      <c r="AZ17" s="10"/>
      <c r="BA17" s="10"/>
      <c r="BB17" s="10"/>
      <c r="BC17" s="10"/>
      <c r="BD17" s="10"/>
      <c r="BE17" s="10"/>
      <c r="BF17" s="10"/>
      <c r="BG17" s="10"/>
      <c r="BH17" s="10" t="b">
        <v>1</v>
      </c>
      <c r="BI17" s="10" t="b">
        <v>1</v>
      </c>
      <c r="BJ17" s="10"/>
      <c r="BK17" s="10"/>
      <c r="BL17" s="10"/>
      <c r="BM17" s="10"/>
      <c r="BN17" s="10"/>
      <c r="BO17" s="10"/>
    </row>
    <row r="18" spans="1:67" ht="365.1" customHeight="1">
      <c r="A18" s="10"/>
      <c r="B18" s="10">
        <v>1122091</v>
      </c>
      <c r="C18" s="11">
        <v>42131</v>
      </c>
      <c r="D18" s="10">
        <v>14</v>
      </c>
      <c r="E18" s="10" t="s">
        <v>212</v>
      </c>
      <c r="F18" s="10" t="b">
        <v>1</v>
      </c>
      <c r="G18" s="10"/>
      <c r="H18" s="10"/>
      <c r="I18" s="10"/>
      <c r="J18" s="10"/>
      <c r="K18" s="10"/>
      <c r="L18" s="10"/>
      <c r="M18" s="10"/>
      <c r="N18" s="10"/>
      <c r="O18" s="10"/>
      <c r="P18" s="10"/>
      <c r="Q18" s="10"/>
      <c r="R18" s="10"/>
      <c r="S18" s="10"/>
      <c r="T18" s="10"/>
      <c r="U18" s="10" t="s">
        <v>482</v>
      </c>
      <c r="V18" s="10" t="s">
        <v>482</v>
      </c>
      <c r="W18" s="10"/>
      <c r="X18" s="10"/>
      <c r="Y18" s="10"/>
      <c r="Z18" s="10"/>
      <c r="AA18" s="10"/>
      <c r="AB18" s="10" t="b">
        <v>0</v>
      </c>
      <c r="AC18" s="10" t="b">
        <v>0</v>
      </c>
      <c r="AD18" s="10" t="s">
        <v>609</v>
      </c>
      <c r="AE18" s="10" t="s">
        <v>520</v>
      </c>
      <c r="AF18" s="10" t="s">
        <v>609</v>
      </c>
      <c r="AG18" s="10" t="s">
        <v>520</v>
      </c>
      <c r="AH18" s="10" t="s">
        <v>532</v>
      </c>
      <c r="AI18" s="10"/>
      <c r="AJ18" s="10"/>
      <c r="AK18" s="10" t="s">
        <v>540</v>
      </c>
      <c r="AL18" s="10" t="s">
        <v>563</v>
      </c>
      <c r="AM18" s="10"/>
      <c r="AN18" s="10"/>
      <c r="AO18" s="10"/>
      <c r="AP18" s="10"/>
      <c r="AQ18" s="10"/>
      <c r="AR18" s="10"/>
      <c r="AS18" s="10"/>
      <c r="AT18" s="10"/>
      <c r="AU18" s="10"/>
      <c r="AV18" s="10"/>
      <c r="AW18" s="10"/>
      <c r="AX18" s="10"/>
      <c r="AY18" s="10"/>
      <c r="AZ18" s="10"/>
      <c r="BA18" s="10"/>
      <c r="BB18" s="10"/>
      <c r="BC18" s="10"/>
      <c r="BD18" s="10"/>
      <c r="BE18" s="10"/>
      <c r="BF18" s="10"/>
      <c r="BG18" s="10"/>
      <c r="BH18" s="10" t="b">
        <v>1</v>
      </c>
      <c r="BI18" s="10" t="b">
        <v>1</v>
      </c>
      <c r="BJ18" s="10"/>
      <c r="BK18" s="10"/>
      <c r="BL18" s="10"/>
      <c r="BM18" s="10"/>
      <c r="BN18" s="10"/>
      <c r="BO18" s="10"/>
    </row>
    <row r="19" spans="1:67" ht="409.5" customHeight="1">
      <c r="A19" s="10"/>
      <c r="B19" s="10">
        <v>1122091</v>
      </c>
      <c r="C19" s="11">
        <v>42159</v>
      </c>
      <c r="D19" s="10">
        <v>15</v>
      </c>
      <c r="E19" s="10" t="s">
        <v>213</v>
      </c>
      <c r="F19" s="10" t="b">
        <v>1</v>
      </c>
      <c r="G19" s="10"/>
      <c r="H19" s="10"/>
      <c r="I19" s="10"/>
      <c r="J19" s="10"/>
      <c r="K19" s="10"/>
      <c r="L19" s="10"/>
      <c r="M19" s="10"/>
      <c r="N19" s="10"/>
      <c r="O19" s="10"/>
      <c r="P19" s="10"/>
      <c r="Q19" s="10"/>
      <c r="R19" s="10"/>
      <c r="S19" s="10"/>
      <c r="T19" s="10"/>
      <c r="U19" s="10"/>
      <c r="V19" s="10"/>
      <c r="W19" s="10"/>
      <c r="X19" s="10"/>
      <c r="Y19" s="10"/>
      <c r="Z19" s="10" t="b">
        <v>1</v>
      </c>
      <c r="AA19" s="10"/>
      <c r="AB19" s="10" t="b">
        <v>0</v>
      </c>
      <c r="AC19" s="10" t="b">
        <v>0</v>
      </c>
      <c r="AD19" s="10" t="s">
        <v>609</v>
      </c>
      <c r="AE19" s="10" t="s">
        <v>520</v>
      </c>
      <c r="AF19" s="10" t="s">
        <v>609</v>
      </c>
      <c r="AG19" s="10" t="s">
        <v>520</v>
      </c>
      <c r="AH19" s="10" t="s">
        <v>532</v>
      </c>
      <c r="AI19" s="10"/>
      <c r="AJ19" s="10"/>
      <c r="AK19" s="10" t="s">
        <v>540</v>
      </c>
      <c r="AL19" s="10" t="s">
        <v>563</v>
      </c>
      <c r="AM19" s="10"/>
      <c r="AN19" s="10"/>
      <c r="AO19" s="10"/>
      <c r="AP19" s="10"/>
      <c r="AQ19" s="10"/>
      <c r="AR19" s="10"/>
      <c r="AS19" s="10"/>
      <c r="AT19" s="10"/>
      <c r="AU19" s="10"/>
      <c r="AV19" s="10"/>
      <c r="AW19" s="10"/>
      <c r="AX19" s="10"/>
      <c r="AY19" s="10"/>
      <c r="AZ19" s="10"/>
      <c r="BA19" s="10"/>
      <c r="BB19" s="10"/>
      <c r="BC19" s="10"/>
      <c r="BD19" s="10"/>
      <c r="BE19" s="10"/>
      <c r="BF19" s="10"/>
      <c r="BG19" s="10"/>
      <c r="BH19" s="10" t="b">
        <v>1</v>
      </c>
      <c r="BI19" s="10" t="b">
        <v>1</v>
      </c>
      <c r="BJ19" s="10"/>
      <c r="BK19" s="10"/>
      <c r="BL19" s="10"/>
      <c r="BM19" s="10"/>
      <c r="BN19" s="10"/>
      <c r="BO19" s="10"/>
    </row>
    <row r="20" spans="1:67" ht="320.10000000000002" customHeight="1">
      <c r="A20" s="10"/>
      <c r="B20" s="10">
        <v>1122091</v>
      </c>
      <c r="C20" s="11">
        <v>42201</v>
      </c>
      <c r="D20" s="10">
        <v>17</v>
      </c>
      <c r="E20" s="10" t="s">
        <v>214</v>
      </c>
      <c r="F20" s="10" t="b">
        <v>1</v>
      </c>
      <c r="G20" s="10"/>
      <c r="H20" s="10"/>
      <c r="I20" s="10"/>
      <c r="J20" s="10"/>
      <c r="K20" s="10"/>
      <c r="L20" s="10"/>
      <c r="M20" s="10"/>
      <c r="N20" s="10"/>
      <c r="O20" s="10"/>
      <c r="P20" s="10"/>
      <c r="Q20" s="10"/>
      <c r="R20" s="10"/>
      <c r="S20" s="10" t="s">
        <v>483</v>
      </c>
      <c r="T20" s="10" t="s">
        <v>483</v>
      </c>
      <c r="U20" s="10" t="s">
        <v>482</v>
      </c>
      <c r="V20" s="10" t="s">
        <v>482</v>
      </c>
      <c r="W20" s="10"/>
      <c r="X20" s="10"/>
      <c r="Y20" s="10"/>
      <c r="Z20" s="10" t="b">
        <v>1</v>
      </c>
      <c r="AA20" s="10"/>
      <c r="AB20" s="10" t="b">
        <v>0</v>
      </c>
      <c r="AC20" s="10" t="b">
        <v>0</v>
      </c>
      <c r="AD20" s="10" t="s">
        <v>609</v>
      </c>
      <c r="AE20" s="10" t="s">
        <v>520</v>
      </c>
      <c r="AF20" s="10" t="s">
        <v>609</v>
      </c>
      <c r="AG20" s="10" t="s">
        <v>520</v>
      </c>
      <c r="AH20" s="10" t="s">
        <v>530</v>
      </c>
      <c r="AI20" s="10"/>
      <c r="AJ20" s="10"/>
      <c r="AK20" s="10" t="s">
        <v>540</v>
      </c>
      <c r="AL20" s="10" t="s">
        <v>563</v>
      </c>
      <c r="AM20" s="10"/>
      <c r="AN20" s="10"/>
      <c r="AO20" s="10"/>
      <c r="AP20" s="10"/>
      <c r="AQ20" s="10"/>
      <c r="AR20" s="10"/>
      <c r="AS20" s="10"/>
      <c r="AT20" s="10"/>
      <c r="AU20" s="10"/>
      <c r="AV20" s="10"/>
      <c r="AW20" s="10"/>
      <c r="AX20" s="10"/>
      <c r="AY20" s="10"/>
      <c r="AZ20" s="10"/>
      <c r="BA20" s="10"/>
      <c r="BB20" s="10"/>
      <c r="BC20" s="10"/>
      <c r="BD20" s="10"/>
      <c r="BE20" s="10"/>
      <c r="BF20" s="10"/>
      <c r="BG20" s="10"/>
      <c r="BH20" s="10" t="b">
        <v>1</v>
      </c>
      <c r="BI20" s="10" t="b">
        <v>1</v>
      </c>
      <c r="BJ20" s="10"/>
      <c r="BK20" s="10"/>
      <c r="BL20" s="10"/>
      <c r="BM20" s="10"/>
      <c r="BN20" s="10"/>
      <c r="BO20" s="10"/>
    </row>
    <row r="21" spans="1:67" ht="192" customHeight="1">
      <c r="A21" s="10"/>
      <c r="B21" s="10">
        <v>1122091</v>
      </c>
      <c r="C21" s="11">
        <v>42222</v>
      </c>
      <c r="D21" s="10">
        <v>17</v>
      </c>
      <c r="E21" s="10" t="s">
        <v>215</v>
      </c>
      <c r="F21" s="10" t="b">
        <v>1</v>
      </c>
      <c r="G21" s="10"/>
      <c r="H21" s="10"/>
      <c r="I21" s="10"/>
      <c r="J21" s="10"/>
      <c r="K21" s="10"/>
      <c r="L21" s="10"/>
      <c r="M21" s="10"/>
      <c r="N21" s="10"/>
      <c r="O21" s="10"/>
      <c r="P21" s="10"/>
      <c r="Q21" s="10"/>
      <c r="R21" s="10"/>
      <c r="S21" s="10"/>
      <c r="T21" s="10"/>
      <c r="U21" s="10"/>
      <c r="V21" s="10"/>
      <c r="W21" s="10"/>
      <c r="X21" s="10"/>
      <c r="Y21" s="10"/>
      <c r="Z21" s="10"/>
      <c r="AA21" s="10"/>
      <c r="AB21" s="10" t="b">
        <v>0</v>
      </c>
      <c r="AC21" s="10" t="b">
        <v>0</v>
      </c>
      <c r="AD21" s="10" t="s">
        <v>609</v>
      </c>
      <c r="AE21" s="10" t="s">
        <v>520</v>
      </c>
      <c r="AF21" s="10" t="s">
        <v>609</v>
      </c>
      <c r="AG21" s="10" t="s">
        <v>520</v>
      </c>
      <c r="AH21" s="10" t="s">
        <v>537</v>
      </c>
      <c r="AI21" s="10" t="s">
        <v>539</v>
      </c>
      <c r="AJ21" s="36" t="s">
        <v>619</v>
      </c>
      <c r="AK21" s="10" t="s">
        <v>539</v>
      </c>
      <c r="AL21" s="10" t="s">
        <v>563</v>
      </c>
      <c r="AM21" s="10"/>
      <c r="AN21" s="10"/>
      <c r="AO21" s="10"/>
      <c r="AP21" s="10"/>
      <c r="AQ21" s="10"/>
      <c r="AR21" s="10"/>
      <c r="AS21" s="10"/>
      <c r="AT21" s="10"/>
      <c r="AU21" s="10"/>
      <c r="AV21" s="10"/>
      <c r="AW21" s="10"/>
      <c r="AX21" s="10"/>
      <c r="AY21" s="10"/>
      <c r="AZ21" s="10"/>
      <c r="BA21" s="10"/>
      <c r="BB21" s="10"/>
      <c r="BC21" s="10"/>
      <c r="BD21" s="10"/>
      <c r="BE21" s="10"/>
      <c r="BF21" s="10"/>
      <c r="BG21" s="10"/>
      <c r="BH21" s="10"/>
      <c r="BI21" s="10" t="b">
        <v>1</v>
      </c>
      <c r="BJ21" s="10"/>
      <c r="BK21" s="10"/>
      <c r="BL21" s="10"/>
      <c r="BM21" s="10"/>
      <c r="BN21" s="10"/>
      <c r="BO21" s="10"/>
    </row>
    <row r="22" spans="1:67" ht="409.5" customHeight="1">
      <c r="A22" s="10"/>
      <c r="B22" s="10">
        <v>1122091</v>
      </c>
      <c r="C22" s="11">
        <v>42270</v>
      </c>
      <c r="D22" s="10">
        <v>19</v>
      </c>
      <c r="E22" s="10" t="s">
        <v>216</v>
      </c>
      <c r="F22" s="10" t="b">
        <v>1</v>
      </c>
      <c r="G22" s="10"/>
      <c r="H22" s="10"/>
      <c r="I22" s="10"/>
      <c r="J22" s="10"/>
      <c r="K22" s="10"/>
      <c r="L22" s="10"/>
      <c r="M22" s="10"/>
      <c r="N22" s="10"/>
      <c r="O22" s="10"/>
      <c r="P22" s="10"/>
      <c r="Q22" s="10"/>
      <c r="R22" s="10"/>
      <c r="S22" s="10"/>
      <c r="T22" s="10"/>
      <c r="U22" s="10"/>
      <c r="V22" s="10"/>
      <c r="W22" s="10"/>
      <c r="X22" s="10"/>
      <c r="Y22" s="10"/>
      <c r="Z22" s="10"/>
      <c r="AA22" s="10"/>
      <c r="AB22" s="10" t="b">
        <v>0</v>
      </c>
      <c r="AC22" s="10" t="b">
        <v>0</v>
      </c>
      <c r="AD22" s="10" t="s">
        <v>609</v>
      </c>
      <c r="AE22" s="10" t="s">
        <v>520</v>
      </c>
      <c r="AF22" s="10" t="s">
        <v>609</v>
      </c>
      <c r="AG22" s="10" t="s">
        <v>520</v>
      </c>
      <c r="AH22" s="10"/>
      <c r="AI22" s="10" t="s">
        <v>539</v>
      </c>
      <c r="AJ22" s="36" t="s">
        <v>619</v>
      </c>
      <c r="AK22" s="10" t="s">
        <v>539</v>
      </c>
      <c r="AL22" s="10" t="s">
        <v>563</v>
      </c>
      <c r="AM22" s="10"/>
      <c r="AN22" s="10"/>
      <c r="AO22" s="10"/>
      <c r="AP22" s="10"/>
      <c r="AQ22" s="10"/>
      <c r="AR22" s="10"/>
      <c r="AS22" s="10"/>
      <c r="AT22" s="10"/>
      <c r="AU22" s="10"/>
      <c r="AV22" s="10"/>
      <c r="AW22" s="10"/>
      <c r="AX22" s="10"/>
      <c r="AY22" s="10"/>
      <c r="AZ22" s="10"/>
      <c r="BA22" s="10"/>
      <c r="BB22" s="10"/>
      <c r="BC22" s="10"/>
      <c r="BD22" s="10"/>
      <c r="BE22" s="10"/>
      <c r="BF22" s="10"/>
      <c r="BG22" s="10"/>
      <c r="BH22" s="10" t="b">
        <v>1</v>
      </c>
      <c r="BI22" s="10" t="b">
        <v>1</v>
      </c>
      <c r="BJ22" s="10"/>
      <c r="BK22" s="10"/>
      <c r="BL22" s="10"/>
      <c r="BM22" s="10"/>
      <c r="BN22" s="10"/>
      <c r="BO22" s="10"/>
    </row>
    <row r="23" spans="1:67" ht="409.5" customHeight="1">
      <c r="A23" s="10"/>
      <c r="B23" s="10">
        <v>1122091</v>
      </c>
      <c r="C23" s="11">
        <v>42298</v>
      </c>
      <c r="D23" s="10">
        <v>20</v>
      </c>
      <c r="E23" s="10" t="s">
        <v>217</v>
      </c>
      <c r="F23" s="10" t="b">
        <v>1</v>
      </c>
      <c r="G23" s="10"/>
      <c r="H23" s="10"/>
      <c r="I23" s="10"/>
      <c r="J23" s="10"/>
      <c r="K23" s="10"/>
      <c r="L23" s="10"/>
      <c r="M23" s="10"/>
      <c r="N23" s="10"/>
      <c r="O23" s="10"/>
      <c r="P23" s="10"/>
      <c r="Q23" s="10"/>
      <c r="R23" s="10"/>
      <c r="S23" s="10"/>
      <c r="T23" s="10"/>
      <c r="U23" s="10"/>
      <c r="V23" s="10"/>
      <c r="W23" s="10"/>
      <c r="X23" s="10"/>
      <c r="Y23" s="10"/>
      <c r="Z23" s="10" t="b">
        <v>1</v>
      </c>
      <c r="AA23" s="10"/>
      <c r="AB23" s="10" t="b">
        <v>0</v>
      </c>
      <c r="AC23" s="10" t="b">
        <v>1</v>
      </c>
      <c r="AD23" s="10" t="s">
        <v>609</v>
      </c>
      <c r="AE23" s="10" t="s">
        <v>520</v>
      </c>
      <c r="AF23" s="10" t="s">
        <v>504</v>
      </c>
      <c r="AG23" s="10" t="s">
        <v>517</v>
      </c>
      <c r="AH23" s="10"/>
      <c r="AI23" s="10" t="s">
        <v>542</v>
      </c>
      <c r="AJ23" s="10"/>
      <c r="AK23" s="10" t="s">
        <v>542</v>
      </c>
      <c r="AL23" s="10"/>
      <c r="AM23" s="10"/>
      <c r="AN23" s="10"/>
      <c r="AO23" s="10"/>
      <c r="AP23" s="10"/>
      <c r="AQ23" s="10"/>
      <c r="AR23" s="10"/>
      <c r="AS23" s="10"/>
      <c r="AT23" s="10"/>
      <c r="AU23" s="10"/>
      <c r="AV23" s="10"/>
      <c r="AW23" s="10"/>
      <c r="AX23" s="10"/>
      <c r="AY23" s="10"/>
      <c r="AZ23" s="10"/>
      <c r="BA23" s="36" t="s">
        <v>620</v>
      </c>
      <c r="BB23" s="10"/>
      <c r="BC23" s="10"/>
      <c r="BD23" s="10"/>
      <c r="BE23" s="10"/>
      <c r="BF23" s="10"/>
      <c r="BG23" s="10"/>
      <c r="BH23" s="10"/>
      <c r="BI23" s="10"/>
      <c r="BJ23" s="10"/>
      <c r="BK23" s="10"/>
      <c r="BL23" s="10"/>
      <c r="BM23" s="10"/>
      <c r="BN23" s="10"/>
      <c r="BO23" s="10"/>
    </row>
    <row r="24" spans="1:67" ht="335.1" customHeight="1">
      <c r="A24" s="10"/>
      <c r="B24" s="10">
        <v>1122091</v>
      </c>
      <c r="C24" s="11">
        <v>42306</v>
      </c>
      <c r="D24" s="10">
        <v>20</v>
      </c>
      <c r="E24" s="10" t="s">
        <v>218</v>
      </c>
      <c r="F24" s="10" t="b">
        <v>1</v>
      </c>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t="b">
        <v>1</v>
      </c>
      <c r="BE24" s="10" t="s">
        <v>523</v>
      </c>
      <c r="BF24" s="10"/>
      <c r="BG24" s="10"/>
      <c r="BH24" s="10"/>
      <c r="BI24" s="10"/>
      <c r="BJ24" s="10"/>
      <c r="BK24" s="10"/>
      <c r="BL24" s="10"/>
      <c r="BM24" s="10"/>
      <c r="BN24" s="10"/>
      <c r="BO24" s="10"/>
    </row>
    <row r="25" spans="1:67" ht="409.5" customHeight="1">
      <c r="A25" s="10"/>
      <c r="B25" s="10">
        <v>1122091</v>
      </c>
      <c r="C25" s="11">
        <v>42326</v>
      </c>
      <c r="D25" s="10">
        <v>21</v>
      </c>
      <c r="E25" s="10" t="s">
        <v>219</v>
      </c>
      <c r="F25" s="10" t="b">
        <v>1</v>
      </c>
      <c r="G25" s="10"/>
      <c r="H25" s="10"/>
      <c r="I25" s="10"/>
      <c r="J25" s="10"/>
      <c r="K25" s="10"/>
      <c r="L25" s="10"/>
      <c r="M25" s="10"/>
      <c r="N25" s="10"/>
      <c r="O25" s="10" t="b">
        <v>1</v>
      </c>
      <c r="P25" s="10"/>
      <c r="Q25" s="10"/>
      <c r="R25" s="10"/>
      <c r="S25" s="10"/>
      <c r="T25" s="10"/>
      <c r="U25" s="10"/>
      <c r="V25" s="10"/>
      <c r="W25" s="10"/>
      <c r="X25" s="10"/>
      <c r="Y25" s="10"/>
      <c r="Z25" s="10" t="b">
        <v>1</v>
      </c>
      <c r="AA25" s="10"/>
      <c r="AB25" s="10" t="b">
        <v>0</v>
      </c>
      <c r="AC25" s="10" t="b">
        <v>0</v>
      </c>
      <c r="AD25" s="10" t="s">
        <v>609</v>
      </c>
      <c r="AE25" s="10" t="s">
        <v>520</v>
      </c>
      <c r="AF25" s="10" t="s">
        <v>504</v>
      </c>
      <c r="AG25" s="10" t="s">
        <v>517</v>
      </c>
      <c r="AH25" s="10"/>
      <c r="AI25" s="10"/>
      <c r="AJ25" s="10"/>
      <c r="AK25" s="10"/>
      <c r="AL25" s="10"/>
      <c r="AM25" s="10"/>
      <c r="AN25" s="10"/>
      <c r="AO25" s="10"/>
      <c r="AP25" s="10"/>
      <c r="AQ25" s="10"/>
      <c r="AR25" s="10"/>
      <c r="AS25" s="10"/>
      <c r="AT25" s="10"/>
      <c r="AU25" s="10"/>
      <c r="AV25" s="10"/>
      <c r="AW25" s="10"/>
      <c r="AX25" s="10"/>
      <c r="AY25" s="10"/>
      <c r="AZ25" s="10"/>
      <c r="BA25" s="36" t="s">
        <v>620</v>
      </c>
      <c r="BB25" s="10"/>
      <c r="BC25" s="10"/>
      <c r="BD25" s="10"/>
      <c r="BE25" s="10"/>
      <c r="BF25" s="10"/>
      <c r="BG25" s="10"/>
      <c r="BH25" s="10"/>
      <c r="BI25" s="10"/>
      <c r="BJ25" s="10"/>
      <c r="BK25" s="10"/>
      <c r="BL25" s="10"/>
      <c r="BM25" s="10"/>
      <c r="BN25" s="10"/>
      <c r="BO25" s="10"/>
    </row>
    <row r="26" spans="1:67" ht="409.5" customHeight="1">
      <c r="A26" s="10"/>
      <c r="B26" s="10">
        <v>1122091</v>
      </c>
      <c r="C26" s="11">
        <v>42354</v>
      </c>
      <c r="D26" s="10">
        <v>22</v>
      </c>
      <c r="E26" s="10" t="s">
        <v>220</v>
      </c>
      <c r="F26" s="10" t="b">
        <v>1</v>
      </c>
      <c r="G26" s="10"/>
      <c r="H26" s="10"/>
      <c r="I26" s="10"/>
      <c r="J26" s="10"/>
      <c r="K26" s="10"/>
      <c r="L26" s="10"/>
      <c r="M26" s="10"/>
      <c r="N26" s="10"/>
      <c r="O26" s="10"/>
      <c r="P26" s="10"/>
      <c r="Q26" s="10"/>
      <c r="R26" s="10"/>
      <c r="S26" s="10"/>
      <c r="T26" s="10"/>
      <c r="U26" s="10"/>
      <c r="V26" s="10"/>
      <c r="W26" s="10"/>
      <c r="X26" s="10"/>
      <c r="Y26" s="10"/>
      <c r="Z26" s="10" t="b">
        <v>0</v>
      </c>
      <c r="AA26" s="10"/>
      <c r="AB26" s="10" t="b">
        <v>0</v>
      </c>
      <c r="AC26" s="10" t="b">
        <v>0</v>
      </c>
      <c r="AD26" s="10" t="s">
        <v>609</v>
      </c>
      <c r="AE26" s="10" t="s">
        <v>520</v>
      </c>
      <c r="AF26" s="10" t="s">
        <v>504</v>
      </c>
      <c r="AG26" s="10" t="s">
        <v>517</v>
      </c>
      <c r="AH26" s="10"/>
      <c r="AI26" s="10" t="s">
        <v>542</v>
      </c>
      <c r="AJ26" s="36" t="s">
        <v>619</v>
      </c>
      <c r="AK26" s="36" t="s">
        <v>599</v>
      </c>
      <c r="AL26" s="10"/>
      <c r="AM26" s="10"/>
      <c r="AN26" s="10"/>
      <c r="AO26" s="10"/>
      <c r="AP26" s="10"/>
      <c r="AQ26" s="10"/>
      <c r="AR26" s="10"/>
      <c r="AS26" s="10"/>
      <c r="AT26" s="10"/>
      <c r="AU26" s="10"/>
      <c r="AV26" s="10"/>
      <c r="AW26" s="10"/>
      <c r="AX26" s="10"/>
      <c r="AY26" s="10"/>
      <c r="AZ26" s="10"/>
      <c r="BA26" s="36" t="s">
        <v>620</v>
      </c>
      <c r="BB26" s="10"/>
      <c r="BC26" s="10"/>
      <c r="BD26" s="10"/>
      <c r="BE26" s="10"/>
      <c r="BF26" s="10"/>
      <c r="BG26" s="10"/>
      <c r="BH26" s="10"/>
      <c r="BI26" s="10"/>
      <c r="BJ26" s="10"/>
      <c r="BK26" s="10"/>
      <c r="BL26" s="10"/>
      <c r="BM26" s="10"/>
      <c r="BN26" s="10"/>
      <c r="BO26" s="10"/>
    </row>
    <row r="27" spans="1:67" ht="365.1" customHeight="1">
      <c r="A27" s="10"/>
      <c r="B27" s="10">
        <v>1122091</v>
      </c>
      <c r="C27" s="11">
        <v>42383</v>
      </c>
      <c r="D27" s="10">
        <v>23</v>
      </c>
      <c r="E27" s="10" t="s">
        <v>221</v>
      </c>
      <c r="F27" s="10" t="b">
        <v>1</v>
      </c>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36" t="s">
        <v>620</v>
      </c>
      <c r="BB27" s="10"/>
      <c r="BC27" s="10"/>
      <c r="BD27" s="10"/>
      <c r="BE27" s="10"/>
      <c r="BF27" s="10" t="b">
        <v>1</v>
      </c>
      <c r="BG27" s="10"/>
      <c r="BH27" s="10"/>
      <c r="BI27" s="10"/>
      <c r="BJ27" s="10"/>
      <c r="BK27" s="10"/>
      <c r="BL27" s="10" t="b">
        <v>1</v>
      </c>
      <c r="BM27" s="10" t="b">
        <v>1</v>
      </c>
      <c r="BN27" s="10"/>
      <c r="BO27" s="10"/>
    </row>
    <row r="28" spans="1:67" ht="409.5" customHeight="1">
      <c r="A28" s="10"/>
      <c r="B28" s="10">
        <v>1122091</v>
      </c>
      <c r="C28" s="11">
        <v>42396</v>
      </c>
      <c r="D28" s="10">
        <v>23</v>
      </c>
      <c r="E28" s="10" t="s">
        <v>222</v>
      </c>
      <c r="F28" s="10" t="b">
        <v>1</v>
      </c>
      <c r="G28" s="10"/>
      <c r="H28" s="10"/>
      <c r="I28" s="10"/>
      <c r="J28" s="10"/>
      <c r="K28" s="10"/>
      <c r="L28" s="10"/>
      <c r="M28" s="10"/>
      <c r="N28" s="10"/>
      <c r="O28" s="10"/>
      <c r="P28" s="10"/>
      <c r="Q28" s="10"/>
      <c r="R28" s="10" t="s">
        <v>473</v>
      </c>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36" t="s">
        <v>620</v>
      </c>
      <c r="BB28" s="10"/>
      <c r="BC28" s="10"/>
      <c r="BD28" s="10"/>
      <c r="BE28" s="10"/>
      <c r="BF28" s="10"/>
      <c r="BG28" s="10" t="s">
        <v>457</v>
      </c>
      <c r="BH28" s="10"/>
      <c r="BI28" s="10"/>
      <c r="BJ28" s="10"/>
      <c r="BK28" s="10"/>
      <c r="BL28" s="10"/>
      <c r="BM28" s="10"/>
      <c r="BN28" s="10"/>
      <c r="BO28" s="10"/>
    </row>
    <row r="29" spans="1:67" ht="335.1" customHeight="1">
      <c r="A29" s="10"/>
      <c r="B29" s="10">
        <v>1122091</v>
      </c>
      <c r="C29" s="11">
        <v>42403</v>
      </c>
      <c r="D29" s="10">
        <v>23</v>
      </c>
      <c r="E29" s="10" t="s">
        <v>223</v>
      </c>
      <c r="F29" s="10" t="b">
        <v>1</v>
      </c>
      <c r="G29" s="10"/>
      <c r="H29" s="10"/>
      <c r="I29" s="10"/>
      <c r="J29" s="10"/>
      <c r="K29" s="10"/>
      <c r="L29" s="10"/>
      <c r="M29" s="10"/>
      <c r="N29" s="10" t="b">
        <v>1</v>
      </c>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10"/>
      <c r="BM29" s="10"/>
      <c r="BN29" s="10" t="b">
        <v>1</v>
      </c>
      <c r="BO29" s="10"/>
    </row>
    <row r="30" spans="1:67" ht="159.94999999999999" customHeight="1">
      <c r="A30" s="10"/>
      <c r="B30" s="10">
        <v>1122091</v>
      </c>
      <c r="C30" s="11">
        <v>42424</v>
      </c>
      <c r="D30" s="10">
        <v>24</v>
      </c>
      <c r="E30" s="10" t="s">
        <v>224</v>
      </c>
      <c r="F30" s="10" t="b">
        <v>1</v>
      </c>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10"/>
      <c r="BM30" s="10"/>
      <c r="BN30" s="10" t="b">
        <v>1</v>
      </c>
      <c r="BO30" s="10"/>
    </row>
    <row r="31" spans="1:67" ht="192" customHeight="1">
      <c r="A31" s="10"/>
      <c r="B31" s="10">
        <v>1122091</v>
      </c>
      <c r="C31" s="11">
        <v>42446</v>
      </c>
      <c r="D31" s="10">
        <v>25</v>
      </c>
      <c r="E31" s="10" t="s">
        <v>225</v>
      </c>
      <c r="F31" s="10" t="b">
        <v>1</v>
      </c>
      <c r="G31" s="10"/>
      <c r="H31" s="10"/>
      <c r="I31" s="10"/>
      <c r="J31" s="10"/>
      <c r="K31" s="10"/>
      <c r="L31" s="10"/>
      <c r="M31" s="10"/>
      <c r="N31" s="10"/>
      <c r="O31" s="10"/>
      <c r="P31" s="10"/>
      <c r="Q31" s="10"/>
      <c r="R31" s="10"/>
      <c r="S31" s="10"/>
      <c r="T31" s="10"/>
      <c r="U31" s="10"/>
      <c r="V31" s="10"/>
      <c r="W31" s="10"/>
      <c r="X31" s="10"/>
      <c r="Y31" s="10"/>
      <c r="Z31" s="10"/>
      <c r="AA31" s="10"/>
      <c r="AB31" s="10"/>
      <c r="AC31" s="10"/>
      <c r="AD31" s="10"/>
      <c r="AE31" s="10"/>
      <c r="AF31" s="10"/>
      <c r="AG31" s="10"/>
      <c r="AH31" s="10"/>
      <c r="AI31" s="10"/>
      <c r="AJ31" s="10"/>
      <c r="AK31" s="10"/>
      <c r="AL31" s="10"/>
      <c r="AM31" s="10"/>
      <c r="AN31" s="10"/>
      <c r="AO31" s="10"/>
      <c r="AP31" s="10"/>
      <c r="AQ31" s="10"/>
      <c r="AR31" s="10"/>
      <c r="AS31" s="10"/>
      <c r="AT31" s="10"/>
      <c r="AU31" s="10"/>
      <c r="AV31" s="10"/>
      <c r="AW31" s="10"/>
      <c r="AX31" s="10"/>
      <c r="AY31" s="10"/>
      <c r="AZ31" s="10"/>
      <c r="BA31" s="10"/>
      <c r="BB31" s="10"/>
      <c r="BC31" s="10"/>
      <c r="BD31" s="10"/>
      <c r="BE31" s="10"/>
      <c r="BF31" s="10"/>
      <c r="BG31" s="10"/>
      <c r="BH31" s="10"/>
      <c r="BI31" s="10"/>
      <c r="BJ31" s="10"/>
      <c r="BK31" s="10"/>
      <c r="BL31" s="10"/>
      <c r="BM31" s="10"/>
      <c r="BN31" s="10" t="b">
        <v>1</v>
      </c>
      <c r="BO31" s="10"/>
    </row>
    <row r="32" spans="1:67" ht="224.1" customHeight="1">
      <c r="A32" s="10"/>
      <c r="B32" s="10">
        <v>1122091</v>
      </c>
      <c r="C32" s="11">
        <v>42457</v>
      </c>
      <c r="D32" s="10">
        <v>25</v>
      </c>
      <c r="E32" s="10" t="s">
        <v>226</v>
      </c>
      <c r="F32" s="10" t="b">
        <v>1</v>
      </c>
      <c r="G32" s="10"/>
      <c r="H32" s="10"/>
      <c r="I32" s="10"/>
      <c r="J32" s="10" t="b">
        <v>1</v>
      </c>
      <c r="K32" s="10"/>
      <c r="L32" s="10"/>
      <c r="M32" s="10"/>
      <c r="N32" s="10"/>
      <c r="O32" s="10"/>
      <c r="P32" s="10"/>
      <c r="Q32" s="10"/>
      <c r="R32" s="10"/>
      <c r="S32" s="10"/>
      <c r="T32" s="10"/>
      <c r="U32" s="10"/>
      <c r="V32" s="10"/>
      <c r="W32" s="10"/>
      <c r="X32" s="10"/>
      <c r="Y32" s="10"/>
      <c r="Z32" s="10"/>
      <c r="AA32" s="10"/>
      <c r="AB32" s="10"/>
      <c r="AC32" s="10"/>
      <c r="AD32" s="10"/>
      <c r="AE32" s="10"/>
      <c r="AF32" s="10" t="s">
        <v>504</v>
      </c>
      <c r="AG32" s="10" t="s">
        <v>512</v>
      </c>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t="b">
        <v>1</v>
      </c>
      <c r="BO32" s="10" t="b">
        <v>1</v>
      </c>
    </row>
    <row r="33" spans="1:67" ht="207.95" customHeight="1">
      <c r="A33" s="10"/>
      <c r="B33" s="10">
        <v>1122091</v>
      </c>
      <c r="C33" s="11">
        <v>42473</v>
      </c>
      <c r="D33" s="10">
        <v>26</v>
      </c>
      <c r="E33" s="10" t="s">
        <v>227</v>
      </c>
      <c r="F33" s="10" t="b">
        <v>1</v>
      </c>
      <c r="G33" s="10" t="b">
        <v>1</v>
      </c>
      <c r="H33" s="10"/>
      <c r="I33" s="10"/>
      <c r="J33" s="10"/>
      <c r="K33" s="10"/>
      <c r="L33" s="10"/>
      <c r="M33" s="10"/>
      <c r="N33" s="10"/>
      <c r="O33" s="10"/>
      <c r="P33" s="10"/>
      <c r="Q33" s="10"/>
      <c r="R33" s="10"/>
      <c r="S33" s="10"/>
      <c r="T33" s="10"/>
      <c r="U33" s="10"/>
      <c r="V33" s="10"/>
      <c r="W33" s="10"/>
      <c r="X33" s="10"/>
      <c r="Y33" s="10"/>
      <c r="Z33" s="10"/>
      <c r="AA33" s="10"/>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row>
    <row r="34" spans="1:67" ht="207.95" customHeight="1">
      <c r="A34" s="10"/>
      <c r="B34" s="10">
        <v>1122091</v>
      </c>
      <c r="C34" s="11">
        <v>42481</v>
      </c>
      <c r="D34" s="10">
        <v>26</v>
      </c>
      <c r="E34" s="10" t="s">
        <v>228</v>
      </c>
      <c r="F34" s="10" t="b">
        <v>1</v>
      </c>
      <c r="G34" s="10" t="b">
        <v>1</v>
      </c>
      <c r="H34" s="10"/>
      <c r="I34" s="10"/>
      <c r="J34" s="10"/>
      <c r="K34" s="10"/>
      <c r="L34" s="10"/>
      <c r="M34" s="10"/>
      <c r="N34" s="10"/>
      <c r="O34" s="10"/>
      <c r="P34" s="10"/>
      <c r="Q34" s="10"/>
      <c r="R34" s="10"/>
      <c r="S34" s="10"/>
      <c r="T34" s="10"/>
      <c r="U34" s="10"/>
      <c r="V34" s="10"/>
      <c r="W34" s="10"/>
      <c r="X34" s="10"/>
      <c r="Y34" s="10"/>
      <c r="Z34" s="10"/>
      <c r="AA34" s="10"/>
      <c r="AB34" s="10"/>
      <c r="AC34" s="10"/>
      <c r="AD34" s="10"/>
      <c r="AE34" s="10"/>
      <c r="AF34" s="10"/>
      <c r="AG34" s="10"/>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10" t="s">
        <v>590</v>
      </c>
      <c r="BH34" s="10"/>
      <c r="BI34" s="10"/>
      <c r="BJ34" s="10"/>
      <c r="BK34" s="10"/>
      <c r="BL34" s="10"/>
      <c r="BM34" s="10" t="b">
        <v>1</v>
      </c>
      <c r="BN34" s="10"/>
      <c r="BO34" s="10"/>
    </row>
    <row r="35" spans="1:67" ht="409.5" customHeight="1">
      <c r="A35" s="10"/>
      <c r="B35" s="10">
        <v>1122091</v>
      </c>
      <c r="C35" s="11">
        <v>42600</v>
      </c>
      <c r="D35" s="10">
        <v>30</v>
      </c>
      <c r="E35" s="10" t="s">
        <v>229</v>
      </c>
      <c r="F35" s="10" t="b">
        <v>1</v>
      </c>
      <c r="G35" s="10"/>
      <c r="H35" s="10"/>
      <c r="I35" s="10"/>
      <c r="J35" s="10"/>
      <c r="K35" s="10"/>
      <c r="L35" s="10"/>
      <c r="M35" s="10"/>
      <c r="N35" s="10"/>
      <c r="O35" s="10"/>
      <c r="P35" s="10"/>
      <c r="Q35" s="10"/>
      <c r="R35" s="10" t="s">
        <v>470</v>
      </c>
      <c r="S35" s="10"/>
      <c r="T35" s="10"/>
      <c r="U35" s="10"/>
      <c r="V35" s="10"/>
      <c r="W35" s="10"/>
      <c r="X35" s="10"/>
      <c r="Y35" s="10"/>
      <c r="Z35" s="10"/>
      <c r="AA35" s="10"/>
      <c r="AB35" s="10"/>
      <c r="AC35" s="10"/>
      <c r="AD35" s="10"/>
      <c r="AE35" s="10"/>
      <c r="AF35" s="10"/>
      <c r="AG35" s="10"/>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10"/>
      <c r="BH35" s="10"/>
      <c r="BI35" s="10"/>
      <c r="BJ35" s="10"/>
      <c r="BK35" s="10"/>
      <c r="BL35" s="10"/>
      <c r="BM35" s="10"/>
      <c r="BN35" s="10" t="b">
        <v>1</v>
      </c>
      <c r="BO35" s="10"/>
    </row>
    <row r="36" spans="1:67" ht="380.1" customHeight="1">
      <c r="A36" s="10"/>
      <c r="B36" s="10">
        <v>1122091</v>
      </c>
      <c r="C36" s="11">
        <v>43601</v>
      </c>
      <c r="D36" s="10">
        <v>63</v>
      </c>
      <c r="E36" s="10" t="s">
        <v>230</v>
      </c>
      <c r="F36" s="10" t="b">
        <v>1</v>
      </c>
      <c r="G36" s="10"/>
      <c r="H36" s="10"/>
      <c r="I36" s="10"/>
      <c r="J36" s="10"/>
      <c r="K36" s="10"/>
      <c r="L36" s="10"/>
      <c r="M36" s="10"/>
      <c r="N36" s="10"/>
      <c r="O36" s="10"/>
      <c r="P36" s="10"/>
      <c r="Q36" s="10"/>
      <c r="R36" s="10"/>
      <c r="S36" s="10"/>
      <c r="T36" s="10"/>
      <c r="U36" s="10"/>
      <c r="V36" s="10"/>
      <c r="W36" s="10"/>
      <c r="X36" s="10"/>
      <c r="Y36" s="10"/>
      <c r="Z36" s="10"/>
      <c r="AA36" s="10"/>
      <c r="AB36" s="10"/>
      <c r="AC36" s="10"/>
      <c r="AD36" s="10"/>
      <c r="AE36" s="10"/>
      <c r="AF36" s="10"/>
      <c r="AG36" s="10"/>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t="b">
        <v>1</v>
      </c>
      <c r="BO36" s="10"/>
    </row>
  </sheetData>
  <pageMargins left="0.75" right="0.75" top="1" bottom="1" header="0.5" footer="0.5"/>
  <tableParts count="1">
    <tablePart r:id="rId1"/>
  </tableParts>
  <extLst>
    <ext xmlns:x14="http://schemas.microsoft.com/office/spreadsheetml/2009/9/main" uri="{CCE6A557-97BC-4b89-ADB6-D9C93CAAB3DF}">
      <x14:dataValidations xmlns:xm="http://schemas.microsoft.com/office/excel/2006/main" count="60">
        <x14:dataValidation type="list" allowBlank="1" showInputMessage="1" showErrorMessage="1" xr:uid="{00000000-0002-0000-0300-000000000000}">
          <x14:formula1>
            <xm:f>list!$B$2:$C$2</xm:f>
          </x14:formula1>
          <xm:sqref>G6:G1048576</xm:sqref>
        </x14:dataValidation>
        <x14:dataValidation type="list" allowBlank="1" showInputMessage="1" showErrorMessage="1" xr:uid="{00000000-0002-0000-0300-000001000000}">
          <x14:formula1>
            <xm:f>list!$B$6:$C$6</xm:f>
          </x14:formula1>
          <xm:sqref>H2:H1048576</xm:sqref>
        </x14:dataValidation>
        <x14:dataValidation type="list" allowBlank="1" showInputMessage="1" showErrorMessage="1" xr:uid="{00000000-0002-0000-0300-000002000000}">
          <x14:formula1>
            <xm:f>list!$B$7:$C$7</xm:f>
          </x14:formula1>
          <xm:sqref>I2:I1048576</xm:sqref>
        </x14:dataValidation>
        <x14:dataValidation type="list" allowBlank="1" showInputMessage="1" showErrorMessage="1" xr:uid="{00000000-0002-0000-0300-000003000000}">
          <x14:formula1>
            <xm:f>list!$B$8:$C$8</xm:f>
          </x14:formula1>
          <xm:sqref>J2:J1048576</xm:sqref>
        </x14:dataValidation>
        <x14:dataValidation type="list" allowBlank="1" showInputMessage="1" showErrorMessage="1" xr:uid="{00000000-0002-0000-0300-000004000000}">
          <x14:formula1>
            <xm:f>list!$B$9:$C$9</xm:f>
          </x14:formula1>
          <xm:sqref>K2:K1048576</xm:sqref>
        </x14:dataValidation>
        <x14:dataValidation type="list" allowBlank="1" showInputMessage="1" showErrorMessage="1" xr:uid="{00000000-0002-0000-0300-000005000000}">
          <x14:formula1>
            <xm:f>list!$B$33:$K$33</xm:f>
          </x14:formula1>
          <xm:sqref>L2:L1048576</xm:sqref>
        </x14:dataValidation>
        <x14:dataValidation type="list" allowBlank="1" showInputMessage="1" showErrorMessage="1" xr:uid="{00000000-0002-0000-0300-000006000000}">
          <x14:formula1>
            <xm:f>list!$B$10:$C$10</xm:f>
          </x14:formula1>
          <xm:sqref>M2:M1048576</xm:sqref>
        </x14:dataValidation>
        <x14:dataValidation type="list" allowBlank="1" showInputMessage="1" showErrorMessage="1" xr:uid="{00000000-0002-0000-0300-000007000000}">
          <x14:formula1>
            <xm:f>list!$B$12:$C$12</xm:f>
          </x14:formula1>
          <xm:sqref>N2:N1048576</xm:sqref>
        </x14:dataValidation>
        <x14:dataValidation type="list" allowBlank="1" showInputMessage="1" showErrorMessage="1" xr:uid="{00000000-0002-0000-0300-000008000000}">
          <x14:formula1>
            <xm:f>list!$B$13:$C$13</xm:f>
          </x14:formula1>
          <xm:sqref>O2:O1048576</xm:sqref>
        </x14:dataValidation>
        <x14:dataValidation type="list" allowBlank="1" showInputMessage="1" showErrorMessage="1" xr:uid="{00000000-0002-0000-0300-000009000000}">
          <x14:formula1>
            <xm:f>list!$B$15:$C$15</xm:f>
          </x14:formula1>
          <xm:sqref>P2:P1048576</xm:sqref>
        </x14:dataValidation>
        <x14:dataValidation type="list" allowBlank="1" showInputMessage="1" showErrorMessage="1" xr:uid="{00000000-0002-0000-0300-00000A000000}">
          <x14:formula1>
            <xm:f>list!$B$19:$D$19</xm:f>
          </x14:formula1>
          <xm:sqref>Q2:Q1048576</xm:sqref>
        </x14:dataValidation>
        <x14:dataValidation type="list" allowBlank="1" showInputMessage="1" showErrorMessage="1" xr:uid="{00000000-0002-0000-0300-00000B000000}">
          <x14:formula1>
            <xm:f>list!$B$20:$I$20</xm:f>
          </x14:formula1>
          <xm:sqref>R2:R1048576</xm:sqref>
        </x14:dataValidation>
        <x14:dataValidation type="list" allowBlank="1" showInputMessage="1" showErrorMessage="1" xr:uid="{00000000-0002-0000-0300-00000C000000}">
          <x14:formula1>
            <xm:f>list!$B$21:$M$21</xm:f>
          </x14:formula1>
          <xm:sqref>S3:S6 S8:S10 S12:S1048576 T14</xm:sqref>
        </x14:dataValidation>
        <x14:dataValidation type="list" allowBlank="1" showInputMessage="1" showErrorMessage="1" xr:uid="{00000000-0002-0000-0300-00000D000000}">
          <x14:formula1>
            <xm:f>list!$B$22:$M$22</xm:f>
          </x14:formula1>
          <xm:sqref>T3:T6 T8:T10 T12:T13 T15:T1048576</xm:sqref>
        </x14:dataValidation>
        <x14:dataValidation type="list" allowBlank="1" showInputMessage="1" showErrorMessage="1" xr:uid="{00000000-0002-0000-0300-00000E000000}">
          <x14:formula1>
            <xm:f>list!$B$23:$M$23</xm:f>
          </x14:formula1>
          <xm:sqref>U3:U6 U8:U10 U12:U13 U15:U1048576</xm:sqref>
        </x14:dataValidation>
        <x14:dataValidation type="list" allowBlank="1" showInputMessage="1" showErrorMessage="1" xr:uid="{00000000-0002-0000-0300-00000F000000}">
          <x14:formula1>
            <xm:f>list!$B$24:$M$24</xm:f>
          </x14:formula1>
          <xm:sqref>V3:V6 V8:V10 V12:V13 V15:V1048576</xm:sqref>
        </x14:dataValidation>
        <x14:dataValidation type="list" allowBlank="1" showInputMessage="1" showErrorMessage="1" xr:uid="{00000000-0002-0000-0300-000010000000}">
          <x14:formula1>
            <xm:f>list!$B$25:$E$25</xm:f>
          </x14:formula1>
          <xm:sqref>W3:W1048576</xm:sqref>
        </x14:dataValidation>
        <x14:dataValidation type="list" allowBlank="1" showInputMessage="1" showErrorMessage="1" xr:uid="{00000000-0002-0000-0300-000011000000}">
          <x14:formula1>
            <xm:f>list!$B$26:$E$26</xm:f>
          </x14:formula1>
          <xm:sqref>X3:X15 X18:X1048576</xm:sqref>
        </x14:dataValidation>
        <x14:dataValidation type="list" allowBlank="1" showInputMessage="1" showErrorMessage="1" xr:uid="{00000000-0002-0000-0300-000012000000}">
          <x14:formula1>
            <xm:f>list!$B$29:$C$29</xm:f>
          </x14:formula1>
          <xm:sqref>Y2:Y1048576</xm:sqref>
        </x14:dataValidation>
        <x14:dataValidation type="list" allowBlank="1" showInputMessage="1" showErrorMessage="1" xr:uid="{00000000-0002-0000-0300-000013000000}">
          <x14:formula1>
            <xm:f>list!$B$27:$C$27</xm:f>
          </x14:formula1>
          <xm:sqref>Z2:Z1048576</xm:sqref>
        </x14:dataValidation>
        <x14:dataValidation type="list" allowBlank="1" showInputMessage="1" showErrorMessage="1" xr:uid="{00000000-0002-0000-0300-000014000000}">
          <x14:formula1>
            <xm:f>list!$B$32:$C$32</xm:f>
          </x14:formula1>
          <xm:sqref>AA2:AA1048576</xm:sqref>
        </x14:dataValidation>
        <x14:dataValidation type="list" allowBlank="1" showInputMessage="1" showErrorMessage="1" xr:uid="{00000000-0002-0000-0300-000015000000}">
          <x14:formula1>
            <xm:f>list!$B$34:$C$34</xm:f>
          </x14:formula1>
          <xm:sqref>AB2:AB3 AB27:AB1048576</xm:sqref>
        </x14:dataValidation>
        <x14:dataValidation type="list" allowBlank="1" showInputMessage="1" showErrorMessage="1" xr:uid="{00000000-0002-0000-0300-000016000000}">
          <x14:formula1>
            <xm:f>list!$B$35:$C$35</xm:f>
          </x14:formula1>
          <xm:sqref>AC2:AC3 AC27:AC1048576</xm:sqref>
        </x14:dataValidation>
        <x14:dataValidation type="list" allowBlank="1" showInputMessage="1" showErrorMessage="1" xr:uid="{00000000-0002-0000-0300-000017000000}">
          <x14:formula1>
            <xm:f>list!$B$36:$G$36</xm:f>
          </x14:formula1>
          <xm:sqref>AD2:AD3 AD27:AD1048576</xm:sqref>
        </x14:dataValidation>
        <x14:dataValidation type="list" allowBlank="1" showInputMessage="1" showErrorMessage="1" xr:uid="{00000000-0002-0000-0300-000018000000}">
          <x14:formula1>
            <xm:f>list!$B$37:$U$37</xm:f>
          </x14:formula1>
          <xm:sqref>AE2:AE3 AE27:AE1048576</xm:sqref>
        </x14:dataValidation>
        <x14:dataValidation type="list" allowBlank="1" showInputMessage="1" showErrorMessage="1" xr:uid="{00000000-0002-0000-0300-000019000000}">
          <x14:formula1>
            <xm:f>list!$B$38:$G$38</xm:f>
          </x14:formula1>
          <xm:sqref>AF2:AF3 AF25:AF1048576 AF23</xm:sqref>
        </x14:dataValidation>
        <x14:dataValidation type="list" allowBlank="1" showInputMessage="1" showErrorMessage="1" xr:uid="{00000000-0002-0000-0300-00001A000000}">
          <x14:formula1>
            <xm:f>list!$B$39:$U$39</xm:f>
          </x14:formula1>
          <xm:sqref>AG2:AG3 AG27:AG1048576</xm:sqref>
        </x14:dataValidation>
        <x14:dataValidation type="list" allowBlank="1" showInputMessage="1" showErrorMessage="1" xr:uid="{00000000-0002-0000-0300-00001B000000}">
          <x14:formula1>
            <xm:f>list!$B$40:$I$40</xm:f>
          </x14:formula1>
          <xm:sqref>AH2:AH3 AH27:AH1048576</xm:sqref>
        </x14:dataValidation>
        <x14:dataValidation type="list" allowBlank="1" showInputMessage="1" showErrorMessage="1" xr:uid="{00000000-0002-0000-0300-00001C000000}">
          <x14:formula1>
            <xm:f>list!$B$41:$H$41</xm:f>
          </x14:formula1>
          <xm:sqref>AI2:AI1048576</xm:sqref>
        </x14:dataValidation>
        <x14:dataValidation type="list" allowBlank="1" showInputMessage="1" showErrorMessage="1" xr:uid="{00000000-0002-0000-0300-00001D000000}">
          <x14:formula1>
            <xm:f>list!$B$42:$Z$42</xm:f>
          </x14:formula1>
          <xm:sqref>AJ2:AJ1048576</xm:sqref>
        </x14:dataValidation>
        <x14:dataValidation type="list" allowBlank="1" showInputMessage="1" showErrorMessage="1" xr:uid="{00000000-0002-0000-0300-00001E000000}">
          <x14:formula1>
            <xm:f>list!$B$43:$H$43</xm:f>
          </x14:formula1>
          <xm:sqref>AK2:AK1048576</xm:sqref>
        </x14:dataValidation>
        <x14:dataValidation type="list" allowBlank="1" showInputMessage="1" showErrorMessage="1" xr:uid="{00000000-0002-0000-0300-00001F000000}">
          <x14:formula1>
            <xm:f>list!$B$44:$Z$44</xm:f>
          </x14:formula1>
          <xm:sqref>AL2:AL1048576</xm:sqref>
        </x14:dataValidation>
        <x14:dataValidation type="list" allowBlank="1" showInputMessage="1" showErrorMessage="1" xr:uid="{00000000-0002-0000-0300-000020000000}">
          <x14:formula1>
            <xm:f>list!$B$49:$Q$49</xm:f>
          </x14:formula1>
          <xm:sqref>AM2:AM1048576</xm:sqref>
        </x14:dataValidation>
        <x14:dataValidation type="list" allowBlank="1" showInputMessage="1" showErrorMessage="1" xr:uid="{00000000-0002-0000-0300-000021000000}">
          <x14:formula1>
            <xm:f>list!$B$50:$C$50</xm:f>
          </x14:formula1>
          <xm:sqref>AN2:AN1048576</xm:sqref>
        </x14:dataValidation>
        <x14:dataValidation type="list" allowBlank="1" showInputMessage="1" showErrorMessage="1" xr:uid="{00000000-0002-0000-0300-000022000000}">
          <x14:formula1>
            <xm:f>list!$B$51:$C$51</xm:f>
          </x14:formula1>
          <xm:sqref>AO2:AO1048576</xm:sqref>
        </x14:dataValidation>
        <x14:dataValidation type="list" allowBlank="1" showInputMessage="1" showErrorMessage="1" xr:uid="{00000000-0002-0000-0300-000023000000}">
          <x14:formula1>
            <xm:f>list!$B$52:$C$52</xm:f>
          </x14:formula1>
          <xm:sqref>AP2:AP1048576</xm:sqref>
        </x14:dataValidation>
        <x14:dataValidation type="list" allowBlank="1" showInputMessage="1" showErrorMessage="1" xr:uid="{00000000-0002-0000-0300-000024000000}">
          <x14:formula1>
            <xm:f>list!$B$53:$C$53</xm:f>
          </x14:formula1>
          <xm:sqref>AQ2:AQ1048576</xm:sqref>
        </x14:dataValidation>
        <x14:dataValidation type="list" allowBlank="1" showInputMessage="1" showErrorMessage="1" xr:uid="{00000000-0002-0000-0300-000025000000}">
          <x14:formula1>
            <xm:f>list!$B$54:$C$54</xm:f>
          </x14:formula1>
          <xm:sqref>AR2:AR1048576</xm:sqref>
        </x14:dataValidation>
        <x14:dataValidation type="list" allowBlank="1" showInputMessage="1" showErrorMessage="1" xr:uid="{00000000-0002-0000-0300-000026000000}">
          <x14:formula1>
            <xm:f>list!$B$55:$C$55</xm:f>
          </x14:formula1>
          <xm:sqref>AS2:AS1048576</xm:sqref>
        </x14:dataValidation>
        <x14:dataValidation type="list" allowBlank="1" showInputMessage="1" showErrorMessage="1" xr:uid="{00000000-0002-0000-0300-000027000000}">
          <x14:formula1>
            <xm:f>list!$B$56:$C$56</xm:f>
          </x14:formula1>
          <xm:sqref>AT2:AT1048576</xm:sqref>
        </x14:dataValidation>
        <x14:dataValidation type="list" allowBlank="1" showInputMessage="1" showErrorMessage="1" xr:uid="{00000000-0002-0000-0300-000028000000}">
          <x14:formula1>
            <xm:f>list!$B$57:$C$57</xm:f>
          </x14:formula1>
          <xm:sqref>AU2:AU1048576</xm:sqref>
        </x14:dataValidation>
        <x14:dataValidation type="list" allowBlank="1" showInputMessage="1" showErrorMessage="1" xr:uid="{00000000-0002-0000-0300-000029000000}">
          <x14:formula1>
            <xm:f>list!$B$58:$C$58</xm:f>
          </x14:formula1>
          <xm:sqref>AV2:AV1048576</xm:sqref>
        </x14:dataValidation>
        <x14:dataValidation type="list" allowBlank="1" showInputMessage="1" showErrorMessage="1" xr:uid="{00000000-0002-0000-0300-00002A000000}">
          <x14:formula1>
            <xm:f>list!$B$59:$C$59</xm:f>
          </x14:formula1>
          <xm:sqref>AW2:AW1048576</xm:sqref>
        </x14:dataValidation>
        <x14:dataValidation type="list" allowBlank="1" showInputMessage="1" showErrorMessage="1" xr:uid="{00000000-0002-0000-0300-00002B000000}">
          <x14:formula1>
            <xm:f>list!$B$60:$C$60</xm:f>
          </x14:formula1>
          <xm:sqref>AX2:AX1048576</xm:sqref>
        </x14:dataValidation>
        <x14:dataValidation type="list" allowBlank="1" showInputMessage="1" showErrorMessage="1" xr:uid="{00000000-0002-0000-0300-00002C000000}">
          <x14:formula1>
            <xm:f>list!$B$61:$C$61</xm:f>
          </x14:formula1>
          <xm:sqref>AY2:AY1048576</xm:sqref>
        </x14:dataValidation>
        <x14:dataValidation type="list" allowBlank="1" showInputMessage="1" showErrorMessage="1" xr:uid="{00000000-0002-0000-0300-00002D000000}">
          <x14:formula1>
            <xm:f>list!$B$63:$C$63</xm:f>
          </x14:formula1>
          <xm:sqref>AZ2:AZ1048576</xm:sqref>
        </x14:dataValidation>
        <x14:dataValidation type="list" allowBlank="1" showInputMessage="1" showErrorMessage="1" xr:uid="{00000000-0002-0000-0300-00002E000000}">
          <x14:formula1>
            <xm:f>list!$B$64:$E$64</xm:f>
          </x14:formula1>
          <xm:sqref>BA2:BA1048576</xm:sqref>
        </x14:dataValidation>
        <x14:dataValidation type="list" allowBlank="1" showInputMessage="1" showErrorMessage="1" xr:uid="{00000000-0002-0000-0300-00002F000000}">
          <x14:formula1>
            <xm:f>list!$B$65:$F$65</xm:f>
          </x14:formula1>
          <xm:sqref>BB2:BB1048576</xm:sqref>
        </x14:dataValidation>
        <x14:dataValidation type="list" allowBlank="1" showInputMessage="1" showErrorMessage="1" xr:uid="{00000000-0002-0000-0300-000030000000}">
          <x14:formula1>
            <xm:f>list!$B$66:$C$66</xm:f>
          </x14:formula1>
          <xm:sqref>BC2:BC1048576</xm:sqref>
        </x14:dataValidation>
        <x14:dataValidation type="list" allowBlank="1" showInputMessage="1" showErrorMessage="1" xr:uid="{00000000-0002-0000-0300-000031000000}">
          <x14:formula1>
            <xm:f>list!$B$67:$C$67</xm:f>
          </x14:formula1>
          <xm:sqref>BD2:BD1048576</xm:sqref>
        </x14:dataValidation>
        <x14:dataValidation type="list" allowBlank="1" showInputMessage="1" showErrorMessage="1" xr:uid="{00000000-0002-0000-0300-000032000000}">
          <x14:formula1>
            <xm:f>list!$B$68:$G$68</xm:f>
          </x14:formula1>
          <xm:sqref>BE2:BE1048576</xm:sqref>
        </x14:dataValidation>
        <x14:dataValidation type="list" allowBlank="1" showInputMessage="1" showErrorMessage="1" xr:uid="{00000000-0002-0000-0300-000033000000}">
          <x14:formula1>
            <xm:f>list!$B$69:$C$69</xm:f>
          </x14:formula1>
          <xm:sqref>BF2:BF1048576</xm:sqref>
        </x14:dataValidation>
        <x14:dataValidation type="list" allowBlank="1" showInputMessage="1" showErrorMessage="1" xr:uid="{00000000-0002-0000-0300-000034000000}">
          <x14:formula1>
            <xm:f>list!$B$70:$G$70</xm:f>
          </x14:formula1>
          <xm:sqref>BG2:BG1048576</xm:sqref>
        </x14:dataValidation>
        <x14:dataValidation type="list" allowBlank="1" showInputMessage="1" showErrorMessage="1" xr:uid="{00000000-0002-0000-0300-000035000000}">
          <x14:formula1>
            <xm:f>list!$B$72:$C$72</xm:f>
          </x14:formula1>
          <xm:sqref>BH2:BH1048576</xm:sqref>
        </x14:dataValidation>
        <x14:dataValidation type="list" allowBlank="1" showInputMessage="1" showErrorMessage="1" xr:uid="{00000000-0002-0000-0300-000036000000}">
          <x14:formula1>
            <xm:f>list!$B$73:$C$73</xm:f>
          </x14:formula1>
          <xm:sqref>BI2:BI1048576</xm:sqref>
        </x14:dataValidation>
        <x14:dataValidation type="list" allowBlank="1" showInputMessage="1" showErrorMessage="1" xr:uid="{00000000-0002-0000-0300-000037000000}">
          <x14:formula1>
            <xm:f>list!$B$84:$D$84</xm:f>
          </x14:formula1>
          <xm:sqref>BJ2:BJ1048576</xm:sqref>
        </x14:dataValidation>
        <x14:dataValidation type="list" allowBlank="1" showInputMessage="1" showErrorMessage="1" xr:uid="{00000000-0002-0000-0300-000038000000}">
          <x14:formula1>
            <xm:f>list!$B$85:$D$85</xm:f>
          </x14:formula1>
          <xm:sqref>BK2:BK1048576</xm:sqref>
        </x14:dataValidation>
        <x14:dataValidation type="list" allowBlank="1" showInputMessage="1" showErrorMessage="1" xr:uid="{00000000-0002-0000-0300-000039000000}">
          <x14:formula1>
            <xm:f>list!$B$79:$C$79</xm:f>
          </x14:formula1>
          <xm:sqref>BL2:BL1048576</xm:sqref>
        </x14:dataValidation>
        <x14:dataValidation type="list" allowBlank="1" showInputMessage="1" showErrorMessage="1" xr:uid="{00000000-0002-0000-0300-00003A000000}">
          <x14:formula1>
            <xm:f>list!$B$80:$C$80</xm:f>
          </x14:formula1>
          <xm:sqref>BM2:BM1048576</xm:sqref>
        </x14:dataValidation>
        <x14:dataValidation type="list" allowBlank="1" showInputMessage="1" showErrorMessage="1" xr:uid="{00000000-0002-0000-0300-00003B000000}">
          <x14:formula1>
            <xm:f>list!$B$82:$C$82</xm:f>
          </x14:formula1>
          <xm:sqref>BO2:BO1048576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92D050"/>
  </sheetPr>
  <dimension ref="A1:BO31"/>
  <sheetViews>
    <sheetView zoomScale="75" zoomScaleNormal="75" workbookViewId="0">
      <pane xSplit="6" ySplit="1" topLeftCell="BC26" activePane="bottomRight" state="frozen"/>
      <selection pane="topRight" activeCell="G1" sqref="G1"/>
      <selection pane="bottomLeft" activeCell="A2" sqref="A2"/>
      <selection pane="bottomRight" activeCell="BN29" sqref="BN29"/>
    </sheetView>
  </sheetViews>
  <sheetFormatPr defaultColWidth="8.875" defaultRowHeight="15"/>
  <cols>
    <col min="1" max="1" width="1.875" style="19" customWidth="1"/>
    <col min="2" max="2" width="2.375" style="19" customWidth="1"/>
    <col min="3" max="3" width="2.25" style="19" customWidth="1"/>
    <col min="4" max="4" width="2.5" style="19" customWidth="1"/>
    <col min="5" max="5" width="90" style="19" customWidth="1"/>
    <col min="6" max="6" width="14.5" style="19" bestFit="1" customWidth="1"/>
    <col min="7" max="7" width="44.625" style="19" bestFit="1" customWidth="1"/>
    <col min="8" max="8" width="17.625" style="19" bestFit="1" customWidth="1"/>
    <col min="9" max="9" width="17.5" style="19" bestFit="1" customWidth="1"/>
    <col min="10" max="10" width="17.625" style="19" bestFit="1" customWidth="1"/>
    <col min="11" max="11" width="17.5" style="19" bestFit="1" customWidth="1"/>
    <col min="12" max="12" width="28.625" style="19" bestFit="1" customWidth="1"/>
    <col min="13" max="13" width="22.375" style="19" bestFit="1" customWidth="1"/>
    <col min="14" max="14" width="8.625" style="19" bestFit="1" customWidth="1"/>
    <col min="15" max="15" width="17.375" style="19" bestFit="1" customWidth="1"/>
    <col min="16" max="16" width="14.625" style="19" bestFit="1" customWidth="1"/>
    <col min="17" max="17" width="17.5" style="19" bestFit="1" customWidth="1"/>
    <col min="18" max="18" width="12.375" style="19" bestFit="1" customWidth="1"/>
    <col min="19" max="19" width="19.875" style="19" bestFit="1" customWidth="1"/>
    <col min="20" max="20" width="19.125" style="19" bestFit="1" customWidth="1"/>
    <col min="21" max="21" width="18.875" style="19" bestFit="1" customWidth="1"/>
    <col min="22" max="22" width="18.125" style="19" bestFit="1" customWidth="1"/>
    <col min="23" max="23" width="17.375" style="19" bestFit="1" customWidth="1"/>
    <col min="24" max="24" width="16.375" style="19" bestFit="1" customWidth="1"/>
    <col min="25" max="25" width="20.375" style="19" bestFit="1" customWidth="1"/>
    <col min="26" max="26" width="20.875" style="19" bestFit="1" customWidth="1"/>
    <col min="27" max="27" width="21.875" style="19" bestFit="1" customWidth="1"/>
    <col min="28" max="29" width="26.5" style="19" bestFit="1" customWidth="1"/>
    <col min="30" max="30" width="22.375" style="19" bestFit="1" customWidth="1"/>
    <col min="31" max="31" width="18.5" style="19" bestFit="1" customWidth="1"/>
    <col min="32" max="32" width="22.375" style="19" bestFit="1" customWidth="1"/>
    <col min="33" max="33" width="18.5" style="19" bestFit="1" customWidth="1"/>
    <col min="34" max="34" width="19.125" style="19" bestFit="1" customWidth="1"/>
    <col min="35" max="35" width="21.625" style="19" bestFit="1" customWidth="1"/>
    <col min="36" max="36" width="19.375" style="19" bestFit="1" customWidth="1"/>
    <col min="37" max="37" width="20.5" style="19" bestFit="1" customWidth="1"/>
    <col min="38" max="38" width="18.375" style="19" bestFit="1" customWidth="1"/>
    <col min="39" max="39" width="14" style="19" bestFit="1" customWidth="1"/>
    <col min="40" max="40" width="15.5" style="19" bestFit="1" customWidth="1"/>
    <col min="41" max="41" width="16.5" style="19" bestFit="1" customWidth="1"/>
    <col min="42" max="42" width="22" style="19" bestFit="1" customWidth="1"/>
    <col min="43" max="43" width="22.5" style="19" bestFit="1" customWidth="1"/>
    <col min="44" max="44" width="14.125" style="19" bestFit="1" customWidth="1"/>
    <col min="45" max="45" width="11.5" style="19" bestFit="1" customWidth="1"/>
    <col min="46" max="46" width="10" style="19" bestFit="1" customWidth="1"/>
    <col min="47" max="47" width="35" style="19" bestFit="1" customWidth="1"/>
    <col min="48" max="48" width="20.875" style="19" bestFit="1" customWidth="1"/>
    <col min="49" max="49" width="9.125" style="19" bestFit="1" customWidth="1"/>
    <col min="50" max="50" width="10.125" style="19" bestFit="1" customWidth="1"/>
    <col min="51" max="51" width="15.375" style="19" bestFit="1" customWidth="1"/>
    <col min="52" max="52" width="13.625" style="19" bestFit="1" customWidth="1"/>
    <col min="53" max="53" width="16" style="19" bestFit="1" customWidth="1"/>
    <col min="54" max="54" width="15.375" style="19" bestFit="1" customWidth="1"/>
    <col min="55" max="55" width="30.625" style="19" bestFit="1" customWidth="1"/>
    <col min="56" max="56" width="15.625" style="19" bestFit="1" customWidth="1"/>
    <col min="57" max="57" width="18.625" style="19" bestFit="1" customWidth="1"/>
    <col min="58" max="58" width="20.5" style="19" bestFit="1" customWidth="1"/>
    <col min="59" max="59" width="12.875" style="19" bestFit="1" customWidth="1"/>
    <col min="60" max="61" width="20" style="19" bestFit="1" customWidth="1"/>
    <col min="62" max="62" width="14.125" style="19" bestFit="1" customWidth="1"/>
    <col min="63" max="63" width="14" style="19" bestFit="1" customWidth="1"/>
    <col min="64" max="65" width="17.5" style="19" bestFit="1" customWidth="1"/>
    <col min="66" max="66" width="17.875" style="19" bestFit="1" customWidth="1"/>
    <col min="67" max="67" width="12.125" style="19" bestFit="1" customWidth="1"/>
    <col min="68" max="68" width="8.875" style="19" customWidth="1"/>
    <col min="69" max="16384" width="8.875" style="19"/>
  </cols>
  <sheetData>
    <row r="1" spans="1:67" ht="99" customHeight="1">
      <c r="A1" s="18" t="s">
        <v>0</v>
      </c>
      <c r="B1" s="18" t="s">
        <v>1</v>
      </c>
      <c r="C1" s="18" t="s">
        <v>2</v>
      </c>
      <c r="D1" s="18" t="s">
        <v>3</v>
      </c>
      <c r="E1" s="18" t="s">
        <v>4</v>
      </c>
      <c r="F1" s="18" t="s">
        <v>5</v>
      </c>
      <c r="G1" s="18" t="s">
        <v>6</v>
      </c>
      <c r="H1" s="18" t="s">
        <v>7</v>
      </c>
      <c r="I1" s="18" t="s">
        <v>8</v>
      </c>
      <c r="J1" s="18" t="s">
        <v>9</v>
      </c>
      <c r="K1" s="18" t="s">
        <v>10</v>
      </c>
      <c r="L1" s="18" t="s">
        <v>11</v>
      </c>
      <c r="M1" s="18" t="s">
        <v>12</v>
      </c>
      <c r="N1" s="18" t="s">
        <v>13</v>
      </c>
      <c r="O1" s="18" t="s">
        <v>14</v>
      </c>
      <c r="P1" s="18" t="s">
        <v>15</v>
      </c>
      <c r="Q1" s="18" t="s">
        <v>16</v>
      </c>
      <c r="R1" s="18" t="s">
        <v>17</v>
      </c>
      <c r="S1" s="18" t="s">
        <v>18</v>
      </c>
      <c r="T1" s="18" t="s">
        <v>19</v>
      </c>
      <c r="U1" s="18" t="s">
        <v>20</v>
      </c>
      <c r="V1" s="18" t="s">
        <v>21</v>
      </c>
      <c r="W1" s="18" t="s">
        <v>22</v>
      </c>
      <c r="X1" s="18" t="s">
        <v>23</v>
      </c>
      <c r="Y1" s="18" t="s">
        <v>24</v>
      </c>
      <c r="Z1" s="18" t="s">
        <v>25</v>
      </c>
      <c r="AA1" s="18" t="s">
        <v>26</v>
      </c>
      <c r="AB1" s="18" t="s">
        <v>27</v>
      </c>
      <c r="AC1" s="18" t="s">
        <v>28</v>
      </c>
      <c r="AD1" s="18" t="s">
        <v>29</v>
      </c>
      <c r="AE1" s="18" t="s">
        <v>30</v>
      </c>
      <c r="AF1" s="18" t="s">
        <v>31</v>
      </c>
      <c r="AG1" s="18" t="s">
        <v>32</v>
      </c>
      <c r="AH1" s="18" t="s">
        <v>33</v>
      </c>
      <c r="AI1" s="18" t="s">
        <v>34</v>
      </c>
      <c r="AJ1" s="18" t="s">
        <v>35</v>
      </c>
      <c r="AK1" s="18" t="s">
        <v>36</v>
      </c>
      <c r="AL1" s="18" t="s">
        <v>37</v>
      </c>
      <c r="AM1" s="18" t="s">
        <v>38</v>
      </c>
      <c r="AN1" s="18" t="s">
        <v>39</v>
      </c>
      <c r="AO1" s="18" t="s">
        <v>40</v>
      </c>
      <c r="AP1" s="18" t="s">
        <v>41</v>
      </c>
      <c r="AQ1" s="18" t="s">
        <v>42</v>
      </c>
      <c r="AR1" s="18" t="s">
        <v>43</v>
      </c>
      <c r="AS1" s="18" t="s">
        <v>44</v>
      </c>
      <c r="AT1" s="18" t="s">
        <v>45</v>
      </c>
      <c r="AU1" s="18" t="s">
        <v>46</v>
      </c>
      <c r="AV1" s="18" t="s">
        <v>47</v>
      </c>
      <c r="AW1" s="18" t="s">
        <v>48</v>
      </c>
      <c r="AX1" s="18" t="s">
        <v>49</v>
      </c>
      <c r="AY1" s="18" t="s">
        <v>50</v>
      </c>
      <c r="AZ1" s="18" t="s">
        <v>51</v>
      </c>
      <c r="BA1" s="18" t="s">
        <v>52</v>
      </c>
      <c r="BB1" s="18" t="s">
        <v>53</v>
      </c>
      <c r="BC1" s="18" t="s">
        <v>54</v>
      </c>
      <c r="BD1" s="18" t="s">
        <v>55</v>
      </c>
      <c r="BE1" s="18" t="s">
        <v>56</v>
      </c>
      <c r="BF1" s="18" t="s">
        <v>57</v>
      </c>
      <c r="BG1" s="18" t="s">
        <v>58</v>
      </c>
      <c r="BH1" s="18" t="s">
        <v>59</v>
      </c>
      <c r="BI1" s="18" t="s">
        <v>60</v>
      </c>
      <c r="BJ1" s="18" t="s">
        <v>61</v>
      </c>
      <c r="BK1" s="18" t="s">
        <v>62</v>
      </c>
      <c r="BL1" s="18" t="s">
        <v>63</v>
      </c>
      <c r="BM1" s="18" t="s">
        <v>64</v>
      </c>
      <c r="BN1" s="18" t="s">
        <v>65</v>
      </c>
      <c r="BO1" s="18" t="s">
        <v>66</v>
      </c>
    </row>
    <row r="2" spans="1:67" ht="80.099999999999994" customHeight="1">
      <c r="A2" s="8"/>
      <c r="B2" s="8">
        <v>1128315</v>
      </c>
      <c r="C2" s="9">
        <v>41878</v>
      </c>
      <c r="D2" s="8">
        <v>0</v>
      </c>
      <c r="E2" s="8" t="s">
        <v>231</v>
      </c>
      <c r="F2" s="8" t="b">
        <v>1</v>
      </c>
      <c r="G2" s="8"/>
      <c r="H2" s="8"/>
      <c r="I2" s="8"/>
      <c r="J2" s="8"/>
      <c r="K2" s="8"/>
      <c r="L2" s="8"/>
      <c r="M2" s="8"/>
      <c r="N2" s="8"/>
      <c r="O2" s="8"/>
      <c r="P2" s="8"/>
      <c r="Q2" s="8"/>
      <c r="R2" s="8"/>
      <c r="S2" s="8" t="s">
        <v>482</v>
      </c>
      <c r="T2" s="8" t="s">
        <v>482</v>
      </c>
      <c r="U2" s="8" t="s">
        <v>482</v>
      </c>
      <c r="V2" s="8" t="s">
        <v>482</v>
      </c>
      <c r="W2" s="8">
        <v>5</v>
      </c>
      <c r="X2" s="8">
        <v>9</v>
      </c>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t="s">
        <v>583</v>
      </c>
      <c r="BB2" s="8"/>
      <c r="BC2" s="8"/>
      <c r="BD2" s="8"/>
      <c r="BE2" s="8"/>
      <c r="BF2" s="8"/>
      <c r="BG2" s="8"/>
      <c r="BH2" s="8"/>
      <c r="BI2" s="8"/>
      <c r="BJ2" s="8"/>
      <c r="BK2" s="8"/>
      <c r="BL2" s="8"/>
      <c r="BM2" s="8"/>
      <c r="BN2" s="8"/>
      <c r="BO2" s="8"/>
    </row>
    <row r="3" spans="1:67" ht="128.1" customHeight="1">
      <c r="A3" s="8"/>
      <c r="B3" s="8">
        <v>1128315</v>
      </c>
      <c r="C3" s="9">
        <v>42102</v>
      </c>
      <c r="D3" s="8">
        <v>7</v>
      </c>
      <c r="E3" s="8" t="s">
        <v>232</v>
      </c>
      <c r="F3" s="8" t="b">
        <v>1</v>
      </c>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row>
    <row r="4" spans="1:67" ht="96" customHeight="1">
      <c r="A4" s="8"/>
      <c r="B4" s="8">
        <v>1128315</v>
      </c>
      <c r="C4" s="9">
        <v>42291</v>
      </c>
      <c r="D4" s="8">
        <v>13</v>
      </c>
      <c r="E4" s="8" t="s">
        <v>233</v>
      </c>
      <c r="F4" s="8" t="b">
        <v>1</v>
      </c>
      <c r="G4" s="8" t="b">
        <v>1</v>
      </c>
      <c r="H4" s="8"/>
      <c r="I4" s="8"/>
      <c r="J4" s="8"/>
      <c r="K4" s="8"/>
      <c r="L4" s="8"/>
      <c r="M4" s="8"/>
      <c r="N4" s="8"/>
      <c r="O4" s="8"/>
      <c r="P4" s="8"/>
      <c r="Q4" s="8"/>
      <c r="R4" s="8"/>
      <c r="S4" s="8" t="s">
        <v>482</v>
      </c>
      <c r="T4" s="8" t="s">
        <v>482</v>
      </c>
      <c r="U4" s="8" t="s">
        <v>482</v>
      </c>
      <c r="V4" s="8" t="s">
        <v>482</v>
      </c>
      <c r="W4" s="8"/>
      <c r="X4" s="8">
        <v>8</v>
      </c>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row>
    <row r="5" spans="1:67" ht="48" customHeight="1">
      <c r="A5" s="8"/>
      <c r="B5" s="8">
        <v>1128315</v>
      </c>
      <c r="C5" s="9">
        <v>42464</v>
      </c>
      <c r="D5" s="8">
        <v>19</v>
      </c>
      <c r="E5" s="8" t="s">
        <v>234</v>
      </c>
      <c r="F5" s="8" t="b">
        <v>1</v>
      </c>
      <c r="G5" s="8"/>
      <c r="H5" s="8"/>
      <c r="I5" s="8" t="b">
        <v>1</v>
      </c>
      <c r="J5" s="8"/>
      <c r="K5" s="8"/>
      <c r="L5" s="8"/>
      <c r="M5" s="8"/>
      <c r="N5" s="8"/>
      <c r="O5" s="8"/>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row>
    <row r="6" spans="1:67" ht="96" customHeight="1">
      <c r="A6" s="8"/>
      <c r="B6" s="8">
        <v>1128315</v>
      </c>
      <c r="C6" s="9">
        <v>42478</v>
      </c>
      <c r="D6" s="8">
        <v>19</v>
      </c>
      <c r="E6" s="8" t="s">
        <v>235</v>
      </c>
      <c r="F6" s="8" t="b">
        <v>1</v>
      </c>
      <c r="G6" s="8"/>
      <c r="H6" s="8"/>
      <c r="I6" s="8"/>
      <c r="J6" s="8"/>
      <c r="K6" s="8" t="b">
        <v>1</v>
      </c>
      <c r="L6" s="8"/>
      <c r="M6" s="8"/>
      <c r="N6" s="8"/>
      <c r="O6" s="8"/>
      <c r="P6" s="8"/>
      <c r="Q6" s="8"/>
      <c r="R6" s="8"/>
      <c r="S6" s="8"/>
      <c r="T6" s="8"/>
      <c r="U6" s="8"/>
      <c r="V6" s="8"/>
      <c r="W6" s="8"/>
      <c r="X6" s="8"/>
      <c r="Y6" s="8"/>
      <c r="Z6" s="8"/>
      <c r="AA6" s="8"/>
      <c r="AB6" s="8"/>
      <c r="AC6" s="8"/>
      <c r="AD6" s="8"/>
      <c r="AE6" s="8"/>
      <c r="AF6" s="8"/>
      <c r="AG6" s="8"/>
      <c r="AH6" s="8"/>
      <c r="AI6" s="8"/>
      <c r="AJ6" s="8"/>
      <c r="AK6" s="8"/>
      <c r="AL6" s="8"/>
      <c r="AM6" s="37" t="s">
        <v>623</v>
      </c>
      <c r="AN6" s="8"/>
      <c r="AO6" s="8"/>
      <c r="AP6" s="8"/>
      <c r="AQ6" s="8"/>
      <c r="AR6" s="8"/>
      <c r="AS6" s="8"/>
      <c r="AT6" s="8"/>
      <c r="AU6" s="8"/>
      <c r="AV6" s="8"/>
      <c r="AW6" s="8" t="b">
        <v>1</v>
      </c>
      <c r="AX6" s="8"/>
      <c r="AY6" s="8"/>
      <c r="AZ6" s="8"/>
      <c r="BA6" s="8"/>
      <c r="BB6" s="8"/>
      <c r="BC6" s="8" t="b">
        <v>1</v>
      </c>
      <c r="BD6" s="8"/>
      <c r="BE6" s="8"/>
      <c r="BF6" s="8"/>
      <c r="BG6" s="8"/>
      <c r="BH6" s="8"/>
      <c r="BI6" s="8"/>
      <c r="BJ6" s="8"/>
      <c r="BK6" s="8"/>
      <c r="BL6" s="8"/>
      <c r="BM6" s="8"/>
      <c r="BN6" s="8"/>
      <c r="BO6" s="8"/>
    </row>
    <row r="7" spans="1:67" ht="63.95" customHeight="1">
      <c r="A7" s="8"/>
      <c r="B7" s="8">
        <v>1128315</v>
      </c>
      <c r="C7" s="9">
        <v>42506</v>
      </c>
      <c r="D7" s="8">
        <v>20</v>
      </c>
      <c r="E7" s="8" t="s">
        <v>236</v>
      </c>
      <c r="F7" s="8" t="b">
        <v>1</v>
      </c>
      <c r="G7" s="8"/>
      <c r="H7" s="8"/>
      <c r="I7" s="8"/>
      <c r="J7" s="8"/>
      <c r="K7" s="8"/>
      <c r="L7" s="8"/>
      <c r="M7" s="8"/>
      <c r="N7" s="8"/>
      <c r="O7" s="8"/>
      <c r="P7" s="8" t="b">
        <v>0</v>
      </c>
      <c r="Q7" s="8"/>
      <c r="R7" s="8" t="s">
        <v>471</v>
      </c>
      <c r="S7" s="8"/>
      <c r="T7" s="8"/>
      <c r="U7" s="8"/>
      <c r="V7" s="8"/>
      <c r="W7" s="8"/>
      <c r="X7" s="8"/>
      <c r="Y7" s="8"/>
      <c r="Z7" s="8"/>
      <c r="AA7" s="8"/>
      <c r="AB7" s="8"/>
      <c r="AC7" s="8"/>
      <c r="AD7" s="8"/>
      <c r="AE7" s="8"/>
      <c r="AF7" s="8"/>
      <c r="AG7" s="8"/>
      <c r="AH7" s="8"/>
      <c r="AI7" s="8"/>
      <c r="AJ7" s="8"/>
      <c r="AK7" s="8"/>
      <c r="AL7" s="8"/>
      <c r="AM7" s="8"/>
      <c r="AN7" s="8"/>
      <c r="AO7" s="8"/>
      <c r="AP7" s="8"/>
      <c r="AQ7" s="8"/>
      <c r="AR7" s="8"/>
      <c r="AS7" s="8"/>
      <c r="AT7" s="8"/>
      <c r="AU7" s="8"/>
      <c r="AV7" s="8"/>
      <c r="AW7" s="8"/>
      <c r="AX7" s="8"/>
      <c r="AY7" s="8"/>
      <c r="AZ7" s="8"/>
      <c r="BA7" s="8"/>
      <c r="BB7" s="8"/>
      <c r="BC7" s="8"/>
      <c r="BD7" s="8"/>
      <c r="BE7" s="8"/>
      <c r="BF7" s="8"/>
      <c r="BG7" s="8"/>
      <c r="BH7" s="8"/>
      <c r="BI7" s="8"/>
      <c r="BJ7" s="8"/>
      <c r="BK7" s="8"/>
      <c r="BL7" s="8"/>
      <c r="BM7" s="8"/>
      <c r="BN7" s="8"/>
      <c r="BO7" s="8"/>
    </row>
    <row r="8" spans="1:67" ht="63.95" customHeight="1">
      <c r="A8" s="8"/>
      <c r="B8" s="8">
        <v>1128315</v>
      </c>
      <c r="C8" s="9">
        <v>42541</v>
      </c>
      <c r="D8" s="8">
        <v>21</v>
      </c>
      <c r="E8" s="8" t="s">
        <v>237</v>
      </c>
      <c r="F8" s="8" t="b">
        <v>1</v>
      </c>
      <c r="G8" s="8"/>
      <c r="H8" s="8" t="b">
        <v>1</v>
      </c>
      <c r="I8" s="8"/>
      <c r="J8" s="8" t="b">
        <v>1</v>
      </c>
      <c r="K8" s="8"/>
      <c r="L8" s="8"/>
      <c r="M8" s="8"/>
      <c r="N8" s="8"/>
      <c r="O8" s="8"/>
      <c r="P8" s="8"/>
      <c r="Q8" s="8"/>
      <c r="R8" s="8"/>
      <c r="S8" s="8"/>
      <c r="T8" s="8"/>
      <c r="U8" s="8"/>
      <c r="V8" s="8"/>
      <c r="W8" s="8"/>
      <c r="X8" s="8"/>
      <c r="Y8" s="8"/>
      <c r="Z8" s="8"/>
      <c r="AA8" s="8"/>
      <c r="AB8" s="8"/>
      <c r="AC8" s="8"/>
      <c r="AD8" s="8" t="s">
        <v>504</v>
      </c>
      <c r="AE8" s="8" t="s">
        <v>512</v>
      </c>
      <c r="AF8" s="8" t="s">
        <v>504</v>
      </c>
      <c r="AG8" s="8" t="s">
        <v>512</v>
      </c>
      <c r="AH8" s="8"/>
      <c r="AI8" s="8"/>
      <c r="AJ8" s="8"/>
      <c r="AK8" s="8"/>
      <c r="AL8" s="8"/>
      <c r="AM8" s="8" t="s">
        <v>573</v>
      </c>
      <c r="AN8" s="8"/>
      <c r="AO8" s="8"/>
      <c r="AP8" s="8"/>
      <c r="AQ8" s="8"/>
      <c r="AR8" s="8"/>
      <c r="AS8" s="8"/>
      <c r="AT8" s="8"/>
      <c r="AU8" s="8"/>
      <c r="AV8" s="8"/>
      <c r="AW8" s="8"/>
      <c r="AX8" s="8"/>
      <c r="AY8" s="8"/>
      <c r="AZ8" s="8"/>
      <c r="BA8" s="8"/>
      <c r="BB8" s="8"/>
      <c r="BC8" s="8"/>
      <c r="BD8" s="8"/>
      <c r="BE8" s="8"/>
      <c r="BF8" s="8"/>
      <c r="BG8" s="8"/>
      <c r="BH8" s="8"/>
      <c r="BI8" s="8"/>
      <c r="BJ8" s="8"/>
      <c r="BK8" s="8"/>
      <c r="BL8" s="8"/>
      <c r="BM8" s="8"/>
      <c r="BN8" s="8"/>
      <c r="BO8" s="8"/>
    </row>
    <row r="9" spans="1:67" ht="128.1" customHeight="1">
      <c r="A9" s="8"/>
      <c r="B9" s="8">
        <v>1128315</v>
      </c>
      <c r="C9" s="9">
        <v>42576</v>
      </c>
      <c r="D9" s="8">
        <v>22</v>
      </c>
      <c r="E9" s="8" t="s">
        <v>238</v>
      </c>
      <c r="F9" s="8" t="b">
        <v>1</v>
      </c>
      <c r="G9" s="8"/>
      <c r="H9" s="8"/>
      <c r="I9" s="8"/>
      <c r="J9" s="8"/>
      <c r="K9" s="8"/>
      <c r="L9" s="8"/>
      <c r="M9" s="8"/>
      <c r="N9" s="8"/>
      <c r="O9" s="8"/>
      <c r="P9" s="8"/>
      <c r="Q9" s="8"/>
      <c r="R9" s="8"/>
      <c r="S9" s="8" t="s">
        <v>478</v>
      </c>
      <c r="T9" s="8" t="s">
        <v>478</v>
      </c>
      <c r="U9" s="8" t="s">
        <v>478</v>
      </c>
      <c r="V9" s="8" t="s">
        <v>478</v>
      </c>
      <c r="W9" s="8"/>
      <c r="X9" s="8"/>
      <c r="Y9" s="8"/>
      <c r="Z9" s="8"/>
      <c r="AA9" s="8"/>
      <c r="AB9" s="8" t="b">
        <v>0</v>
      </c>
      <c r="AC9" s="8" t="b">
        <v>0</v>
      </c>
      <c r="AD9" s="8" t="s">
        <v>504</v>
      </c>
      <c r="AE9" s="8" t="s">
        <v>512</v>
      </c>
      <c r="AF9" s="8" t="s">
        <v>504</v>
      </c>
      <c r="AG9" s="8" t="s">
        <v>512</v>
      </c>
      <c r="AH9" s="8" t="s">
        <v>530</v>
      </c>
      <c r="AI9" s="8"/>
      <c r="AJ9" s="8"/>
      <c r="AK9" s="8"/>
      <c r="AL9" s="8"/>
      <c r="AM9" s="8" t="s">
        <v>573</v>
      </c>
      <c r="AN9" s="8"/>
      <c r="AO9" s="8"/>
      <c r="AP9" s="8"/>
      <c r="AQ9" s="8"/>
      <c r="AR9" s="8"/>
      <c r="AS9" s="8"/>
      <c r="AT9" s="8"/>
      <c r="AU9" s="8"/>
      <c r="AV9" s="8"/>
      <c r="AW9" s="8"/>
      <c r="AX9" s="8"/>
      <c r="AY9" s="8"/>
      <c r="AZ9" s="8"/>
      <c r="BA9" s="8"/>
      <c r="BB9" s="8"/>
      <c r="BC9" s="8"/>
      <c r="BD9" s="8"/>
      <c r="BE9" s="8"/>
      <c r="BF9" s="8"/>
      <c r="BG9" s="8"/>
      <c r="BH9" s="8"/>
      <c r="BI9" s="8"/>
      <c r="BJ9" s="8"/>
      <c r="BK9" s="8"/>
      <c r="BL9" s="8"/>
      <c r="BM9" s="8"/>
      <c r="BN9" s="8"/>
      <c r="BO9" s="8"/>
    </row>
    <row r="10" spans="1:67" ht="111.95" customHeight="1">
      <c r="A10" s="8"/>
      <c r="B10" s="8">
        <v>1128315</v>
      </c>
      <c r="C10" s="9">
        <v>42611</v>
      </c>
      <c r="D10" s="8">
        <v>24</v>
      </c>
      <c r="E10" s="8" t="s">
        <v>239</v>
      </c>
      <c r="F10" s="8" t="b">
        <v>1</v>
      </c>
      <c r="G10" s="8"/>
      <c r="H10" s="8"/>
      <c r="I10" s="8"/>
      <c r="J10" s="8"/>
      <c r="K10" s="8"/>
      <c r="L10" s="8"/>
      <c r="M10" s="8"/>
      <c r="N10" s="8"/>
      <c r="O10" s="8"/>
      <c r="P10" s="8"/>
      <c r="Q10" s="8"/>
      <c r="R10" s="8"/>
      <c r="S10" s="8"/>
      <c r="T10" s="8" t="s">
        <v>478</v>
      </c>
      <c r="U10" s="8"/>
      <c r="V10" s="8" t="s">
        <v>478</v>
      </c>
      <c r="W10" s="8"/>
      <c r="X10" s="8"/>
      <c r="Y10" s="8"/>
      <c r="Z10" s="8"/>
      <c r="AA10" s="8"/>
      <c r="AB10" s="8" t="b">
        <v>1</v>
      </c>
      <c r="AC10" s="8" t="b">
        <v>1</v>
      </c>
      <c r="AD10" s="8" t="s">
        <v>504</v>
      </c>
      <c r="AE10" s="8" t="s">
        <v>521</v>
      </c>
      <c r="AF10" s="8" t="s">
        <v>504</v>
      </c>
      <c r="AG10" s="8" t="s">
        <v>521</v>
      </c>
      <c r="AH10" s="8"/>
      <c r="AI10" s="8" t="s">
        <v>540</v>
      </c>
      <c r="AJ10" s="8" t="s">
        <v>563</v>
      </c>
      <c r="AK10" s="8" t="s">
        <v>540</v>
      </c>
      <c r="AL10" s="8" t="s">
        <v>563</v>
      </c>
      <c r="AM10" s="8" t="s">
        <v>573</v>
      </c>
      <c r="AN10" s="8"/>
      <c r="AO10" s="8"/>
      <c r="AP10" s="8"/>
      <c r="AQ10" s="8"/>
      <c r="AR10" s="8"/>
      <c r="AS10" s="8"/>
      <c r="AT10" s="8"/>
      <c r="AU10" s="8"/>
      <c r="AV10" s="8"/>
      <c r="AW10" s="8"/>
      <c r="AX10" s="8"/>
      <c r="AY10" s="8"/>
      <c r="AZ10" s="8"/>
      <c r="BA10" s="8"/>
      <c r="BB10" s="8"/>
      <c r="BC10" s="8"/>
      <c r="BD10" s="8" t="b">
        <v>1</v>
      </c>
      <c r="BE10" s="8" t="s">
        <v>585</v>
      </c>
      <c r="BF10" s="8" t="b">
        <v>1</v>
      </c>
      <c r="BG10" s="8"/>
      <c r="BH10" s="8"/>
      <c r="BI10" s="8"/>
      <c r="BJ10" s="8"/>
      <c r="BK10" s="8"/>
      <c r="BL10" s="8"/>
      <c r="BM10" s="8"/>
      <c r="BN10" s="8"/>
      <c r="BO10" s="8"/>
    </row>
    <row r="11" spans="1:67" ht="144" customHeight="1">
      <c r="A11" s="8"/>
      <c r="B11" s="8">
        <v>1128315</v>
      </c>
      <c r="C11" s="9">
        <v>42660</v>
      </c>
      <c r="D11" s="8">
        <v>25</v>
      </c>
      <c r="E11" s="8" t="s">
        <v>240</v>
      </c>
      <c r="F11" s="8" t="b">
        <v>1</v>
      </c>
      <c r="G11" s="8"/>
      <c r="H11" s="8" t="b">
        <v>1</v>
      </c>
      <c r="I11" s="8"/>
      <c r="J11" s="8"/>
      <c r="K11" s="8"/>
      <c r="L11" s="8"/>
      <c r="M11" s="8"/>
      <c r="N11" s="8"/>
      <c r="O11" s="8"/>
      <c r="P11" s="8"/>
      <c r="Q11" s="8"/>
      <c r="R11" s="8"/>
      <c r="S11" s="8"/>
      <c r="T11" s="8"/>
      <c r="U11" s="8"/>
      <c r="V11" s="8"/>
      <c r="W11" s="8"/>
      <c r="X11" s="8"/>
      <c r="Y11" s="8"/>
      <c r="Z11" s="8"/>
      <c r="AA11" s="8"/>
      <c r="AB11" s="8" t="b">
        <v>0</v>
      </c>
      <c r="AC11" s="8" t="b">
        <v>0</v>
      </c>
      <c r="AD11" s="8" t="s">
        <v>504</v>
      </c>
      <c r="AE11" s="8" t="s">
        <v>521</v>
      </c>
      <c r="AF11" s="8" t="s">
        <v>504</v>
      </c>
      <c r="AG11" s="8" t="s">
        <v>521</v>
      </c>
      <c r="AH11" s="8"/>
      <c r="AI11" s="8"/>
      <c r="AJ11" s="8"/>
      <c r="AK11" s="8" t="s">
        <v>540</v>
      </c>
      <c r="AL11" s="8" t="s">
        <v>563</v>
      </c>
      <c r="AM11" s="8" t="s">
        <v>573</v>
      </c>
      <c r="AN11" s="8"/>
      <c r="AO11" s="8"/>
      <c r="AP11" s="8"/>
      <c r="AQ11" s="8"/>
      <c r="AR11" s="8"/>
      <c r="AS11" s="8"/>
      <c r="AT11" s="8"/>
      <c r="AU11" s="8"/>
      <c r="AV11" s="8"/>
      <c r="AW11" s="8"/>
      <c r="AX11" s="8"/>
      <c r="AY11" s="8"/>
      <c r="AZ11" s="8"/>
      <c r="BA11" s="8" t="s">
        <v>583</v>
      </c>
      <c r="BB11" s="8"/>
      <c r="BC11" s="8"/>
      <c r="BD11" s="8"/>
      <c r="BE11" s="8"/>
      <c r="BF11" s="8"/>
      <c r="BG11" s="8"/>
      <c r="BH11" s="8"/>
      <c r="BI11" s="8"/>
      <c r="BJ11" s="8"/>
      <c r="BK11" s="8"/>
      <c r="BL11" s="8"/>
      <c r="BM11" s="8"/>
      <c r="BN11" s="8"/>
      <c r="BO11" s="8"/>
    </row>
    <row r="12" spans="1:67" ht="128.1" customHeight="1">
      <c r="A12" s="8"/>
      <c r="B12" s="8">
        <v>1128315</v>
      </c>
      <c r="C12" s="9">
        <v>42695</v>
      </c>
      <c r="D12" s="8">
        <v>26</v>
      </c>
      <c r="E12" s="8" t="s">
        <v>241</v>
      </c>
      <c r="F12" s="8" t="b">
        <v>1</v>
      </c>
      <c r="G12" s="8"/>
      <c r="H12" s="8" t="b">
        <v>1</v>
      </c>
      <c r="I12" s="8"/>
      <c r="J12" s="8"/>
      <c r="K12" s="8"/>
      <c r="L12" s="8"/>
      <c r="M12" s="8"/>
      <c r="N12" s="8"/>
      <c r="O12" s="8"/>
      <c r="P12" s="8"/>
      <c r="Q12" s="8"/>
      <c r="R12" s="8"/>
      <c r="S12" s="8"/>
      <c r="T12" s="8" t="s">
        <v>479</v>
      </c>
      <c r="U12" s="8"/>
      <c r="V12" s="8" t="s">
        <v>478</v>
      </c>
      <c r="W12" s="8"/>
      <c r="X12" s="8"/>
      <c r="Y12" s="8"/>
      <c r="Z12" s="8"/>
      <c r="AA12" s="8"/>
      <c r="AB12" s="8" t="b">
        <v>1</v>
      </c>
      <c r="AC12" s="8" t="b">
        <v>0</v>
      </c>
      <c r="AD12" s="8" t="s">
        <v>504</v>
      </c>
      <c r="AE12" s="8" t="s">
        <v>520</v>
      </c>
      <c r="AF12" s="8" t="s">
        <v>504</v>
      </c>
      <c r="AG12" s="8" t="s">
        <v>521</v>
      </c>
      <c r="AH12" s="8"/>
      <c r="AI12" s="8"/>
      <c r="AJ12" s="8"/>
      <c r="AK12" s="8" t="s">
        <v>540</v>
      </c>
      <c r="AL12" s="8"/>
      <c r="AM12" s="8"/>
      <c r="AN12" s="8"/>
      <c r="AO12" s="8"/>
      <c r="AP12" s="8"/>
      <c r="AQ12" s="8"/>
      <c r="AR12" s="8"/>
      <c r="AS12" s="8"/>
      <c r="AT12" s="8"/>
      <c r="AU12" s="8"/>
      <c r="AV12" s="8"/>
      <c r="AW12" s="8"/>
      <c r="AX12" s="8"/>
      <c r="AY12" s="8"/>
      <c r="AZ12" s="8"/>
      <c r="BA12" s="8"/>
      <c r="BB12" s="8"/>
      <c r="BC12" s="8" t="b">
        <v>1</v>
      </c>
      <c r="BD12" s="8"/>
      <c r="BE12" s="8"/>
      <c r="BF12" s="8"/>
      <c r="BG12" s="8"/>
      <c r="BH12" s="8"/>
      <c r="BI12" s="8"/>
      <c r="BJ12" s="8"/>
      <c r="BK12" s="8"/>
      <c r="BL12" s="8"/>
      <c r="BM12" s="8"/>
      <c r="BN12" s="8"/>
      <c r="BO12" s="8"/>
    </row>
    <row r="13" spans="1:67" ht="111.95" customHeight="1">
      <c r="A13" s="8"/>
      <c r="B13" s="8">
        <v>1128315</v>
      </c>
      <c r="C13" s="9">
        <v>42723</v>
      </c>
      <c r="D13" s="8">
        <v>27</v>
      </c>
      <c r="E13" s="8" t="s">
        <v>242</v>
      </c>
      <c r="F13" s="8" t="b">
        <v>1</v>
      </c>
      <c r="G13" s="8"/>
      <c r="H13" s="8"/>
      <c r="I13" s="8"/>
      <c r="J13" s="8"/>
      <c r="K13" s="8"/>
      <c r="L13" s="8"/>
      <c r="M13" s="8"/>
      <c r="N13" s="8"/>
      <c r="O13" s="8"/>
      <c r="P13" s="8"/>
      <c r="Q13" s="8"/>
      <c r="R13" s="8"/>
      <c r="S13" s="8"/>
      <c r="T13" s="8" t="s">
        <v>479</v>
      </c>
      <c r="U13" s="8"/>
      <c r="V13" s="8" t="s">
        <v>481</v>
      </c>
      <c r="W13" s="8"/>
      <c r="X13" s="8"/>
      <c r="Y13" s="8"/>
      <c r="Z13" s="8"/>
      <c r="AA13" s="8"/>
      <c r="AB13" s="8" t="b">
        <v>1</v>
      </c>
      <c r="AC13" s="8" t="b">
        <v>1</v>
      </c>
      <c r="AD13" s="8" t="s">
        <v>504</v>
      </c>
      <c r="AE13" s="8" t="s">
        <v>522</v>
      </c>
      <c r="AF13" s="8" t="s">
        <v>504</v>
      </c>
      <c r="AG13" s="8" t="s">
        <v>520</v>
      </c>
      <c r="AH13" s="8"/>
      <c r="AI13" s="8" t="s">
        <v>540</v>
      </c>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row>
    <row r="14" spans="1:67" ht="96" customHeight="1">
      <c r="A14" s="8"/>
      <c r="B14" s="8">
        <v>1128315</v>
      </c>
      <c r="C14" s="9">
        <v>42765</v>
      </c>
      <c r="D14" s="8">
        <v>29</v>
      </c>
      <c r="E14" s="8" t="s">
        <v>243</v>
      </c>
      <c r="F14" s="8" t="b">
        <v>1</v>
      </c>
      <c r="G14" s="8"/>
      <c r="H14" s="8"/>
      <c r="I14" s="8"/>
      <c r="J14" s="8"/>
      <c r="K14" s="8"/>
      <c r="L14" s="8"/>
      <c r="M14" s="8"/>
      <c r="N14" s="8"/>
      <c r="O14" s="8"/>
      <c r="P14" s="8"/>
      <c r="Q14" s="8"/>
      <c r="R14" s="8"/>
      <c r="S14" s="8" t="s">
        <v>483</v>
      </c>
      <c r="T14" s="8" t="s">
        <v>483</v>
      </c>
      <c r="U14" s="8" t="s">
        <v>478</v>
      </c>
      <c r="V14" s="8" t="s">
        <v>478</v>
      </c>
      <c r="W14" s="8"/>
      <c r="X14" s="8"/>
      <c r="Y14" s="8"/>
      <c r="Z14" s="8"/>
      <c r="AA14" s="8"/>
      <c r="AB14" s="8" t="b">
        <v>0</v>
      </c>
      <c r="AC14" s="8" t="b">
        <v>1</v>
      </c>
      <c r="AD14" s="8" t="s">
        <v>504</v>
      </c>
      <c r="AE14" s="8" t="s">
        <v>522</v>
      </c>
      <c r="AF14" s="8" t="s">
        <v>504</v>
      </c>
      <c r="AG14" s="8" t="s">
        <v>514</v>
      </c>
      <c r="AH14" s="8"/>
      <c r="AI14" s="8" t="s">
        <v>538</v>
      </c>
      <c r="AJ14" s="8"/>
      <c r="AK14" s="8" t="s">
        <v>540</v>
      </c>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row>
    <row r="15" spans="1:67" ht="144" customHeight="1">
      <c r="A15" s="8"/>
      <c r="B15" s="8">
        <v>1128315</v>
      </c>
      <c r="C15" s="9">
        <v>42800</v>
      </c>
      <c r="D15" s="8">
        <v>30</v>
      </c>
      <c r="E15" s="8" t="s">
        <v>244</v>
      </c>
      <c r="F15" s="8" t="b">
        <v>1</v>
      </c>
      <c r="G15" s="8" t="b">
        <v>1</v>
      </c>
      <c r="H15" s="8"/>
      <c r="I15" s="8"/>
      <c r="J15" s="8"/>
      <c r="K15" s="8"/>
      <c r="L15" s="8"/>
      <c r="M15" s="8"/>
      <c r="N15" s="8"/>
      <c r="O15" s="8"/>
      <c r="P15" s="8"/>
      <c r="Q15" s="8"/>
      <c r="R15" s="8"/>
      <c r="S15" s="8"/>
      <c r="T15" s="8"/>
      <c r="U15" s="8"/>
      <c r="V15" s="8"/>
      <c r="W15" s="8"/>
      <c r="X15" s="8"/>
      <c r="Y15" s="8"/>
      <c r="Z15" s="8"/>
      <c r="AA15" s="8"/>
      <c r="AB15" s="8" t="b">
        <v>1</v>
      </c>
      <c r="AC15" s="8" t="b">
        <v>1</v>
      </c>
      <c r="AD15" s="8" t="s">
        <v>504</v>
      </c>
      <c r="AE15" s="8" t="s">
        <v>520</v>
      </c>
      <c r="AF15" s="8" t="s">
        <v>504</v>
      </c>
      <c r="AG15" s="8" t="s">
        <v>520</v>
      </c>
      <c r="AH15" s="8"/>
      <c r="AI15" s="8"/>
      <c r="AJ15" s="8"/>
      <c r="AK15" s="8" t="s">
        <v>540</v>
      </c>
      <c r="AL15" s="8" t="s">
        <v>565</v>
      </c>
      <c r="AM15" s="8" t="s">
        <v>573</v>
      </c>
      <c r="AN15" s="8"/>
      <c r="AO15" s="8"/>
      <c r="AP15" s="8"/>
      <c r="AQ15" s="8"/>
      <c r="AR15" s="8"/>
      <c r="AS15" s="8"/>
      <c r="AT15" s="8"/>
      <c r="AU15" s="8"/>
      <c r="AV15" s="8"/>
      <c r="AW15" s="8" t="b">
        <v>1</v>
      </c>
      <c r="AX15" s="8"/>
      <c r="AY15" s="8"/>
      <c r="AZ15" s="8"/>
      <c r="BA15" s="8"/>
      <c r="BB15" s="8"/>
      <c r="BC15" s="8"/>
      <c r="BD15" s="8"/>
      <c r="BE15" s="8"/>
      <c r="BF15" s="8"/>
      <c r="BG15" s="8"/>
      <c r="BH15" s="8"/>
      <c r="BI15" s="8"/>
      <c r="BJ15" s="8"/>
      <c r="BK15" s="8"/>
      <c r="BL15" s="8"/>
      <c r="BM15" s="8"/>
      <c r="BN15" s="8"/>
      <c r="BO15" s="8"/>
    </row>
    <row r="16" spans="1:67" ht="63.95" customHeight="1">
      <c r="A16" s="8"/>
      <c r="B16" s="8">
        <v>1128315</v>
      </c>
      <c r="C16" s="9">
        <v>42818</v>
      </c>
      <c r="D16" s="8">
        <v>30</v>
      </c>
      <c r="E16" s="8" t="s">
        <v>245</v>
      </c>
      <c r="F16" s="8" t="b">
        <v>1</v>
      </c>
      <c r="G16" s="8"/>
      <c r="H16" s="8"/>
      <c r="I16" s="8"/>
      <c r="J16" s="8"/>
      <c r="K16" s="8"/>
      <c r="L16" s="8"/>
      <c r="M16" s="8"/>
      <c r="N16" s="8"/>
      <c r="O16" s="8"/>
      <c r="P16" s="8"/>
      <c r="Q16" s="8"/>
      <c r="R16" s="8"/>
      <c r="S16" s="8"/>
      <c r="T16" s="8"/>
      <c r="U16" s="8"/>
      <c r="V16" s="8"/>
      <c r="W16" s="8"/>
      <c r="X16" s="8"/>
      <c r="Y16" s="8"/>
      <c r="Z16" s="8"/>
      <c r="AA16" s="8"/>
      <c r="AB16" s="8"/>
      <c r="AC16" s="8"/>
      <c r="AD16" s="8"/>
      <c r="AE16" s="8"/>
      <c r="AF16" s="8"/>
      <c r="AG16" s="8"/>
      <c r="AH16" s="8"/>
      <c r="AI16" s="8"/>
      <c r="AJ16" s="8"/>
      <c r="AK16" s="8" t="s">
        <v>540</v>
      </c>
      <c r="AL16" s="8" t="s">
        <v>565</v>
      </c>
      <c r="AM16" s="8" t="s">
        <v>573</v>
      </c>
      <c r="AN16" s="8"/>
      <c r="AO16" s="8"/>
      <c r="AP16" s="8"/>
      <c r="AQ16" s="8"/>
      <c r="AR16" s="8"/>
      <c r="AS16" s="8"/>
      <c r="AT16" s="8"/>
      <c r="AU16" s="8"/>
      <c r="AV16" s="8"/>
      <c r="AW16" s="8"/>
      <c r="AX16" s="8"/>
      <c r="AY16" s="8"/>
      <c r="AZ16" s="8"/>
      <c r="BA16" s="8"/>
      <c r="BB16" s="8" t="s">
        <v>259</v>
      </c>
      <c r="BC16" s="8"/>
      <c r="BD16" s="8" t="b">
        <v>1</v>
      </c>
      <c r="BE16" s="8" t="s">
        <v>587</v>
      </c>
      <c r="BF16" s="8"/>
      <c r="BG16" s="8"/>
      <c r="BH16" s="8"/>
      <c r="BI16" s="8"/>
      <c r="BJ16" s="8"/>
      <c r="BK16" s="8"/>
      <c r="BL16" s="8"/>
      <c r="BM16" s="8"/>
      <c r="BN16" s="8"/>
      <c r="BO16" s="8"/>
    </row>
    <row r="17" spans="1:67" ht="111.95" customHeight="1">
      <c r="A17" s="8"/>
      <c r="B17" s="8">
        <v>1128315</v>
      </c>
      <c r="C17" s="9">
        <v>42871</v>
      </c>
      <c r="D17" s="8">
        <v>32</v>
      </c>
      <c r="E17" s="8" t="s">
        <v>246</v>
      </c>
      <c r="F17" s="8" t="b">
        <v>1</v>
      </c>
      <c r="G17" s="8"/>
      <c r="H17" s="8"/>
      <c r="I17" s="8"/>
      <c r="J17" s="8"/>
      <c r="K17" s="8"/>
      <c r="L17" s="8"/>
      <c r="M17" s="8" t="b">
        <v>1</v>
      </c>
      <c r="N17" s="8"/>
      <c r="O17" s="8"/>
      <c r="P17" s="8"/>
      <c r="Q17" s="8"/>
      <c r="R17" s="8"/>
      <c r="S17" s="8"/>
      <c r="T17" s="8"/>
      <c r="U17" s="8"/>
      <c r="V17" s="8"/>
      <c r="W17" s="8"/>
      <c r="X17" s="8"/>
      <c r="Y17" s="8"/>
      <c r="Z17" s="8"/>
      <c r="AA17" s="8"/>
      <c r="AB17" s="8" t="b">
        <v>1</v>
      </c>
      <c r="AC17" s="8" t="b">
        <v>1</v>
      </c>
      <c r="AD17" s="8" t="s">
        <v>507</v>
      </c>
      <c r="AE17" s="8" t="s">
        <v>520</v>
      </c>
      <c r="AF17" s="8" t="s">
        <v>504</v>
      </c>
      <c r="AG17" s="8" t="s">
        <v>512</v>
      </c>
      <c r="AH17" s="8"/>
      <c r="AI17" s="8"/>
      <c r="AJ17" s="8"/>
      <c r="AK17" s="8" t="s">
        <v>540</v>
      </c>
      <c r="AL17" s="8"/>
      <c r="AM17" s="8" t="s">
        <v>573</v>
      </c>
      <c r="AN17" s="8"/>
      <c r="AO17" s="8"/>
      <c r="AP17" s="8"/>
      <c r="AQ17" s="8"/>
      <c r="AR17" s="8"/>
      <c r="AS17" s="8"/>
      <c r="AT17" s="8"/>
      <c r="AU17" s="8"/>
      <c r="AV17" s="8"/>
      <c r="AW17" s="8"/>
      <c r="AX17" s="8"/>
      <c r="AY17" s="8"/>
      <c r="AZ17" s="8"/>
      <c r="BA17" s="8"/>
      <c r="BB17" s="8" t="s">
        <v>259</v>
      </c>
      <c r="BC17" s="8"/>
      <c r="BD17" s="8"/>
      <c r="BE17" s="8"/>
      <c r="BF17" s="8"/>
      <c r="BG17" s="8"/>
      <c r="BH17" s="8"/>
      <c r="BI17" s="8"/>
      <c r="BJ17" s="8"/>
      <c r="BK17" s="8"/>
      <c r="BL17" s="8"/>
      <c r="BM17" s="8"/>
      <c r="BN17" s="8"/>
      <c r="BO17" s="8"/>
    </row>
    <row r="18" spans="1:67" ht="111.95" customHeight="1">
      <c r="A18" s="8"/>
      <c r="B18" s="8">
        <v>1128315</v>
      </c>
      <c r="C18" s="9">
        <v>42905</v>
      </c>
      <c r="D18" s="8">
        <v>33</v>
      </c>
      <c r="E18" s="8" t="s">
        <v>247</v>
      </c>
      <c r="F18" s="8" t="b">
        <v>1</v>
      </c>
      <c r="G18" s="8"/>
      <c r="H18" s="8"/>
      <c r="I18" s="8"/>
      <c r="J18" s="8"/>
      <c r="K18" s="8"/>
      <c r="L18" s="8"/>
      <c r="M18" s="8" t="b">
        <v>1</v>
      </c>
      <c r="N18" s="8"/>
      <c r="O18" s="8"/>
      <c r="P18" s="8"/>
      <c r="Q18" s="8"/>
      <c r="R18" s="8"/>
      <c r="S18" s="8"/>
      <c r="T18" s="8"/>
      <c r="U18" s="8"/>
      <c r="V18" s="8"/>
      <c r="W18" s="8"/>
      <c r="X18" s="8"/>
      <c r="Y18" s="8"/>
      <c r="Z18" s="8"/>
      <c r="AA18" s="8"/>
      <c r="AB18" s="8" t="b">
        <v>0</v>
      </c>
      <c r="AC18" s="8" t="b">
        <v>1</v>
      </c>
      <c r="AD18" s="8" t="s">
        <v>507</v>
      </c>
      <c r="AE18" s="8" t="s">
        <v>520</v>
      </c>
      <c r="AF18" s="8" t="s">
        <v>504</v>
      </c>
      <c r="AG18" s="8" t="s">
        <v>514</v>
      </c>
      <c r="AH18" s="8"/>
      <c r="AI18" s="8"/>
      <c r="AJ18" s="8"/>
      <c r="AK18" s="8" t="s">
        <v>540</v>
      </c>
      <c r="AL18" s="8"/>
      <c r="AM18" s="8" t="s">
        <v>573</v>
      </c>
      <c r="AN18" s="8"/>
      <c r="AO18" s="8"/>
      <c r="AP18" s="8" t="b">
        <v>1</v>
      </c>
      <c r="AQ18" s="8"/>
      <c r="AR18" s="8"/>
      <c r="AS18" s="8"/>
      <c r="AT18" s="8"/>
      <c r="AU18" s="8"/>
      <c r="AV18" s="8"/>
      <c r="AW18" s="8"/>
      <c r="AX18" s="8"/>
      <c r="AY18" s="8"/>
      <c r="AZ18" s="8"/>
      <c r="BA18" s="8" t="s">
        <v>583</v>
      </c>
      <c r="BB18" s="8"/>
      <c r="BC18" s="8"/>
      <c r="BD18" s="8"/>
      <c r="BE18" s="8"/>
      <c r="BF18" s="8"/>
      <c r="BG18" s="8"/>
      <c r="BH18" s="8"/>
      <c r="BI18" s="8"/>
      <c r="BJ18" s="8"/>
      <c r="BK18" s="8"/>
      <c r="BL18" s="8"/>
      <c r="BM18" s="8"/>
      <c r="BN18" s="8"/>
      <c r="BO18" s="8"/>
    </row>
    <row r="19" spans="1:67" ht="96" customHeight="1">
      <c r="A19" s="8"/>
      <c r="B19" s="8">
        <v>1128315</v>
      </c>
      <c r="C19" s="9">
        <v>42933</v>
      </c>
      <c r="D19" s="8">
        <v>34</v>
      </c>
      <c r="E19" s="8" t="s">
        <v>248</v>
      </c>
      <c r="F19" s="8" t="b">
        <v>1</v>
      </c>
      <c r="G19" s="8"/>
      <c r="H19" s="8"/>
      <c r="I19" s="8"/>
      <c r="J19" s="8"/>
      <c r="K19" s="8"/>
      <c r="L19" s="8"/>
      <c r="M19" s="8" t="b">
        <v>1</v>
      </c>
      <c r="N19" s="8"/>
      <c r="O19" s="8"/>
      <c r="P19" s="8"/>
      <c r="Q19" s="8"/>
      <c r="R19" s="8"/>
      <c r="S19" s="8" t="s">
        <v>483</v>
      </c>
      <c r="T19" s="8" t="s">
        <v>483</v>
      </c>
      <c r="U19" s="8" t="s">
        <v>482</v>
      </c>
      <c r="V19" s="8" t="s">
        <v>482</v>
      </c>
      <c r="W19" s="8"/>
      <c r="X19" s="8"/>
      <c r="Y19" s="8"/>
      <c r="Z19" s="8"/>
      <c r="AA19" s="8"/>
      <c r="AB19" s="8" t="b">
        <v>0</v>
      </c>
      <c r="AC19" s="8" t="b">
        <v>1</v>
      </c>
      <c r="AD19" s="8" t="s">
        <v>507</v>
      </c>
      <c r="AE19" s="8" t="s">
        <v>520</v>
      </c>
      <c r="AF19" s="8" t="s">
        <v>504</v>
      </c>
      <c r="AG19" s="8" t="s">
        <v>521</v>
      </c>
      <c r="AH19" s="8" t="s">
        <v>530</v>
      </c>
      <c r="AI19" s="8"/>
      <c r="AJ19" s="8"/>
      <c r="AK19" s="8"/>
      <c r="AL19" s="8"/>
      <c r="AM19" s="8"/>
      <c r="AN19" s="8"/>
      <c r="AO19" s="8"/>
      <c r="AP19" s="8"/>
      <c r="AQ19" s="8"/>
      <c r="AR19" s="8"/>
      <c r="AS19" s="8"/>
      <c r="AT19" s="8"/>
      <c r="AU19" s="8"/>
      <c r="AV19" s="8"/>
      <c r="AW19" s="8"/>
      <c r="AX19" s="8"/>
      <c r="AY19" s="8"/>
      <c r="AZ19" s="8"/>
      <c r="BA19" s="8"/>
      <c r="BB19" s="8"/>
      <c r="BC19" s="8"/>
      <c r="BD19" s="8"/>
      <c r="BE19" s="8"/>
      <c r="BF19" s="8" t="b">
        <v>1</v>
      </c>
      <c r="BG19" s="8"/>
      <c r="BH19" s="8"/>
      <c r="BI19" s="8"/>
      <c r="BJ19" s="8"/>
      <c r="BK19" s="8"/>
      <c r="BL19" s="8"/>
      <c r="BM19" s="8"/>
      <c r="BN19" s="8"/>
      <c r="BO19" s="8"/>
    </row>
    <row r="20" spans="1:67" ht="111.95" customHeight="1">
      <c r="A20" s="8"/>
      <c r="B20" s="8">
        <v>1128315</v>
      </c>
      <c r="C20" s="9">
        <v>42961</v>
      </c>
      <c r="D20" s="8">
        <v>35</v>
      </c>
      <c r="E20" s="8" t="s">
        <v>249</v>
      </c>
      <c r="F20" s="8" t="b">
        <v>1</v>
      </c>
      <c r="G20" s="8"/>
      <c r="H20" s="8"/>
      <c r="I20" s="8"/>
      <c r="J20" s="8"/>
      <c r="K20" s="8"/>
      <c r="L20" s="8"/>
      <c r="M20" s="8"/>
      <c r="N20" s="8"/>
      <c r="O20" s="8"/>
      <c r="P20" s="8"/>
      <c r="Q20" s="8"/>
      <c r="R20" s="8"/>
      <c r="S20" s="8" t="s">
        <v>483</v>
      </c>
      <c r="T20" s="8" t="s">
        <v>483</v>
      </c>
      <c r="U20" s="8" t="s">
        <v>483</v>
      </c>
      <c r="V20" s="8" t="s">
        <v>483</v>
      </c>
      <c r="W20" s="8"/>
      <c r="X20" s="8"/>
      <c r="Y20" s="8"/>
      <c r="Z20" s="8"/>
      <c r="AA20" s="8"/>
      <c r="AB20" s="8" t="b">
        <v>1</v>
      </c>
      <c r="AC20" s="8" t="b">
        <v>0</v>
      </c>
      <c r="AD20" s="37" t="s">
        <v>621</v>
      </c>
      <c r="AE20" s="37" t="s">
        <v>622</v>
      </c>
      <c r="AF20" s="8" t="s">
        <v>504</v>
      </c>
      <c r="AG20" s="8" t="s">
        <v>521</v>
      </c>
      <c r="AH20" s="8" t="s">
        <v>530</v>
      </c>
      <c r="AI20" s="8"/>
      <c r="AJ20" s="8"/>
      <c r="AK20" s="8"/>
      <c r="AL20" s="8"/>
      <c r="AM20" s="8"/>
      <c r="AN20" s="8"/>
      <c r="AO20" s="8"/>
      <c r="AP20" s="8"/>
      <c r="AQ20" s="8"/>
      <c r="AR20" s="8"/>
      <c r="AS20" s="8"/>
      <c r="AT20" s="8"/>
      <c r="AU20" s="8"/>
      <c r="AV20" s="8"/>
      <c r="AW20" s="8"/>
      <c r="AX20" s="8"/>
      <c r="AY20" s="8"/>
      <c r="AZ20" s="8"/>
      <c r="BA20" s="8"/>
      <c r="BB20" s="8"/>
      <c r="BC20" s="8"/>
      <c r="BD20" s="8"/>
      <c r="BE20" s="8"/>
      <c r="BF20" s="8" t="b">
        <v>1</v>
      </c>
      <c r="BG20" s="8"/>
      <c r="BH20" s="8"/>
      <c r="BI20" s="8"/>
      <c r="BJ20" s="8"/>
      <c r="BK20" s="8"/>
      <c r="BL20" s="8"/>
      <c r="BM20" s="8"/>
      <c r="BN20" s="8"/>
      <c r="BO20" s="8"/>
    </row>
    <row r="21" spans="1:67" ht="63.95" customHeight="1">
      <c r="A21" s="8"/>
      <c r="B21" s="8">
        <v>1128315</v>
      </c>
      <c r="C21" s="9">
        <v>42992</v>
      </c>
      <c r="D21" s="8">
        <v>36</v>
      </c>
      <c r="E21" s="8" t="s">
        <v>250</v>
      </c>
      <c r="F21" s="8" t="b">
        <v>1</v>
      </c>
      <c r="G21" s="8"/>
      <c r="H21" s="8"/>
      <c r="I21" s="8"/>
      <c r="J21" s="8"/>
      <c r="K21" s="8"/>
      <c r="L21" s="8"/>
      <c r="M21" s="8"/>
      <c r="N21" s="8"/>
      <c r="O21" s="8"/>
      <c r="P21" s="8"/>
      <c r="Q21" s="8"/>
      <c r="R21" s="8"/>
      <c r="S21" s="8" t="s">
        <v>483</v>
      </c>
      <c r="T21" s="8" t="s">
        <v>483</v>
      </c>
      <c r="U21" s="8" t="s">
        <v>483</v>
      </c>
      <c r="V21" s="8" t="s">
        <v>483</v>
      </c>
      <c r="W21" s="8"/>
      <c r="X21" s="8"/>
      <c r="Y21" s="8"/>
      <c r="Z21" s="8"/>
      <c r="AA21" s="8"/>
      <c r="AB21" s="8" t="b">
        <v>1</v>
      </c>
      <c r="AC21" s="8" t="b">
        <v>1</v>
      </c>
      <c r="AD21" s="37" t="s">
        <v>609</v>
      </c>
      <c r="AE21" s="37" t="s">
        <v>518</v>
      </c>
      <c r="AF21" s="37" t="s">
        <v>507</v>
      </c>
      <c r="AG21" s="37" t="s">
        <v>520</v>
      </c>
      <c r="AH21" s="8" t="s">
        <v>530</v>
      </c>
      <c r="AI21" s="8"/>
      <c r="AJ21" s="8"/>
      <c r="AK21" s="8" t="s">
        <v>540</v>
      </c>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row>
    <row r="22" spans="1:67" ht="80.099999999999994" customHeight="1">
      <c r="A22" s="8"/>
      <c r="B22" s="8">
        <v>1128315</v>
      </c>
      <c r="C22" s="9">
        <v>43028</v>
      </c>
      <c r="D22" s="8">
        <v>37</v>
      </c>
      <c r="E22" s="8" t="s">
        <v>251</v>
      </c>
      <c r="F22" s="8" t="b">
        <v>1</v>
      </c>
      <c r="G22" s="8"/>
      <c r="H22" s="8"/>
      <c r="I22" s="8"/>
      <c r="J22" s="8"/>
      <c r="K22" s="8"/>
      <c r="L22" s="8"/>
      <c r="M22" s="8"/>
      <c r="N22" s="8"/>
      <c r="O22" s="8"/>
      <c r="P22" s="8"/>
      <c r="Q22" s="8"/>
      <c r="R22" s="8"/>
      <c r="S22" s="8" t="s">
        <v>483</v>
      </c>
      <c r="T22" s="8" t="s">
        <v>483</v>
      </c>
      <c r="U22" s="8" t="s">
        <v>483</v>
      </c>
      <c r="V22" s="8" t="s">
        <v>483</v>
      </c>
      <c r="W22" s="8"/>
      <c r="X22" s="8">
        <v>0.5</v>
      </c>
      <c r="Y22" s="8"/>
      <c r="Z22" s="8"/>
      <c r="AA22" s="8"/>
      <c r="AB22" s="8" t="b">
        <v>0</v>
      </c>
      <c r="AC22" s="8" t="b">
        <v>0</v>
      </c>
      <c r="AD22" s="8" t="s">
        <v>506</v>
      </c>
      <c r="AE22" s="8" t="s">
        <v>518</v>
      </c>
      <c r="AF22" s="8" t="s">
        <v>507</v>
      </c>
      <c r="AG22" s="8" t="s">
        <v>520</v>
      </c>
      <c r="AH22" s="8" t="s">
        <v>537</v>
      </c>
      <c r="AI22" s="8" t="s">
        <v>540</v>
      </c>
      <c r="AJ22" s="8" t="s">
        <v>565</v>
      </c>
      <c r="AK22" s="8" t="s">
        <v>540</v>
      </c>
      <c r="AL22" s="8" t="s">
        <v>565</v>
      </c>
      <c r="AM22" s="8"/>
      <c r="AN22" s="8"/>
      <c r="AO22" s="8"/>
      <c r="AP22" s="8"/>
      <c r="AQ22" s="8"/>
      <c r="AR22" s="8"/>
      <c r="AS22" s="8"/>
      <c r="AT22" s="8"/>
      <c r="AU22" s="8"/>
      <c r="AV22" s="8"/>
      <c r="AW22" s="8"/>
      <c r="AX22" s="8"/>
      <c r="AY22" s="8"/>
      <c r="AZ22" s="8"/>
      <c r="BA22" s="8"/>
      <c r="BB22" s="8"/>
      <c r="BC22" s="8"/>
      <c r="BD22" s="8"/>
      <c r="BE22" s="8"/>
      <c r="BF22" s="8"/>
      <c r="BG22" s="8"/>
      <c r="BH22" s="8" t="b">
        <v>1</v>
      </c>
      <c r="BI22" s="8"/>
      <c r="BJ22" s="8"/>
      <c r="BK22" s="8"/>
      <c r="BL22" s="8"/>
      <c r="BM22" s="8"/>
      <c r="BN22" s="8"/>
      <c r="BO22" s="8"/>
    </row>
    <row r="23" spans="1:67" ht="63.95" customHeight="1">
      <c r="A23" s="8"/>
      <c r="B23" s="8">
        <v>1128315</v>
      </c>
      <c r="C23" s="9">
        <v>43049</v>
      </c>
      <c r="D23" s="8">
        <v>38</v>
      </c>
      <c r="E23" s="8" t="s">
        <v>252</v>
      </c>
      <c r="F23" s="8" t="b">
        <v>1</v>
      </c>
      <c r="G23" s="8" t="b">
        <v>1</v>
      </c>
      <c r="H23" s="8"/>
      <c r="I23" s="8"/>
      <c r="J23" s="8"/>
      <c r="K23" s="8"/>
      <c r="L23" s="8"/>
      <c r="M23" s="8"/>
      <c r="N23" s="8"/>
      <c r="O23" s="8"/>
      <c r="P23" s="8"/>
      <c r="Q23" s="8"/>
      <c r="R23" s="8"/>
      <c r="S23" s="8"/>
      <c r="T23" s="8"/>
      <c r="U23" s="8"/>
      <c r="V23" s="8"/>
      <c r="W23" s="8"/>
      <c r="X23" s="8"/>
      <c r="Y23" s="8"/>
      <c r="Z23" s="8"/>
      <c r="AA23" s="8"/>
      <c r="AB23" s="8" t="b">
        <v>0</v>
      </c>
      <c r="AC23" s="8" t="b">
        <v>1</v>
      </c>
      <c r="AD23" s="8" t="s">
        <v>506</v>
      </c>
      <c r="AE23" s="8" t="s">
        <v>518</v>
      </c>
      <c r="AF23" s="8" t="s">
        <v>504</v>
      </c>
      <c r="AG23" s="8" t="s">
        <v>520</v>
      </c>
      <c r="AH23" s="8"/>
      <c r="AI23" s="8" t="s">
        <v>540</v>
      </c>
      <c r="AJ23" s="8"/>
      <c r="AK23" s="8" t="s">
        <v>540</v>
      </c>
      <c r="AL23" s="8"/>
      <c r="AM23" s="8"/>
      <c r="AN23" s="8"/>
      <c r="AO23" s="8"/>
      <c r="AP23" s="8"/>
      <c r="AQ23" s="8"/>
      <c r="AR23" s="8"/>
      <c r="AS23" s="8"/>
      <c r="AT23" s="8"/>
      <c r="AU23" s="8"/>
      <c r="AV23" s="8"/>
      <c r="AW23" s="8"/>
      <c r="AX23" s="8"/>
      <c r="AY23" s="8"/>
      <c r="AZ23" s="8"/>
      <c r="BA23" s="8"/>
      <c r="BB23" s="8"/>
      <c r="BC23" s="8" t="b">
        <v>1</v>
      </c>
      <c r="BD23" s="8"/>
      <c r="BE23" s="8"/>
      <c r="BF23" s="8"/>
      <c r="BG23" s="8"/>
      <c r="BH23" s="8"/>
      <c r="BI23" s="8"/>
      <c r="BJ23" s="8"/>
      <c r="BK23" s="8"/>
      <c r="BL23" s="8"/>
      <c r="BM23" s="8"/>
      <c r="BN23" s="8"/>
      <c r="BO23" s="8"/>
    </row>
    <row r="24" spans="1:67" ht="80.099999999999994" customHeight="1">
      <c r="A24" s="8"/>
      <c r="B24" s="8">
        <v>1128315</v>
      </c>
      <c r="C24" s="9">
        <v>43091</v>
      </c>
      <c r="D24" s="8">
        <v>39</v>
      </c>
      <c r="E24" s="8" t="s">
        <v>253</v>
      </c>
      <c r="F24" s="8" t="b">
        <v>1</v>
      </c>
      <c r="G24" s="8"/>
      <c r="H24" s="8"/>
      <c r="I24" s="8"/>
      <c r="J24" s="8"/>
      <c r="K24" s="8"/>
      <c r="L24" s="8"/>
      <c r="M24" s="8"/>
      <c r="N24" s="8" t="b">
        <v>1</v>
      </c>
      <c r="O24" s="8"/>
      <c r="P24" s="8"/>
      <c r="Q24" s="8"/>
      <c r="R24" s="8"/>
      <c r="S24" s="8"/>
      <c r="T24" s="8"/>
      <c r="U24" s="8"/>
      <c r="V24" s="8"/>
      <c r="W24" s="8"/>
      <c r="X24" s="8"/>
      <c r="Y24" s="8"/>
      <c r="Z24" s="8"/>
      <c r="AA24" s="8"/>
      <c r="AB24" s="8" t="b">
        <v>0</v>
      </c>
      <c r="AC24" s="8" t="b">
        <v>1</v>
      </c>
      <c r="AD24" s="8" t="s">
        <v>506</v>
      </c>
      <c r="AE24" s="8" t="s">
        <v>518</v>
      </c>
      <c r="AF24" s="8" t="s">
        <v>506</v>
      </c>
      <c r="AG24" s="8" t="s">
        <v>518</v>
      </c>
      <c r="AH24" s="8" t="s">
        <v>537</v>
      </c>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t="b">
        <v>1</v>
      </c>
      <c r="BI24" s="8"/>
      <c r="BJ24" s="8"/>
      <c r="BK24" s="8"/>
      <c r="BL24" s="8"/>
      <c r="BM24" s="8"/>
      <c r="BN24" s="8"/>
      <c r="BO24" s="8"/>
    </row>
    <row r="25" spans="1:67" ht="63.95" customHeight="1">
      <c r="A25" s="8"/>
      <c r="B25" s="8">
        <v>1128315</v>
      </c>
      <c r="C25" s="9">
        <v>43133</v>
      </c>
      <c r="D25" s="8">
        <v>41</v>
      </c>
      <c r="E25" s="8" t="s">
        <v>254</v>
      </c>
      <c r="F25" s="8" t="b">
        <v>1</v>
      </c>
      <c r="G25" s="8"/>
      <c r="H25" s="8"/>
      <c r="I25" s="8"/>
      <c r="J25" s="8"/>
      <c r="K25" s="8"/>
      <c r="L25" s="8"/>
      <c r="M25" s="8"/>
      <c r="N25" s="8"/>
      <c r="O25" s="8"/>
      <c r="P25" s="8"/>
      <c r="Q25" s="8"/>
      <c r="R25" s="8"/>
      <c r="S25" s="8" t="s">
        <v>483</v>
      </c>
      <c r="T25" s="8" t="s">
        <v>483</v>
      </c>
      <c r="U25" s="8" t="s">
        <v>483</v>
      </c>
      <c r="V25" s="8" t="s">
        <v>483</v>
      </c>
      <c r="W25" s="8">
        <v>2</v>
      </c>
      <c r="X25" s="8">
        <v>2</v>
      </c>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t="b">
        <v>1</v>
      </c>
      <c r="BI25" s="8" t="b">
        <v>1</v>
      </c>
      <c r="BJ25" s="8"/>
      <c r="BK25" s="8"/>
      <c r="BL25" s="8"/>
      <c r="BM25" s="8"/>
      <c r="BN25" s="8"/>
      <c r="BO25" s="8"/>
    </row>
    <row r="26" spans="1:67" ht="128.1" customHeight="1">
      <c r="A26" s="8"/>
      <c r="B26" s="8">
        <v>1128315</v>
      </c>
      <c r="C26" s="9">
        <v>43143</v>
      </c>
      <c r="D26" s="8">
        <v>41</v>
      </c>
      <c r="E26" s="8" t="s">
        <v>255</v>
      </c>
      <c r="F26" s="8" t="b">
        <v>1</v>
      </c>
      <c r="G26" s="8"/>
      <c r="H26" s="8"/>
      <c r="I26" s="8"/>
      <c r="J26" s="8"/>
      <c r="K26" s="8"/>
      <c r="L26" s="8"/>
      <c r="M26" s="8"/>
      <c r="N26" s="8"/>
      <c r="O26" s="8"/>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t="s">
        <v>256</v>
      </c>
      <c r="BB26" s="8"/>
      <c r="BC26" s="8"/>
      <c r="BD26" s="8"/>
      <c r="BE26" s="8"/>
      <c r="BF26" s="8"/>
      <c r="BG26" s="8"/>
      <c r="BH26" s="8"/>
      <c r="BI26" s="8"/>
      <c r="BJ26" s="8"/>
      <c r="BK26" s="8"/>
      <c r="BL26" s="8" t="b">
        <v>1</v>
      </c>
      <c r="BM26" s="8" t="b">
        <v>1</v>
      </c>
      <c r="BN26" s="8"/>
      <c r="BO26" s="8"/>
    </row>
    <row r="27" spans="1:67" ht="96" customHeight="1">
      <c r="A27" s="8"/>
      <c r="B27" s="8">
        <v>1128315</v>
      </c>
      <c r="C27" s="9">
        <v>43144</v>
      </c>
      <c r="D27" s="8">
        <v>41</v>
      </c>
      <c r="E27" s="8" t="s">
        <v>257</v>
      </c>
      <c r="F27" s="8" t="b">
        <v>1</v>
      </c>
      <c r="G27" s="8" t="b">
        <v>1</v>
      </c>
      <c r="H27" s="8"/>
      <c r="I27" s="8"/>
      <c r="J27" s="8"/>
      <c r="K27" s="8"/>
      <c r="L27" s="8"/>
      <c r="M27" s="8"/>
      <c r="N27" s="8"/>
      <c r="O27" s="8"/>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row>
    <row r="28" spans="1:67" ht="96" customHeight="1">
      <c r="A28" s="8"/>
      <c r="B28" s="8">
        <v>1128315</v>
      </c>
      <c r="C28" s="9">
        <v>43146</v>
      </c>
      <c r="D28" s="8">
        <v>41</v>
      </c>
      <c r="E28" s="8" t="s">
        <v>258</v>
      </c>
      <c r="F28" s="8" t="b">
        <v>1</v>
      </c>
      <c r="G28" s="8"/>
      <c r="H28" s="8"/>
      <c r="I28" s="8"/>
      <c r="J28" s="8"/>
      <c r="K28" s="8"/>
      <c r="L28" s="8"/>
      <c r="M28" s="8"/>
      <c r="N28" s="8"/>
      <c r="O28" s="8"/>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t="s">
        <v>259</v>
      </c>
      <c r="BB28" s="8"/>
      <c r="BC28" s="8"/>
      <c r="BD28" s="8"/>
      <c r="BE28" s="8"/>
      <c r="BF28" s="8"/>
      <c r="BG28" s="8" t="s">
        <v>592</v>
      </c>
      <c r="BH28" s="8"/>
      <c r="BI28" s="8"/>
      <c r="BJ28" s="8"/>
      <c r="BK28" s="8"/>
      <c r="BL28" s="8"/>
      <c r="BM28" s="8"/>
      <c r="BN28" s="8"/>
      <c r="BO28" s="8"/>
    </row>
    <row r="29" spans="1:67" ht="111.95" customHeight="1">
      <c r="A29" s="8"/>
      <c r="B29" s="8">
        <v>1128315</v>
      </c>
      <c r="C29" s="9">
        <v>43154</v>
      </c>
      <c r="D29" s="8">
        <v>41</v>
      </c>
      <c r="E29" s="8" t="s">
        <v>260</v>
      </c>
      <c r="F29" s="8" t="b">
        <v>1</v>
      </c>
      <c r="G29" s="8"/>
      <c r="H29" s="8"/>
      <c r="I29" s="8"/>
      <c r="J29" s="8"/>
      <c r="K29" s="8"/>
      <c r="L29" s="8"/>
      <c r="M29" s="8"/>
      <c r="N29" s="8"/>
      <c r="O29" s="8"/>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t="s">
        <v>259</v>
      </c>
      <c r="BB29" s="8"/>
      <c r="BC29" s="8"/>
      <c r="BD29" s="8"/>
      <c r="BE29" s="8"/>
      <c r="BF29" s="8"/>
      <c r="BG29" s="8" t="s">
        <v>457</v>
      </c>
      <c r="BH29" s="8"/>
      <c r="BI29" s="8"/>
      <c r="BJ29" s="8"/>
      <c r="BK29" s="8"/>
      <c r="BL29" s="8"/>
      <c r="BM29" s="8"/>
      <c r="BN29" s="8"/>
      <c r="BO29" s="8"/>
    </row>
    <row r="30" spans="1:67" ht="144" customHeight="1">
      <c r="A30" s="8"/>
      <c r="B30" s="8">
        <v>1128315</v>
      </c>
      <c r="C30" s="9">
        <v>43182</v>
      </c>
      <c r="D30" s="8">
        <v>42</v>
      </c>
      <c r="E30" s="8" t="s">
        <v>261</v>
      </c>
      <c r="F30" s="8" t="b">
        <v>1</v>
      </c>
      <c r="G30" s="8"/>
      <c r="H30" s="8"/>
      <c r="I30" s="8"/>
      <c r="J30" s="8"/>
      <c r="K30" s="8"/>
      <c r="L30" s="8"/>
      <c r="M30" s="8"/>
      <c r="N30" s="8"/>
      <c r="O30" s="8"/>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t="s">
        <v>259</v>
      </c>
      <c r="BB30" s="8"/>
      <c r="BC30" s="8"/>
      <c r="BD30" s="8"/>
      <c r="BE30" s="8"/>
      <c r="BF30" s="8"/>
      <c r="BG30" s="8" t="s">
        <v>457</v>
      </c>
      <c r="BH30" s="8"/>
      <c r="BI30" s="8"/>
      <c r="BJ30" s="8"/>
      <c r="BK30" s="8"/>
      <c r="BL30" s="8"/>
      <c r="BM30" s="8"/>
      <c r="BN30" s="8" t="b">
        <v>1</v>
      </c>
      <c r="BO30" s="8"/>
    </row>
    <row r="31" spans="1:67" ht="144" customHeight="1">
      <c r="A31" s="8"/>
      <c r="B31" s="8">
        <v>1128315</v>
      </c>
      <c r="C31" s="9">
        <v>43270</v>
      </c>
      <c r="D31" s="8">
        <v>45</v>
      </c>
      <c r="E31" s="8" t="s">
        <v>262</v>
      </c>
      <c r="F31" s="8" t="b">
        <v>1</v>
      </c>
      <c r="G31" s="8"/>
      <c r="H31" s="8"/>
      <c r="I31" s="8"/>
      <c r="J31" s="8"/>
      <c r="K31" s="8"/>
      <c r="L31" s="8"/>
      <c r="M31" s="8"/>
      <c r="N31" s="8"/>
      <c r="O31" s="8"/>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t="s">
        <v>259</v>
      </c>
      <c r="BB31" s="8"/>
      <c r="BC31" s="8"/>
      <c r="BD31" s="8"/>
      <c r="BE31" s="8"/>
      <c r="BF31" s="8"/>
      <c r="BG31" s="8" t="s">
        <v>457</v>
      </c>
      <c r="BH31" s="8"/>
      <c r="BI31" s="8"/>
      <c r="BJ31" s="8"/>
      <c r="BK31" s="8"/>
      <c r="BL31" s="8"/>
      <c r="BM31" s="8"/>
      <c r="BN31" s="8" t="b">
        <v>1</v>
      </c>
      <c r="BO31" s="8"/>
    </row>
  </sheetData>
  <pageMargins left="0.75" right="0.75" top="1" bottom="1" header="0.5" footer="0.5"/>
  <tableParts count="1">
    <tablePart r:id="rId1"/>
  </tableParts>
  <extLst>
    <ext xmlns:x14="http://schemas.microsoft.com/office/spreadsheetml/2009/9/main" uri="{CCE6A557-97BC-4b89-ADB6-D9C93CAAB3DF}">
      <x14:dataValidations xmlns:xm="http://schemas.microsoft.com/office/excel/2006/main" count="60">
        <x14:dataValidation type="list" allowBlank="1" showInputMessage="1" showErrorMessage="1" xr:uid="{00000000-0002-0000-0400-000000000000}">
          <x14:formula1>
            <xm:f>list!$B$2:$C$2</xm:f>
          </x14:formula1>
          <xm:sqref>G2:G1048576</xm:sqref>
        </x14:dataValidation>
        <x14:dataValidation type="list" allowBlank="1" showInputMessage="1" showErrorMessage="1" xr:uid="{00000000-0002-0000-0400-000001000000}">
          <x14:formula1>
            <xm:f>list!$B$6:$C$6</xm:f>
          </x14:formula1>
          <xm:sqref>H2:H1048576</xm:sqref>
        </x14:dataValidation>
        <x14:dataValidation type="list" allowBlank="1" showInputMessage="1" showErrorMessage="1" xr:uid="{00000000-0002-0000-0400-000002000000}">
          <x14:formula1>
            <xm:f>list!$B$7:$C$7</xm:f>
          </x14:formula1>
          <xm:sqref>I2:I1048576</xm:sqref>
        </x14:dataValidation>
        <x14:dataValidation type="list" allowBlank="1" showInputMessage="1" showErrorMessage="1" xr:uid="{00000000-0002-0000-0400-000003000000}">
          <x14:formula1>
            <xm:f>list!$B$8:$C$8</xm:f>
          </x14:formula1>
          <xm:sqref>J2:J1048576</xm:sqref>
        </x14:dataValidation>
        <x14:dataValidation type="list" allowBlank="1" showInputMessage="1" showErrorMessage="1" xr:uid="{00000000-0002-0000-0400-000004000000}">
          <x14:formula1>
            <xm:f>list!$B$9:$C$9</xm:f>
          </x14:formula1>
          <xm:sqref>K2:K1048576</xm:sqref>
        </x14:dataValidation>
        <x14:dataValidation type="list" allowBlank="1" showInputMessage="1" showErrorMessage="1" xr:uid="{00000000-0002-0000-0400-000005000000}">
          <x14:formula1>
            <xm:f>list!$B$33:$K$33</xm:f>
          </x14:formula1>
          <xm:sqref>L2:L1048576</xm:sqref>
        </x14:dataValidation>
        <x14:dataValidation type="list" allowBlank="1" showInputMessage="1" showErrorMessage="1" xr:uid="{00000000-0002-0000-0400-000006000000}">
          <x14:formula1>
            <xm:f>list!$B$10:$C$10</xm:f>
          </x14:formula1>
          <xm:sqref>M2:M1048576</xm:sqref>
        </x14:dataValidation>
        <x14:dataValidation type="list" allowBlank="1" showInputMessage="1" showErrorMessage="1" xr:uid="{00000000-0002-0000-0400-000007000000}">
          <x14:formula1>
            <xm:f>list!$B$12:$C$12</xm:f>
          </x14:formula1>
          <xm:sqref>N2:N1048576</xm:sqref>
        </x14:dataValidation>
        <x14:dataValidation type="list" allowBlank="1" showInputMessage="1" showErrorMessage="1" xr:uid="{00000000-0002-0000-0400-000008000000}">
          <x14:formula1>
            <xm:f>list!$B$13:$C$13</xm:f>
          </x14:formula1>
          <xm:sqref>O2:O1048576</xm:sqref>
        </x14:dataValidation>
        <x14:dataValidation type="list" allowBlank="1" showInputMessage="1" showErrorMessage="1" xr:uid="{00000000-0002-0000-0400-000009000000}">
          <x14:formula1>
            <xm:f>list!$B$15:$C$15</xm:f>
          </x14:formula1>
          <xm:sqref>P2:P1048576</xm:sqref>
        </x14:dataValidation>
        <x14:dataValidation type="list" allowBlank="1" showInputMessage="1" showErrorMessage="1" xr:uid="{00000000-0002-0000-0400-00000A000000}">
          <x14:formula1>
            <xm:f>list!$B$19:$D$19</xm:f>
          </x14:formula1>
          <xm:sqref>Q2:Q1048576</xm:sqref>
        </x14:dataValidation>
        <x14:dataValidation type="list" allowBlank="1" showInputMessage="1" showErrorMessage="1" xr:uid="{00000000-0002-0000-0400-00000B000000}">
          <x14:formula1>
            <xm:f>list!$B$20:$I$20</xm:f>
          </x14:formula1>
          <xm:sqref>R2:R1048576</xm:sqref>
        </x14:dataValidation>
        <x14:dataValidation type="list" allowBlank="1" showInputMessage="1" showErrorMessage="1" xr:uid="{00000000-0002-0000-0400-00000C000000}">
          <x14:formula1>
            <xm:f>list!$B$21:$M$21</xm:f>
          </x14:formula1>
          <xm:sqref>T2:V2 T20:V22 T4:V4 T9:V9 T10 V10 V12 S2:S1048576 T25:V25</xm:sqref>
        </x14:dataValidation>
        <x14:dataValidation type="list" allowBlank="1" showInputMessage="1" showErrorMessage="1" xr:uid="{00000000-0002-0000-0400-00000D000000}">
          <x14:formula1>
            <xm:f>list!$B$22:$M$22</xm:f>
          </x14:formula1>
          <xm:sqref>T3 T5:T8 T11:T19 T23:T24 T26:T1048576</xm:sqref>
        </x14:dataValidation>
        <x14:dataValidation type="list" allowBlank="1" showInputMessage="1" showErrorMessage="1" xr:uid="{00000000-0002-0000-0400-00000E000000}">
          <x14:formula1>
            <xm:f>list!$B$23:$M$23</xm:f>
          </x14:formula1>
          <xm:sqref>U3 U5:U8 U10:U19 U23:U24 U26:U1048576</xm:sqref>
        </x14:dataValidation>
        <x14:dataValidation type="list" allowBlank="1" showInputMessage="1" showErrorMessage="1" xr:uid="{00000000-0002-0000-0400-00000F000000}">
          <x14:formula1>
            <xm:f>list!$B$24:$M$24</xm:f>
          </x14:formula1>
          <xm:sqref>V3 V5:V8 V11 V13:V19 V23:V24 V26:V1048576</xm:sqref>
        </x14:dataValidation>
        <x14:dataValidation type="list" allowBlank="1" showInputMessage="1" showErrorMessage="1" xr:uid="{00000000-0002-0000-0400-000010000000}">
          <x14:formula1>
            <xm:f>list!$B$25:$E$25</xm:f>
          </x14:formula1>
          <xm:sqref>W3:W24 W26:W1048576</xm:sqref>
        </x14:dataValidation>
        <x14:dataValidation type="list" allowBlank="1" showInputMessage="1" showErrorMessage="1" xr:uid="{00000000-0002-0000-0400-000011000000}">
          <x14:formula1>
            <xm:f>list!$B$26:$E$26</xm:f>
          </x14:formula1>
          <xm:sqref>X3 X5:X21 X23:X24 X26:X1048576</xm:sqref>
        </x14:dataValidation>
        <x14:dataValidation type="list" allowBlank="1" showInputMessage="1" showErrorMessage="1" xr:uid="{00000000-0002-0000-0400-000012000000}">
          <x14:formula1>
            <xm:f>list!$B$29:$C$29</xm:f>
          </x14:formula1>
          <xm:sqref>Y2:Y1048576</xm:sqref>
        </x14:dataValidation>
        <x14:dataValidation type="list" allowBlank="1" showInputMessage="1" showErrorMessage="1" xr:uid="{00000000-0002-0000-0400-000013000000}">
          <x14:formula1>
            <xm:f>list!$B$27:$C$27</xm:f>
          </x14:formula1>
          <xm:sqref>Z2:Z1048576</xm:sqref>
        </x14:dataValidation>
        <x14:dataValidation type="list" allowBlank="1" showInputMessage="1" showErrorMessage="1" xr:uid="{00000000-0002-0000-0400-000014000000}">
          <x14:formula1>
            <xm:f>list!$B$32:$C$32</xm:f>
          </x14:formula1>
          <xm:sqref>AA2:AA1048576</xm:sqref>
        </x14:dataValidation>
        <x14:dataValidation type="list" allowBlank="1" showInputMessage="1" showErrorMessage="1" xr:uid="{00000000-0002-0000-0400-000015000000}">
          <x14:formula1>
            <xm:f>list!$B$34:$C$34</xm:f>
          </x14:formula1>
          <xm:sqref>AB2:AB9 AB16 AB20:AB21 AB25:AB1048576</xm:sqref>
        </x14:dataValidation>
        <x14:dataValidation type="list" allowBlank="1" showInputMessage="1" showErrorMessage="1" xr:uid="{00000000-0002-0000-0400-000016000000}">
          <x14:formula1>
            <xm:f>list!$B$35:$C$35</xm:f>
          </x14:formula1>
          <xm:sqref>AC2:AC9 AC16 AC20:AC21 AC25:AC1048576</xm:sqref>
        </x14:dataValidation>
        <x14:dataValidation type="list" allowBlank="1" showInputMessage="1" showErrorMessage="1" xr:uid="{00000000-0002-0000-0400-000017000000}">
          <x14:formula1>
            <xm:f>list!$B$36:$G$36</xm:f>
          </x14:formula1>
          <xm:sqref>AD2:AD12 AF10:AF12 AD16 AD21 AD25:AD1048576</xm:sqref>
        </x14:dataValidation>
        <x14:dataValidation type="list" allowBlank="1" showInputMessage="1" showErrorMessage="1" xr:uid="{00000000-0002-0000-0400-000018000000}">
          <x14:formula1>
            <xm:f>list!$B$37:$U$37</xm:f>
          </x14:formula1>
          <xm:sqref>AE2:AE9 AE16 AE21 AE25:AE1048576</xm:sqref>
        </x14:dataValidation>
        <x14:dataValidation type="list" allowBlank="1" showInputMessage="1" showErrorMessage="1" xr:uid="{00000000-0002-0000-0400-000019000000}">
          <x14:formula1>
            <xm:f>list!$B$38:$G$38</xm:f>
          </x14:formula1>
          <xm:sqref>AF2:AF9 AF16 AF20:AF21 AF25:AF1048576</xm:sqref>
        </x14:dataValidation>
        <x14:dataValidation type="list" allowBlank="1" showInputMessage="1" showErrorMessage="1" xr:uid="{00000000-0002-0000-0400-00001A000000}">
          <x14:formula1>
            <xm:f>list!$B$39:$U$39</xm:f>
          </x14:formula1>
          <xm:sqref>AG2:AG9 AG16 AG21 AG25:AG1048576</xm:sqref>
        </x14:dataValidation>
        <x14:dataValidation type="list" allowBlank="1" showInputMessage="1" showErrorMessage="1" xr:uid="{00000000-0002-0000-0400-00001B000000}">
          <x14:formula1>
            <xm:f>list!$B$40:$I$40</xm:f>
          </x14:formula1>
          <xm:sqref>AH2:AH21 AH25:AH1048576</xm:sqref>
        </x14:dataValidation>
        <x14:dataValidation type="list" allowBlank="1" showInputMessage="1" showErrorMessage="1" xr:uid="{00000000-0002-0000-0400-00001C000000}">
          <x14:formula1>
            <xm:f>list!$B$41:$H$41</xm:f>
          </x14:formula1>
          <xm:sqref>AI2:AI1048576</xm:sqref>
        </x14:dataValidation>
        <x14:dataValidation type="list" allowBlank="1" showInputMessage="1" showErrorMessage="1" xr:uid="{00000000-0002-0000-0400-00001D000000}">
          <x14:formula1>
            <xm:f>list!$B$42:$Z$42</xm:f>
          </x14:formula1>
          <xm:sqref>AJ2:AJ1048576</xm:sqref>
        </x14:dataValidation>
        <x14:dataValidation type="list" allowBlank="1" showInputMessage="1" showErrorMessage="1" xr:uid="{00000000-0002-0000-0400-00001E000000}">
          <x14:formula1>
            <xm:f>list!$B$43:$H$43</xm:f>
          </x14:formula1>
          <xm:sqref>AK2:AK1048576</xm:sqref>
        </x14:dataValidation>
        <x14:dataValidation type="list" allowBlank="1" showInputMessage="1" showErrorMessage="1" xr:uid="{00000000-0002-0000-0400-00001F000000}">
          <x14:formula1>
            <xm:f>list!$B$44:$Z$44</xm:f>
          </x14:formula1>
          <xm:sqref>AL2:AL1048576</xm:sqref>
        </x14:dataValidation>
        <x14:dataValidation type="list" allowBlank="1" showInputMessage="1" showErrorMessage="1" xr:uid="{00000000-0002-0000-0400-000020000000}">
          <x14:formula1>
            <xm:f>list!$B$49:$Q$49</xm:f>
          </x14:formula1>
          <xm:sqref>AM2:AM5 AM7:AM1048576</xm:sqref>
        </x14:dataValidation>
        <x14:dataValidation type="list" allowBlank="1" showInputMessage="1" showErrorMessage="1" xr:uid="{00000000-0002-0000-0400-000021000000}">
          <x14:formula1>
            <xm:f>list!$B$50:$C$50</xm:f>
          </x14:formula1>
          <xm:sqref>AN2:AN1048576</xm:sqref>
        </x14:dataValidation>
        <x14:dataValidation type="list" allowBlank="1" showInputMessage="1" showErrorMessage="1" xr:uid="{00000000-0002-0000-0400-000022000000}">
          <x14:formula1>
            <xm:f>list!$B$51:$C$51</xm:f>
          </x14:formula1>
          <xm:sqref>AO2:AO1048576</xm:sqref>
        </x14:dataValidation>
        <x14:dataValidation type="list" allowBlank="1" showInputMessage="1" showErrorMessage="1" xr:uid="{00000000-0002-0000-0400-000023000000}">
          <x14:formula1>
            <xm:f>list!$B$52:$C$52</xm:f>
          </x14:formula1>
          <xm:sqref>AP2:AP1048576</xm:sqref>
        </x14:dataValidation>
        <x14:dataValidation type="list" allowBlank="1" showInputMessage="1" showErrorMessage="1" xr:uid="{00000000-0002-0000-0400-000024000000}">
          <x14:formula1>
            <xm:f>list!$B$53:$C$53</xm:f>
          </x14:formula1>
          <xm:sqref>AQ2:AQ1048576</xm:sqref>
        </x14:dataValidation>
        <x14:dataValidation type="list" allowBlank="1" showInputMessage="1" showErrorMessage="1" xr:uid="{00000000-0002-0000-0400-000025000000}">
          <x14:formula1>
            <xm:f>list!$B$54:$C$54</xm:f>
          </x14:formula1>
          <xm:sqref>AR2:AR1048576</xm:sqref>
        </x14:dataValidation>
        <x14:dataValidation type="list" allowBlank="1" showInputMessage="1" showErrorMessage="1" xr:uid="{00000000-0002-0000-0400-000026000000}">
          <x14:formula1>
            <xm:f>list!$B$55:$C$55</xm:f>
          </x14:formula1>
          <xm:sqref>AS2:AS1048576</xm:sqref>
        </x14:dataValidation>
        <x14:dataValidation type="list" allowBlank="1" showInputMessage="1" showErrorMessage="1" xr:uid="{00000000-0002-0000-0400-000027000000}">
          <x14:formula1>
            <xm:f>list!$B$56:$C$56</xm:f>
          </x14:formula1>
          <xm:sqref>AT2:AT1048576</xm:sqref>
        </x14:dataValidation>
        <x14:dataValidation type="list" allowBlank="1" showInputMessage="1" showErrorMessage="1" xr:uid="{00000000-0002-0000-0400-000028000000}">
          <x14:formula1>
            <xm:f>list!$B$57:$C$57</xm:f>
          </x14:formula1>
          <xm:sqref>AU2:AU1048576</xm:sqref>
        </x14:dataValidation>
        <x14:dataValidation type="list" allowBlank="1" showInputMessage="1" showErrorMessage="1" xr:uid="{00000000-0002-0000-0400-000029000000}">
          <x14:formula1>
            <xm:f>list!$B$58:$C$58</xm:f>
          </x14:formula1>
          <xm:sqref>AV2:AV1048576</xm:sqref>
        </x14:dataValidation>
        <x14:dataValidation type="list" allowBlank="1" showInputMessage="1" showErrorMessage="1" xr:uid="{00000000-0002-0000-0400-00002A000000}">
          <x14:formula1>
            <xm:f>list!$B$59:$C$59</xm:f>
          </x14:formula1>
          <xm:sqref>AW2:AW1048576</xm:sqref>
        </x14:dataValidation>
        <x14:dataValidation type="list" allowBlank="1" showInputMessage="1" showErrorMessage="1" xr:uid="{00000000-0002-0000-0400-00002B000000}">
          <x14:formula1>
            <xm:f>list!$B$60:$C$60</xm:f>
          </x14:formula1>
          <xm:sqref>AX2:AX1048576</xm:sqref>
        </x14:dataValidation>
        <x14:dataValidation type="list" allowBlank="1" showInputMessage="1" showErrorMessage="1" xr:uid="{00000000-0002-0000-0400-00002C000000}">
          <x14:formula1>
            <xm:f>list!$B$61:$C$61</xm:f>
          </x14:formula1>
          <xm:sqref>AY2:AY1048576</xm:sqref>
        </x14:dataValidation>
        <x14:dataValidation type="list" allowBlank="1" showInputMessage="1" showErrorMessage="1" xr:uid="{00000000-0002-0000-0400-00002D000000}">
          <x14:formula1>
            <xm:f>list!$B$63:$C$63</xm:f>
          </x14:formula1>
          <xm:sqref>AZ2:AZ1048576</xm:sqref>
        </x14:dataValidation>
        <x14:dataValidation type="list" allowBlank="1" showInputMessage="1" showErrorMessage="1" xr:uid="{00000000-0002-0000-0400-00002E000000}">
          <x14:formula1>
            <xm:f>list!$B$64:$E$64</xm:f>
          </x14:formula1>
          <xm:sqref>BA2:BA1048576</xm:sqref>
        </x14:dataValidation>
        <x14:dataValidation type="list" allowBlank="1" showInputMessage="1" showErrorMessage="1" xr:uid="{00000000-0002-0000-0400-00002F000000}">
          <x14:formula1>
            <xm:f>list!$B$65:$F$65</xm:f>
          </x14:formula1>
          <xm:sqref>BB2:BB1048576</xm:sqref>
        </x14:dataValidation>
        <x14:dataValidation type="list" allowBlank="1" showInputMessage="1" showErrorMessage="1" xr:uid="{00000000-0002-0000-0400-000030000000}">
          <x14:formula1>
            <xm:f>list!$B$66:$C$66</xm:f>
          </x14:formula1>
          <xm:sqref>BC2:BC1048576</xm:sqref>
        </x14:dataValidation>
        <x14:dataValidation type="list" allowBlank="1" showInputMessage="1" showErrorMessage="1" xr:uid="{00000000-0002-0000-0400-000031000000}">
          <x14:formula1>
            <xm:f>list!$B$67:$C$67</xm:f>
          </x14:formula1>
          <xm:sqref>BD2:BD1048576</xm:sqref>
        </x14:dataValidation>
        <x14:dataValidation type="list" allowBlank="1" showInputMessage="1" showErrorMessage="1" xr:uid="{00000000-0002-0000-0400-000032000000}">
          <x14:formula1>
            <xm:f>list!$B$68:$G$68</xm:f>
          </x14:formula1>
          <xm:sqref>BE2:BE1048576</xm:sqref>
        </x14:dataValidation>
        <x14:dataValidation type="list" allowBlank="1" showInputMessage="1" showErrorMessage="1" xr:uid="{00000000-0002-0000-0400-000033000000}">
          <x14:formula1>
            <xm:f>list!$B$69:$C$69</xm:f>
          </x14:formula1>
          <xm:sqref>BF2:BF1048576</xm:sqref>
        </x14:dataValidation>
        <x14:dataValidation type="list" allowBlank="1" showInputMessage="1" showErrorMessage="1" xr:uid="{00000000-0002-0000-0400-000034000000}">
          <x14:formula1>
            <xm:f>list!$B$70:$G$70</xm:f>
          </x14:formula1>
          <xm:sqref>BG2:BG1048576</xm:sqref>
        </x14:dataValidation>
        <x14:dataValidation type="list" allowBlank="1" showInputMessage="1" showErrorMessage="1" xr:uid="{00000000-0002-0000-0400-000035000000}">
          <x14:formula1>
            <xm:f>list!$B$72:$C$72</xm:f>
          </x14:formula1>
          <xm:sqref>BH2:BH1048576</xm:sqref>
        </x14:dataValidation>
        <x14:dataValidation type="list" allowBlank="1" showInputMessage="1" showErrorMessage="1" xr:uid="{00000000-0002-0000-0400-000036000000}">
          <x14:formula1>
            <xm:f>list!$B$73:$C$73</xm:f>
          </x14:formula1>
          <xm:sqref>BI2:BI1048576</xm:sqref>
        </x14:dataValidation>
        <x14:dataValidation type="list" allowBlank="1" showInputMessage="1" showErrorMessage="1" xr:uid="{00000000-0002-0000-0400-000037000000}">
          <x14:formula1>
            <xm:f>list!$B$84:$D$84</xm:f>
          </x14:formula1>
          <xm:sqref>BJ2:BJ1048576</xm:sqref>
        </x14:dataValidation>
        <x14:dataValidation type="list" allowBlank="1" showInputMessage="1" showErrorMessage="1" xr:uid="{00000000-0002-0000-0400-000038000000}">
          <x14:formula1>
            <xm:f>list!$B$85:$D$85</xm:f>
          </x14:formula1>
          <xm:sqref>BK2:BK1048576</xm:sqref>
        </x14:dataValidation>
        <x14:dataValidation type="list" allowBlank="1" showInputMessage="1" showErrorMessage="1" xr:uid="{00000000-0002-0000-0400-000039000000}">
          <x14:formula1>
            <xm:f>list!$B$79:$C$79</xm:f>
          </x14:formula1>
          <xm:sqref>BL2:BL1048576</xm:sqref>
        </x14:dataValidation>
        <x14:dataValidation type="list" allowBlank="1" showInputMessage="1" showErrorMessage="1" xr:uid="{00000000-0002-0000-0400-00003A000000}">
          <x14:formula1>
            <xm:f>list!$B$80:$C$80</xm:f>
          </x14:formula1>
          <xm:sqref>BM2:BM1048576</xm:sqref>
        </x14:dataValidation>
        <x14:dataValidation type="list" allowBlank="1" showInputMessage="1" showErrorMessage="1" xr:uid="{00000000-0002-0000-0400-00003B000000}">
          <x14:formula1>
            <xm:f>list!$B$82:$C$82</xm:f>
          </x14:formula1>
          <xm:sqref>BO2:BO1048576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92D050"/>
  </sheetPr>
  <dimension ref="A1:BO42"/>
  <sheetViews>
    <sheetView zoomScale="50" workbookViewId="0">
      <pane xSplit="6" ySplit="1" topLeftCell="M16" activePane="bottomRight" state="frozen"/>
      <selection pane="topRight"/>
      <selection pane="bottomLeft"/>
      <selection pane="bottomRight" activeCell="W24" sqref="W24"/>
    </sheetView>
  </sheetViews>
  <sheetFormatPr defaultColWidth="10.875" defaultRowHeight="15.75"/>
  <cols>
    <col min="1" max="1" width="14.375" style="1" customWidth="1"/>
    <col min="2" max="2" width="14" style="1" customWidth="1"/>
    <col min="3" max="3" width="14.5" style="1" customWidth="1"/>
    <col min="4" max="4" width="16.125" style="1" customWidth="1"/>
    <col min="5" max="5" width="72.375" style="1" customWidth="1"/>
    <col min="6" max="6" width="14.375" style="1" customWidth="1"/>
    <col min="7" max="7" width="63.5" style="1" customWidth="1"/>
    <col min="8" max="8" width="22" style="1" customWidth="1"/>
    <col min="9" max="9" width="21.625" style="1" customWidth="1"/>
    <col min="10" max="10" width="22" style="1" customWidth="1"/>
    <col min="11" max="11" width="21.625" style="1" customWidth="1"/>
    <col min="12" max="12" width="38.875" style="1" customWidth="1"/>
    <col min="13" max="13" width="23.875" style="1" bestFit="1" customWidth="1"/>
    <col min="14" max="14" width="7.625" style="1" customWidth="1"/>
    <col min="15" max="15" width="21.5" style="1" customWidth="1"/>
    <col min="16" max="16" width="17.125" style="1" customWidth="1"/>
    <col min="17" max="17" width="21.625" style="1" customWidth="1"/>
    <col min="18" max="18" width="13.5" style="1" customWidth="1"/>
    <col min="19" max="19" width="25.375" style="1" customWidth="1"/>
    <col min="20" max="20" width="24.375" style="1" customWidth="1"/>
    <col min="21" max="21" width="23.875" style="1" customWidth="1"/>
    <col min="22" max="22" width="22.875" style="1" customWidth="1"/>
    <col min="23" max="23" width="21.5" style="1" customWidth="1"/>
    <col min="24" max="24" width="19.875" style="1" customWidth="1"/>
    <col min="25" max="25" width="32" style="1" customWidth="1"/>
    <col min="26" max="26" width="35.875" style="1" bestFit="1" customWidth="1"/>
    <col min="27" max="27" width="28.375" style="1" customWidth="1"/>
    <col min="28" max="29" width="35.5" style="1" customWidth="1"/>
    <col min="30" max="30" width="29.125" style="1" customWidth="1"/>
    <col min="31" max="31" width="23.375" style="1" customWidth="1"/>
    <col min="32" max="32" width="29.125" style="1" customWidth="1"/>
    <col min="33" max="33" width="23.375" style="1" customWidth="1"/>
    <col min="34" max="34" width="24.375" style="1" customWidth="1"/>
    <col min="35" max="35" width="28" style="1" customWidth="1"/>
    <col min="36" max="36" width="24.625" style="1" customWidth="1"/>
    <col min="37" max="37" width="26.5" style="1" customWidth="1"/>
    <col min="38" max="38" width="23" style="1" customWidth="1"/>
    <col min="39" max="39" width="16.125" style="1" customWidth="1"/>
    <col min="40" max="40" width="18.5" style="1" customWidth="1"/>
    <col min="41" max="41" width="20.125" style="1" customWidth="1"/>
    <col min="42" max="42" width="28.5" style="1" customWidth="1"/>
    <col min="43" max="43" width="29.375" style="1" customWidth="1"/>
    <col min="44" max="44" width="16.5" style="1" customWidth="1"/>
    <col min="45" max="45" width="12.125" style="1" customWidth="1"/>
    <col min="46" max="46" width="9.875" style="1" customWidth="1"/>
    <col min="47" max="47" width="48.625" style="1" customWidth="1"/>
    <col min="48" max="48" width="27" style="1" customWidth="1"/>
    <col min="49" max="49" width="8.5" style="1" customWidth="1"/>
    <col min="50" max="50" width="10.875" style="1" customWidth="1"/>
    <col min="51" max="51" width="18.375" style="1" customWidth="1"/>
    <col min="52" max="52" width="15.625" style="1" customWidth="1"/>
    <col min="53" max="53" width="19.375" style="1" customWidth="1"/>
    <col min="54" max="54" width="20.125" style="1" customWidth="1"/>
    <col min="55" max="55" width="42" style="1" customWidth="1"/>
    <col min="56" max="56" width="18.875" style="1" customWidth="1"/>
    <col min="57" max="57" width="23.5" style="1" customWidth="1"/>
    <col min="58" max="58" width="26.5" style="1" customWidth="1"/>
    <col min="59" max="59" width="15.875" style="1" customWidth="1"/>
    <col min="60" max="61" width="25.625" style="1" customWidth="1"/>
    <col min="62" max="62" width="20.875" style="1" customWidth="1"/>
    <col min="63" max="63" width="20.375" style="1" customWidth="1"/>
    <col min="64" max="65" width="21.625" style="1" customWidth="1"/>
    <col min="66" max="66" width="22.125" style="1" customWidth="1"/>
    <col min="67" max="67" width="16.5" style="1" customWidth="1"/>
    <col min="68" max="68" width="10.875" style="1" customWidth="1"/>
    <col min="69" max="16384" width="10.875" style="1"/>
  </cols>
  <sheetData>
    <row r="1" spans="1:67" s="17" customFormat="1" ht="75" customHeight="1">
      <c r="A1" s="12" t="s">
        <v>0</v>
      </c>
      <c r="B1" s="12" t="s">
        <v>1</v>
      </c>
      <c r="C1" s="12" t="s">
        <v>2</v>
      </c>
      <c r="D1" s="13" t="s">
        <v>3</v>
      </c>
      <c r="E1" s="13" t="s">
        <v>4</v>
      </c>
      <c r="F1" s="13" t="s">
        <v>5</v>
      </c>
      <c r="G1" s="14" t="s">
        <v>6</v>
      </c>
      <c r="H1" s="14" t="s">
        <v>7</v>
      </c>
      <c r="I1" s="14" t="s">
        <v>8</v>
      </c>
      <c r="J1" s="14" t="s">
        <v>9</v>
      </c>
      <c r="K1" s="14" t="s">
        <v>10</v>
      </c>
      <c r="L1" s="14" t="s">
        <v>11</v>
      </c>
      <c r="M1" s="14" t="s">
        <v>102</v>
      </c>
      <c r="N1" s="14" t="s">
        <v>13</v>
      </c>
      <c r="O1" s="14" t="s">
        <v>14</v>
      </c>
      <c r="P1" s="14" t="s">
        <v>15</v>
      </c>
      <c r="Q1" s="14" t="s">
        <v>16</v>
      </c>
      <c r="R1" s="14" t="s">
        <v>17</v>
      </c>
      <c r="S1" s="14" t="s">
        <v>18</v>
      </c>
      <c r="T1" s="14" t="s">
        <v>19</v>
      </c>
      <c r="U1" s="14" t="s">
        <v>20</v>
      </c>
      <c r="V1" s="14" t="s">
        <v>21</v>
      </c>
      <c r="W1" s="14" t="s">
        <v>22</v>
      </c>
      <c r="X1" s="14" t="s">
        <v>23</v>
      </c>
      <c r="Y1" s="14" t="s">
        <v>24</v>
      </c>
      <c r="Z1" s="14" t="s">
        <v>25</v>
      </c>
      <c r="AA1" s="14" t="s">
        <v>26</v>
      </c>
      <c r="AB1" s="14" t="s">
        <v>27</v>
      </c>
      <c r="AC1" s="14" t="s">
        <v>28</v>
      </c>
      <c r="AD1" s="14" t="s">
        <v>29</v>
      </c>
      <c r="AE1" s="14" t="s">
        <v>30</v>
      </c>
      <c r="AF1" s="14" t="s">
        <v>31</v>
      </c>
      <c r="AG1" s="14" t="s">
        <v>32</v>
      </c>
      <c r="AH1" s="15" t="s">
        <v>33</v>
      </c>
      <c r="AI1" s="14" t="s">
        <v>34</v>
      </c>
      <c r="AJ1" s="14" t="s">
        <v>35</v>
      </c>
      <c r="AK1" s="14" t="s">
        <v>36</v>
      </c>
      <c r="AL1" s="14" t="s">
        <v>37</v>
      </c>
      <c r="AM1" s="14" t="s">
        <v>38</v>
      </c>
      <c r="AN1" s="14" t="s">
        <v>39</v>
      </c>
      <c r="AO1" s="14" t="s">
        <v>40</v>
      </c>
      <c r="AP1" s="14" t="s">
        <v>41</v>
      </c>
      <c r="AQ1" s="14" t="s">
        <v>42</v>
      </c>
      <c r="AR1" s="14" t="s">
        <v>43</v>
      </c>
      <c r="AS1" s="14" t="s">
        <v>44</v>
      </c>
      <c r="AT1" s="14" t="s">
        <v>45</v>
      </c>
      <c r="AU1" s="14" t="s">
        <v>46</v>
      </c>
      <c r="AV1" s="14" t="s">
        <v>47</v>
      </c>
      <c r="AW1" s="14" t="s">
        <v>48</v>
      </c>
      <c r="AX1" s="14" t="s">
        <v>49</v>
      </c>
      <c r="AY1" s="14" t="s">
        <v>50</v>
      </c>
      <c r="AZ1" s="14" t="s">
        <v>51</v>
      </c>
      <c r="BA1" s="14" t="s">
        <v>52</v>
      </c>
      <c r="BB1" s="14" t="s">
        <v>53</v>
      </c>
      <c r="BC1" s="14" t="s">
        <v>54</v>
      </c>
      <c r="BD1" s="14" t="s">
        <v>55</v>
      </c>
      <c r="BE1" s="14" t="s">
        <v>56</v>
      </c>
      <c r="BF1" s="14" t="s">
        <v>57</v>
      </c>
      <c r="BG1" s="14" t="s">
        <v>58</v>
      </c>
      <c r="BH1" s="14" t="s">
        <v>59</v>
      </c>
      <c r="BI1" s="14" t="s">
        <v>60</v>
      </c>
      <c r="BJ1" s="16" t="s">
        <v>61</v>
      </c>
      <c r="BK1" s="16" t="s">
        <v>62</v>
      </c>
      <c r="BL1" s="16" t="s">
        <v>63</v>
      </c>
      <c r="BM1" s="16" t="s">
        <v>64</v>
      </c>
      <c r="BN1" s="16" t="s">
        <v>65</v>
      </c>
      <c r="BO1" s="16" t="s">
        <v>66</v>
      </c>
    </row>
    <row r="2" spans="1:67" ht="288.95" customHeight="1">
      <c r="B2" s="1">
        <v>1158354</v>
      </c>
      <c r="C2" s="2">
        <v>42837</v>
      </c>
      <c r="E2" s="1" t="s">
        <v>103</v>
      </c>
      <c r="F2" s="1" t="b">
        <v>1</v>
      </c>
      <c r="G2" s="1" t="b">
        <v>1</v>
      </c>
      <c r="Q2" s="1" t="b">
        <v>0</v>
      </c>
      <c r="T2" s="1" t="s">
        <v>487</v>
      </c>
      <c r="V2" s="1" t="s">
        <v>483</v>
      </c>
      <c r="W2" s="1">
        <v>1</v>
      </c>
      <c r="X2" s="1">
        <v>-2</v>
      </c>
    </row>
    <row r="3" spans="1:67" ht="255" customHeight="1">
      <c r="B3" s="1">
        <v>1158354</v>
      </c>
      <c r="C3" s="2">
        <v>42886</v>
      </c>
      <c r="E3" s="1" t="s">
        <v>104</v>
      </c>
      <c r="F3" s="1" t="b">
        <v>1</v>
      </c>
    </row>
    <row r="4" spans="1:67" ht="84.95" customHeight="1">
      <c r="B4" s="1">
        <v>1158354</v>
      </c>
      <c r="C4" s="2">
        <v>42893</v>
      </c>
      <c r="E4" s="1" t="s">
        <v>105</v>
      </c>
      <c r="F4" s="1" t="b">
        <v>1</v>
      </c>
      <c r="G4" s="1" t="b">
        <v>1</v>
      </c>
    </row>
    <row r="5" spans="1:67" ht="204" customHeight="1">
      <c r="B5" s="1">
        <v>1158354</v>
      </c>
      <c r="C5" s="2">
        <v>42933</v>
      </c>
      <c r="E5" s="1" t="s">
        <v>106</v>
      </c>
      <c r="F5" s="1" t="b">
        <v>1</v>
      </c>
      <c r="I5" s="1" t="b">
        <v>1</v>
      </c>
      <c r="AM5" t="s">
        <v>605</v>
      </c>
      <c r="AT5" s="1" t="b">
        <v>1</v>
      </c>
      <c r="AV5" s="1" t="b">
        <v>1</v>
      </c>
    </row>
    <row r="6" spans="1:67" ht="204" customHeight="1">
      <c r="B6" s="1">
        <v>1158354</v>
      </c>
      <c r="C6" s="2">
        <v>42940</v>
      </c>
      <c r="E6" s="1" t="s">
        <v>107</v>
      </c>
      <c r="F6" s="1" t="b">
        <v>1</v>
      </c>
      <c r="S6" s="1" t="s">
        <v>487</v>
      </c>
      <c r="T6" s="1" t="s">
        <v>487</v>
      </c>
      <c r="U6" s="1" t="s">
        <v>487</v>
      </c>
      <c r="V6" s="1" t="s">
        <v>487</v>
      </c>
      <c r="W6" s="1">
        <v>0</v>
      </c>
      <c r="X6" s="1">
        <v>0</v>
      </c>
      <c r="AJ6" s="1" t="s">
        <v>561</v>
      </c>
      <c r="AL6" s="1" t="s">
        <v>561</v>
      </c>
      <c r="AM6" t="s">
        <v>605</v>
      </c>
      <c r="BA6" s="1" t="s">
        <v>259</v>
      </c>
      <c r="BB6" s="1" t="s">
        <v>259</v>
      </c>
    </row>
    <row r="7" spans="1:67" ht="288.95" customHeight="1">
      <c r="B7" s="1">
        <v>1158354</v>
      </c>
      <c r="C7" s="2">
        <v>42975</v>
      </c>
      <c r="E7" s="1" t="s">
        <v>108</v>
      </c>
      <c r="F7" s="1" t="b">
        <v>1</v>
      </c>
      <c r="T7" s="1" t="s">
        <v>483</v>
      </c>
      <c r="V7" s="1" t="s">
        <v>483</v>
      </c>
      <c r="W7" s="1">
        <v>1</v>
      </c>
      <c r="X7" s="1">
        <v>1</v>
      </c>
      <c r="AJ7" s="1" t="s">
        <v>561</v>
      </c>
      <c r="AL7" s="1" t="s">
        <v>561</v>
      </c>
      <c r="AM7" t="s">
        <v>605</v>
      </c>
      <c r="BA7" s="1" t="s">
        <v>483</v>
      </c>
      <c r="BB7" s="1" t="s">
        <v>259</v>
      </c>
    </row>
    <row r="8" spans="1:67" ht="237.95" customHeight="1">
      <c r="B8" s="1">
        <v>1158354</v>
      </c>
      <c r="C8" s="2">
        <v>43038</v>
      </c>
      <c r="E8" s="1" t="s">
        <v>109</v>
      </c>
      <c r="F8" s="1" t="b">
        <v>1</v>
      </c>
      <c r="S8" s="1" t="s">
        <v>483</v>
      </c>
      <c r="T8" s="1" t="s">
        <v>483</v>
      </c>
      <c r="U8" s="1" t="s">
        <v>483</v>
      </c>
      <c r="V8" s="1" t="s">
        <v>483</v>
      </c>
      <c r="W8" s="1">
        <v>1</v>
      </c>
      <c r="X8" s="1">
        <v>2</v>
      </c>
      <c r="AJ8" s="1" t="s">
        <v>561</v>
      </c>
      <c r="AL8" s="1" t="s">
        <v>561</v>
      </c>
      <c r="AM8" t="s">
        <v>605</v>
      </c>
      <c r="BA8" s="1" t="s">
        <v>259</v>
      </c>
      <c r="BB8" s="1" t="s">
        <v>259</v>
      </c>
    </row>
    <row r="9" spans="1:67" ht="204" customHeight="1">
      <c r="B9" s="1">
        <v>1158354</v>
      </c>
      <c r="C9" s="2">
        <v>43087</v>
      </c>
      <c r="E9" s="1" t="s">
        <v>110</v>
      </c>
      <c r="F9" s="1" t="b">
        <v>1</v>
      </c>
      <c r="S9" s="1" t="s">
        <v>479</v>
      </c>
      <c r="T9" s="1" t="s">
        <v>479</v>
      </c>
      <c r="U9" s="1" t="s">
        <v>479</v>
      </c>
      <c r="V9" s="1" t="s">
        <v>479</v>
      </c>
      <c r="W9" s="1">
        <v>2</v>
      </c>
      <c r="X9" s="1">
        <v>3</v>
      </c>
      <c r="AJ9" s="1" t="s">
        <v>561</v>
      </c>
      <c r="AL9" s="1" t="s">
        <v>561</v>
      </c>
      <c r="AM9" s="1" t="s">
        <v>580</v>
      </c>
      <c r="BA9" s="1" t="s">
        <v>259</v>
      </c>
      <c r="BB9" s="1" t="s">
        <v>259</v>
      </c>
    </row>
    <row r="10" spans="1:67" ht="339.95" customHeight="1">
      <c r="B10" s="1">
        <v>1158354</v>
      </c>
      <c r="C10" s="2">
        <v>43136</v>
      </c>
      <c r="E10" s="1" t="s">
        <v>111</v>
      </c>
      <c r="F10" s="1" t="b">
        <v>1</v>
      </c>
      <c r="R10" s="1" t="s">
        <v>470</v>
      </c>
      <c r="S10" s="1" t="s">
        <v>478</v>
      </c>
      <c r="T10" s="1" t="s">
        <v>478</v>
      </c>
      <c r="U10" s="1" t="s">
        <v>478</v>
      </c>
      <c r="V10" s="1" t="s">
        <v>478</v>
      </c>
      <c r="W10" s="1">
        <v>2</v>
      </c>
      <c r="X10" s="1">
        <v>3</v>
      </c>
      <c r="AM10" s="1" t="s">
        <v>599</v>
      </c>
      <c r="BA10" s="1" t="s">
        <v>259</v>
      </c>
      <c r="BB10" s="1" t="s">
        <v>259</v>
      </c>
    </row>
    <row r="11" spans="1:67" ht="237.95" customHeight="1">
      <c r="B11" s="1">
        <v>1158354</v>
      </c>
      <c r="C11" s="2">
        <v>43213</v>
      </c>
      <c r="E11" s="1" t="s">
        <v>112</v>
      </c>
      <c r="F11" s="1" t="b">
        <v>1</v>
      </c>
      <c r="S11" s="1" t="s">
        <v>479</v>
      </c>
      <c r="T11" s="1" t="s">
        <v>479</v>
      </c>
      <c r="U11" s="1" t="s">
        <v>478</v>
      </c>
      <c r="V11" s="1" t="s">
        <v>478</v>
      </c>
      <c r="W11" s="1">
        <v>2</v>
      </c>
      <c r="X11" s="1">
        <v>2</v>
      </c>
      <c r="AM11" s="1" t="s">
        <v>578</v>
      </c>
      <c r="AV11" s="1" t="b">
        <v>1</v>
      </c>
      <c r="BA11" s="1" t="s">
        <v>259</v>
      </c>
      <c r="BB11" s="1" t="s">
        <v>259</v>
      </c>
    </row>
    <row r="12" spans="1:67" ht="84.95" customHeight="1">
      <c r="B12" s="1">
        <v>1158354</v>
      </c>
      <c r="C12" s="2">
        <v>43220</v>
      </c>
      <c r="E12" s="1" t="s">
        <v>113</v>
      </c>
      <c r="F12" s="1" t="b">
        <v>1</v>
      </c>
      <c r="AM12" s="1" t="s">
        <v>578</v>
      </c>
      <c r="AV12" s="1" t="b">
        <v>1</v>
      </c>
    </row>
    <row r="13" spans="1:67" ht="272.10000000000002" customHeight="1">
      <c r="B13" s="1">
        <v>1158354</v>
      </c>
      <c r="C13" s="2">
        <v>43231</v>
      </c>
      <c r="E13" s="1" t="s">
        <v>114</v>
      </c>
      <c r="F13" s="1" t="b">
        <v>1</v>
      </c>
      <c r="G13" s="1" t="b">
        <v>1</v>
      </c>
      <c r="S13" s="1" t="s">
        <v>482</v>
      </c>
      <c r="T13" s="1" t="s">
        <v>482</v>
      </c>
      <c r="U13" s="1" t="s">
        <v>482</v>
      </c>
      <c r="V13" s="1" t="s">
        <v>482</v>
      </c>
      <c r="W13" s="1">
        <v>2</v>
      </c>
      <c r="X13" s="1">
        <v>2</v>
      </c>
      <c r="AM13" s="1" t="s">
        <v>578</v>
      </c>
      <c r="AV13" s="1" t="b">
        <v>1</v>
      </c>
      <c r="BA13" s="1" t="s">
        <v>259</v>
      </c>
      <c r="BB13" s="1" t="s">
        <v>259</v>
      </c>
    </row>
    <row r="14" spans="1:67" ht="306" customHeight="1">
      <c r="B14" s="1">
        <v>1158354</v>
      </c>
      <c r="C14" s="2">
        <v>43311</v>
      </c>
      <c r="E14" s="1" t="s">
        <v>115</v>
      </c>
      <c r="F14" s="1" t="b">
        <v>1</v>
      </c>
      <c r="T14" s="1" t="s">
        <v>483</v>
      </c>
      <c r="V14" s="1" t="s">
        <v>478</v>
      </c>
      <c r="W14" s="1">
        <v>2</v>
      </c>
      <c r="X14" s="1">
        <v>2</v>
      </c>
      <c r="AM14" s="1" t="s">
        <v>606</v>
      </c>
      <c r="AV14" s="1" t="b">
        <v>0</v>
      </c>
      <c r="BA14" s="1" t="s">
        <v>259</v>
      </c>
      <c r="BB14" s="1" t="s">
        <v>259</v>
      </c>
    </row>
    <row r="15" spans="1:67" ht="51" customHeight="1">
      <c r="B15" s="1">
        <v>1158354</v>
      </c>
      <c r="C15" s="2">
        <v>43326</v>
      </c>
      <c r="E15" s="1" t="s">
        <v>116</v>
      </c>
      <c r="F15" s="1" t="b">
        <v>1</v>
      </c>
    </row>
    <row r="16" spans="1:67" ht="170.1" customHeight="1">
      <c r="B16" s="1">
        <v>1158354</v>
      </c>
      <c r="C16" s="2">
        <v>43381</v>
      </c>
      <c r="E16" s="1" t="s">
        <v>117</v>
      </c>
      <c r="F16" s="1" t="b">
        <v>1</v>
      </c>
      <c r="BA16" s="1" t="s">
        <v>259</v>
      </c>
    </row>
    <row r="17" spans="2:61" ht="153" customHeight="1">
      <c r="B17" s="1">
        <v>1158354</v>
      </c>
      <c r="C17" s="2">
        <v>43473</v>
      </c>
      <c r="E17" s="1" t="s">
        <v>118</v>
      </c>
      <c r="F17" s="1" t="b">
        <v>1</v>
      </c>
      <c r="BA17" s="1" t="s">
        <v>259</v>
      </c>
    </row>
    <row r="18" spans="2:61" ht="170.1" customHeight="1">
      <c r="B18" s="1">
        <v>1158354</v>
      </c>
      <c r="C18" s="2">
        <v>43487</v>
      </c>
      <c r="E18" s="1" t="s">
        <v>119</v>
      </c>
      <c r="F18" s="1" t="b">
        <v>1</v>
      </c>
      <c r="H18" s="1" t="b">
        <v>1</v>
      </c>
      <c r="J18" s="1" t="b">
        <v>1</v>
      </c>
      <c r="L18" s="1" t="s">
        <v>495</v>
      </c>
      <c r="AE18" s="1" t="s">
        <v>512</v>
      </c>
      <c r="AG18" s="1" t="s">
        <v>512</v>
      </c>
      <c r="BA18" s="1" t="s">
        <v>259</v>
      </c>
    </row>
    <row r="19" spans="2:61" ht="68.099999999999994" customHeight="1">
      <c r="B19" s="1">
        <v>1158354</v>
      </c>
      <c r="C19" s="2">
        <v>43494</v>
      </c>
      <c r="E19" s="1" t="s">
        <v>120</v>
      </c>
      <c r="F19" s="1" t="b">
        <v>1</v>
      </c>
      <c r="BD19" s="1" t="b">
        <v>1</v>
      </c>
      <c r="BE19" s="1" t="s">
        <v>585</v>
      </c>
    </row>
    <row r="20" spans="2:61" ht="119.1" customHeight="1">
      <c r="B20" s="1">
        <v>1158354</v>
      </c>
      <c r="C20" s="2">
        <v>43535</v>
      </c>
      <c r="E20" s="1" t="s">
        <v>121</v>
      </c>
      <c r="F20" s="1" t="b">
        <v>1</v>
      </c>
      <c r="AB20" s="1" t="b">
        <v>1</v>
      </c>
      <c r="AC20" s="1" t="b">
        <v>1</v>
      </c>
      <c r="AE20" s="1" t="s">
        <v>514</v>
      </c>
      <c r="AG20" s="1" t="s">
        <v>513</v>
      </c>
      <c r="AH20" s="1" t="s">
        <v>534</v>
      </c>
      <c r="BA20" s="1" t="s">
        <v>259</v>
      </c>
      <c r="BB20" s="1" t="s">
        <v>259</v>
      </c>
    </row>
    <row r="21" spans="2:61" ht="135.94999999999999" customHeight="1">
      <c r="B21" s="1">
        <v>1158354</v>
      </c>
      <c r="C21" s="2">
        <v>43577</v>
      </c>
      <c r="E21" s="1" t="s">
        <v>122</v>
      </c>
      <c r="F21" s="1" t="b">
        <v>1</v>
      </c>
      <c r="J21" s="1" t="b">
        <v>1</v>
      </c>
      <c r="AB21" s="1" t="b">
        <v>1</v>
      </c>
      <c r="AC21" s="1" t="b">
        <v>1</v>
      </c>
      <c r="AE21" s="1" t="s">
        <v>517</v>
      </c>
      <c r="AG21" s="1" t="s">
        <v>514</v>
      </c>
      <c r="AI21" s="1" t="s">
        <v>539</v>
      </c>
      <c r="AJ21" s="1" t="s">
        <v>562</v>
      </c>
      <c r="AK21" s="1" t="s">
        <v>539</v>
      </c>
      <c r="AL21" s="1" t="s">
        <v>562</v>
      </c>
      <c r="BA21" s="1" t="s">
        <v>259</v>
      </c>
      <c r="BB21" s="1" t="s">
        <v>259</v>
      </c>
    </row>
    <row r="22" spans="2:61" ht="135.94999999999999" customHeight="1">
      <c r="B22" s="1">
        <v>1158354</v>
      </c>
      <c r="C22" s="2">
        <v>43619</v>
      </c>
      <c r="E22" s="1" t="s">
        <v>123</v>
      </c>
      <c r="F22" s="1" t="b">
        <v>1</v>
      </c>
      <c r="S22" s="1" t="s">
        <v>487</v>
      </c>
      <c r="T22" s="1" t="s">
        <v>487</v>
      </c>
      <c r="U22" s="1" t="s">
        <v>482</v>
      </c>
      <c r="V22" s="1" t="s">
        <v>482</v>
      </c>
      <c r="AB22" s="1" t="b">
        <v>1</v>
      </c>
      <c r="AC22" s="1" t="b">
        <v>1</v>
      </c>
      <c r="AD22" s="1" t="s">
        <v>504</v>
      </c>
      <c r="AE22" s="1" t="s">
        <v>520</v>
      </c>
      <c r="AF22" s="1" t="s">
        <v>504</v>
      </c>
      <c r="AG22" s="1" t="s">
        <v>517</v>
      </c>
      <c r="AI22" s="1" t="s">
        <v>541</v>
      </c>
      <c r="AJ22" s="1" t="s">
        <v>562</v>
      </c>
      <c r="AK22" s="1" t="s">
        <v>540</v>
      </c>
      <c r="AL22" s="1" t="s">
        <v>562</v>
      </c>
      <c r="BA22" s="1" t="s">
        <v>259</v>
      </c>
      <c r="BB22" s="1" t="s">
        <v>259</v>
      </c>
      <c r="BC22" s="1" t="b">
        <v>1</v>
      </c>
    </row>
    <row r="23" spans="2:61" ht="135.94999999999999" customHeight="1">
      <c r="B23" s="1">
        <v>1158354</v>
      </c>
      <c r="C23" s="2">
        <v>43661</v>
      </c>
      <c r="E23" s="1" t="s">
        <v>124</v>
      </c>
      <c r="F23" s="1" t="b">
        <v>1</v>
      </c>
      <c r="S23" s="1" t="s">
        <v>487</v>
      </c>
      <c r="T23" s="1" t="s">
        <v>487</v>
      </c>
      <c r="U23" s="1" t="s">
        <v>482</v>
      </c>
      <c r="V23" s="1" t="s">
        <v>482</v>
      </c>
      <c r="AB23" s="1" t="b">
        <v>1</v>
      </c>
      <c r="AC23" s="1" t="b">
        <v>1</v>
      </c>
      <c r="AD23" s="1" t="s">
        <v>506</v>
      </c>
      <c r="AE23" s="1" t="s">
        <v>518</v>
      </c>
      <c r="AF23" s="1" t="s">
        <v>506</v>
      </c>
      <c r="AG23" s="1" t="s">
        <v>518</v>
      </c>
      <c r="AI23" s="1" t="s">
        <v>541</v>
      </c>
      <c r="AJ23" s="1" t="s">
        <v>565</v>
      </c>
      <c r="AK23" s="1" t="s">
        <v>540</v>
      </c>
      <c r="AL23" s="1" t="s">
        <v>565</v>
      </c>
      <c r="BA23" s="1" t="s">
        <v>259</v>
      </c>
      <c r="BB23" s="1" t="s">
        <v>259</v>
      </c>
    </row>
    <row r="24" spans="2:61" ht="255" customHeight="1">
      <c r="B24" s="1">
        <v>1158354</v>
      </c>
      <c r="C24" s="2">
        <v>43703</v>
      </c>
      <c r="E24" s="1" t="s">
        <v>125</v>
      </c>
      <c r="F24" s="1" t="b">
        <v>1</v>
      </c>
      <c r="S24" s="1" t="s">
        <v>487</v>
      </c>
      <c r="T24" s="1" t="s">
        <v>487</v>
      </c>
      <c r="U24" s="1" t="s">
        <v>482</v>
      </c>
      <c r="V24" s="1" t="s">
        <v>482</v>
      </c>
      <c r="AB24" s="1" t="b">
        <v>0</v>
      </c>
      <c r="AC24" s="1" t="b">
        <v>0</v>
      </c>
      <c r="AD24" s="1" t="s">
        <v>506</v>
      </c>
      <c r="AE24" s="1" t="s">
        <v>518</v>
      </c>
      <c r="AF24" s="1" t="s">
        <v>506</v>
      </c>
      <c r="AG24" s="1" t="s">
        <v>518</v>
      </c>
      <c r="AI24" s="1" t="s">
        <v>539</v>
      </c>
      <c r="AJ24" s="1" t="s">
        <v>565</v>
      </c>
      <c r="AK24" s="1" t="s">
        <v>540</v>
      </c>
      <c r="AL24" s="1" t="s">
        <v>565</v>
      </c>
      <c r="BA24" s="1" t="s">
        <v>259</v>
      </c>
      <c r="BB24" s="1" t="s">
        <v>259</v>
      </c>
      <c r="BH24" s="1" t="b">
        <v>1</v>
      </c>
    </row>
    <row r="25" spans="2:61" ht="186.95" customHeight="1">
      <c r="B25" s="1">
        <v>1158354</v>
      </c>
      <c r="C25" s="2">
        <v>43753</v>
      </c>
      <c r="E25" s="1" t="s">
        <v>126</v>
      </c>
      <c r="F25" s="1" t="b">
        <v>1</v>
      </c>
      <c r="S25" s="1" t="s">
        <v>487</v>
      </c>
      <c r="T25" s="1" t="s">
        <v>487</v>
      </c>
      <c r="U25" s="1" t="s">
        <v>487</v>
      </c>
      <c r="V25" s="1" t="s">
        <v>487</v>
      </c>
      <c r="AB25" s="1" t="b">
        <v>1</v>
      </c>
      <c r="AC25" s="1" t="b">
        <v>1</v>
      </c>
      <c r="AD25" s="1" t="s">
        <v>506</v>
      </c>
      <c r="AE25" s="1" t="s">
        <v>520</v>
      </c>
      <c r="AF25" s="1" t="s">
        <v>506</v>
      </c>
      <c r="AG25" s="1" t="s">
        <v>520</v>
      </c>
      <c r="AI25" t="s">
        <v>541</v>
      </c>
      <c r="AK25" t="s">
        <v>541</v>
      </c>
      <c r="BA25" s="1" t="s">
        <v>259</v>
      </c>
      <c r="BB25" s="1" t="s">
        <v>259</v>
      </c>
      <c r="BH25" s="1" t="b">
        <v>1</v>
      </c>
    </row>
    <row r="26" spans="2:61" ht="135.94999999999999" customHeight="1">
      <c r="B26" s="1">
        <v>1158354</v>
      </c>
      <c r="C26" s="2">
        <v>43794</v>
      </c>
      <c r="E26" s="1" t="s">
        <v>127</v>
      </c>
      <c r="F26" s="1" t="b">
        <v>1</v>
      </c>
      <c r="G26" s="1" t="b">
        <v>1</v>
      </c>
      <c r="S26" s="1" t="s">
        <v>482</v>
      </c>
      <c r="T26" s="1" t="s">
        <v>482</v>
      </c>
      <c r="U26" s="1" t="s">
        <v>482</v>
      </c>
      <c r="V26" s="1" t="s">
        <v>482</v>
      </c>
      <c r="W26" s="1">
        <v>3</v>
      </c>
      <c r="X26" s="1">
        <v>4</v>
      </c>
      <c r="AB26" s="1" t="b">
        <v>0</v>
      </c>
      <c r="AC26" s="1" t="b">
        <v>0</v>
      </c>
      <c r="AD26" s="1" t="s">
        <v>506</v>
      </c>
      <c r="AE26" s="1" t="s">
        <v>520</v>
      </c>
      <c r="AF26" s="1" t="s">
        <v>506</v>
      </c>
      <c r="AG26" s="1" t="s">
        <v>520</v>
      </c>
      <c r="AI26" s="1" t="s">
        <v>538</v>
      </c>
      <c r="AK26" s="1" t="s">
        <v>538</v>
      </c>
      <c r="BA26" s="1" t="s">
        <v>259</v>
      </c>
      <c r="BB26" s="1" t="s">
        <v>259</v>
      </c>
    </row>
    <row r="27" spans="2:61" ht="119.1" customHeight="1">
      <c r="B27" s="1">
        <v>1158354</v>
      </c>
      <c r="C27" s="2">
        <v>43836</v>
      </c>
      <c r="E27" s="1" t="s">
        <v>128</v>
      </c>
      <c r="F27" s="1" t="b">
        <v>1</v>
      </c>
      <c r="S27" s="1" t="s">
        <v>482</v>
      </c>
      <c r="T27" s="1" t="s">
        <v>482</v>
      </c>
      <c r="U27" s="1" t="s">
        <v>482</v>
      </c>
      <c r="V27" s="1" t="s">
        <v>482</v>
      </c>
      <c r="W27" s="1">
        <v>3</v>
      </c>
      <c r="X27" s="1">
        <v>4</v>
      </c>
      <c r="AB27" s="1" t="b">
        <v>1</v>
      </c>
      <c r="AC27" s="1" t="b">
        <v>1</v>
      </c>
      <c r="AD27" s="1" t="s">
        <v>504</v>
      </c>
      <c r="AE27" s="1" t="s">
        <v>514</v>
      </c>
      <c r="AF27" s="1" t="s">
        <v>504</v>
      </c>
      <c r="AG27" s="1" t="s">
        <v>514</v>
      </c>
      <c r="BA27" s="1" t="s">
        <v>259</v>
      </c>
      <c r="BB27" s="1" t="s">
        <v>259</v>
      </c>
      <c r="BC27" s="1" t="b">
        <v>1</v>
      </c>
    </row>
    <row r="28" spans="2:61" ht="119.1" customHeight="1">
      <c r="B28" s="1">
        <v>1158354</v>
      </c>
      <c r="C28" s="2">
        <v>43871</v>
      </c>
      <c r="E28" s="1" t="s">
        <v>129</v>
      </c>
      <c r="F28" s="1" t="b">
        <v>1</v>
      </c>
      <c r="S28" s="1" t="s">
        <v>482</v>
      </c>
      <c r="T28" s="1" t="s">
        <v>482</v>
      </c>
      <c r="U28" s="1" t="s">
        <v>482</v>
      </c>
      <c r="V28" s="1" t="s">
        <v>482</v>
      </c>
      <c r="W28" s="1">
        <v>3</v>
      </c>
      <c r="X28" s="1">
        <v>3</v>
      </c>
      <c r="AB28" s="1" t="b">
        <v>1</v>
      </c>
      <c r="AC28" s="1" t="b">
        <v>1</v>
      </c>
      <c r="AD28" s="1" t="s">
        <v>504</v>
      </c>
      <c r="AE28" s="1" t="s">
        <v>518</v>
      </c>
      <c r="AF28" s="1" t="s">
        <v>504</v>
      </c>
      <c r="AG28" s="1" t="s">
        <v>518</v>
      </c>
      <c r="AK28" s="1" t="s">
        <v>540</v>
      </c>
      <c r="BA28" s="1" t="s">
        <v>259</v>
      </c>
      <c r="BB28" s="1" t="s">
        <v>259</v>
      </c>
    </row>
    <row r="29" spans="2:61" ht="135.94999999999999" customHeight="1">
      <c r="B29" s="1">
        <v>1158354</v>
      </c>
      <c r="C29" s="2">
        <v>43899</v>
      </c>
      <c r="E29" s="1" t="s">
        <v>130</v>
      </c>
      <c r="F29" s="1" t="b">
        <v>1</v>
      </c>
      <c r="S29" s="1" t="s">
        <v>482</v>
      </c>
      <c r="T29" s="1" t="s">
        <v>482</v>
      </c>
      <c r="U29" s="1" t="s">
        <v>482</v>
      </c>
      <c r="V29" s="1" t="s">
        <v>482</v>
      </c>
      <c r="W29" s="1">
        <v>3</v>
      </c>
      <c r="X29" s="1">
        <v>3</v>
      </c>
      <c r="AB29" s="1" t="b">
        <v>1</v>
      </c>
      <c r="AC29" s="1" t="b">
        <v>1</v>
      </c>
      <c r="AD29" s="1" t="s">
        <v>507</v>
      </c>
      <c r="AE29" s="1" t="s">
        <v>520</v>
      </c>
      <c r="AF29" s="1" t="s">
        <v>507</v>
      </c>
      <c r="AG29" s="1" t="s">
        <v>520</v>
      </c>
      <c r="AI29" s="1" t="s">
        <v>539</v>
      </c>
      <c r="AJ29" s="1" t="s">
        <v>562</v>
      </c>
      <c r="AK29" s="1" t="s">
        <v>540</v>
      </c>
      <c r="AL29" s="1" t="s">
        <v>562</v>
      </c>
      <c r="BA29" s="1" t="s">
        <v>259</v>
      </c>
      <c r="BB29" s="1" t="s">
        <v>259</v>
      </c>
      <c r="BC29" s="1" t="b">
        <v>1</v>
      </c>
      <c r="BH29" s="1" t="b">
        <v>1</v>
      </c>
      <c r="BI29" s="1" t="b">
        <v>1</v>
      </c>
    </row>
    <row r="30" spans="2:61" ht="153" customHeight="1">
      <c r="B30" s="1">
        <v>1158354</v>
      </c>
      <c r="C30" s="2">
        <v>44004</v>
      </c>
      <c r="E30" s="1" t="s">
        <v>131</v>
      </c>
      <c r="F30" s="1" t="b">
        <v>1</v>
      </c>
      <c r="S30" s="1" t="s">
        <v>482</v>
      </c>
      <c r="T30" s="1" t="s">
        <v>482</v>
      </c>
      <c r="U30" s="1" t="s">
        <v>482</v>
      </c>
      <c r="V30" s="1" t="s">
        <v>482</v>
      </c>
      <c r="W30" s="1">
        <v>3</v>
      </c>
      <c r="X30" s="1">
        <v>3</v>
      </c>
      <c r="AB30" s="1" t="b">
        <v>1</v>
      </c>
      <c r="AC30" s="1" t="b">
        <v>1</v>
      </c>
      <c r="AD30" s="1" t="s">
        <v>506</v>
      </c>
      <c r="AE30" s="1" t="s">
        <v>520</v>
      </c>
      <c r="AF30" s="1" t="s">
        <v>506</v>
      </c>
      <c r="AG30" s="1" t="s">
        <v>520</v>
      </c>
      <c r="AI30" s="1" t="s">
        <v>541</v>
      </c>
      <c r="AJ30" s="1" t="s">
        <v>566</v>
      </c>
      <c r="AK30" s="1" t="s">
        <v>540</v>
      </c>
      <c r="AL30" s="1" t="s">
        <v>566</v>
      </c>
      <c r="BA30" s="1" t="s">
        <v>259</v>
      </c>
      <c r="BB30" s="1" t="s">
        <v>259</v>
      </c>
      <c r="BH30" s="1" t="b">
        <v>1</v>
      </c>
      <c r="BI30" s="1" t="b">
        <v>1</v>
      </c>
    </row>
    <row r="31" spans="2:61" ht="170.1" customHeight="1">
      <c r="B31" s="1">
        <v>1158354</v>
      </c>
      <c r="C31" s="2">
        <v>44074</v>
      </c>
      <c r="E31" s="1" t="s">
        <v>132</v>
      </c>
      <c r="F31" s="1" t="b">
        <v>1</v>
      </c>
      <c r="G31" s="1" t="b">
        <v>1</v>
      </c>
      <c r="S31" s="1" t="s">
        <v>482</v>
      </c>
      <c r="AB31" s="1" t="b">
        <v>0</v>
      </c>
      <c r="AC31" s="1" t="b">
        <v>0</v>
      </c>
      <c r="AD31" s="1" t="s">
        <v>506</v>
      </c>
      <c r="AE31" s="1" t="s">
        <v>520</v>
      </c>
      <c r="AF31" s="1" t="s">
        <v>506</v>
      </c>
      <c r="AG31" s="1" t="s">
        <v>520</v>
      </c>
      <c r="AI31" s="1" t="s">
        <v>539</v>
      </c>
      <c r="AJ31" s="1" t="s">
        <v>565</v>
      </c>
      <c r="AK31" s="1" t="s">
        <v>539</v>
      </c>
      <c r="AL31" s="1" t="s">
        <v>565</v>
      </c>
    </row>
    <row r="32" spans="2:61" ht="170.1" customHeight="1">
      <c r="B32" s="1">
        <v>1158354</v>
      </c>
      <c r="C32" s="2">
        <v>44109</v>
      </c>
      <c r="E32" s="1" t="s">
        <v>133</v>
      </c>
      <c r="F32" s="1" t="b">
        <v>1</v>
      </c>
      <c r="G32" s="1" t="b">
        <v>1</v>
      </c>
      <c r="S32" s="1" t="s">
        <v>483</v>
      </c>
      <c r="T32" s="1" t="s">
        <v>483</v>
      </c>
      <c r="U32" s="1" t="s">
        <v>483</v>
      </c>
      <c r="V32" s="1" t="s">
        <v>483</v>
      </c>
      <c r="W32" s="1">
        <v>1.5</v>
      </c>
      <c r="X32" s="1">
        <v>2</v>
      </c>
      <c r="AB32" s="1" t="b">
        <v>0</v>
      </c>
      <c r="AC32" s="1" t="b">
        <v>0</v>
      </c>
      <c r="AD32" s="1" t="s">
        <v>506</v>
      </c>
      <c r="AE32" s="1" t="s">
        <v>520</v>
      </c>
      <c r="AF32" s="1" t="s">
        <v>506</v>
      </c>
      <c r="AG32" s="1" t="s">
        <v>520</v>
      </c>
      <c r="AH32"/>
      <c r="AI32" s="1" t="s">
        <v>540</v>
      </c>
      <c r="AJ32" s="1" t="s">
        <v>565</v>
      </c>
      <c r="AK32" s="1" t="s">
        <v>540</v>
      </c>
      <c r="AL32" s="1" t="s">
        <v>565</v>
      </c>
      <c r="BB32" s="1" t="s">
        <v>259</v>
      </c>
    </row>
    <row r="33" spans="2:67" ht="68.099999999999994" customHeight="1">
      <c r="B33" s="1">
        <v>1158354</v>
      </c>
      <c r="C33" s="2">
        <v>44137</v>
      </c>
      <c r="E33" s="1" t="s">
        <v>134</v>
      </c>
      <c r="F33" s="1" t="b">
        <v>1</v>
      </c>
      <c r="AI33" s="1" t="s">
        <v>540</v>
      </c>
      <c r="AJ33" s="1" t="s">
        <v>565</v>
      </c>
      <c r="AK33" s="1" t="s">
        <v>540</v>
      </c>
      <c r="AL33" s="1" t="s">
        <v>565</v>
      </c>
      <c r="BB33" s="1" t="s">
        <v>259</v>
      </c>
    </row>
    <row r="34" spans="2:67" ht="186.95" customHeight="1">
      <c r="B34" s="1">
        <v>1158354</v>
      </c>
      <c r="C34" s="2">
        <v>44172</v>
      </c>
      <c r="E34" s="1" t="s">
        <v>135</v>
      </c>
      <c r="F34" s="1" t="b">
        <v>1</v>
      </c>
      <c r="AB34" s="1" t="b">
        <v>0</v>
      </c>
      <c r="AC34" s="1" t="b">
        <v>0</v>
      </c>
      <c r="AD34" s="1" t="s">
        <v>506</v>
      </c>
      <c r="AE34" s="1" t="s">
        <v>520</v>
      </c>
      <c r="AF34" s="1" t="s">
        <v>506</v>
      </c>
      <c r="AG34" s="1" t="s">
        <v>520</v>
      </c>
      <c r="AI34" s="1" t="s">
        <v>541</v>
      </c>
      <c r="AJ34" s="1" t="s">
        <v>561</v>
      </c>
      <c r="AK34" s="1" t="s">
        <v>540</v>
      </c>
      <c r="AL34" s="1" t="s">
        <v>561</v>
      </c>
    </row>
    <row r="35" spans="2:67" ht="339.95" customHeight="1">
      <c r="B35" s="1">
        <v>1158354</v>
      </c>
      <c r="C35" s="2">
        <v>44215</v>
      </c>
      <c r="E35" s="1" t="s">
        <v>136</v>
      </c>
      <c r="F35" s="1" t="b">
        <v>1</v>
      </c>
      <c r="G35" s="1" t="b">
        <v>1</v>
      </c>
      <c r="S35" s="1" t="s">
        <v>482</v>
      </c>
      <c r="BA35" s="1" t="s">
        <v>259</v>
      </c>
      <c r="BB35" s="1" t="s">
        <v>259</v>
      </c>
      <c r="BL35" s="1" t="b">
        <v>1</v>
      </c>
      <c r="BM35" s="1" t="b">
        <v>1</v>
      </c>
    </row>
    <row r="36" spans="2:67" ht="119.1" customHeight="1">
      <c r="B36" s="1">
        <v>1158354</v>
      </c>
      <c r="C36" s="2">
        <v>44222</v>
      </c>
      <c r="E36" s="1" t="s">
        <v>137</v>
      </c>
      <c r="F36" s="1" t="b">
        <v>1</v>
      </c>
      <c r="BA36" s="1" t="s">
        <v>259</v>
      </c>
      <c r="BB36" s="1" t="s">
        <v>259</v>
      </c>
      <c r="BG36" s="1" t="b">
        <v>1</v>
      </c>
    </row>
    <row r="37" spans="2:67" ht="204" customHeight="1">
      <c r="B37" s="1">
        <v>1158354</v>
      </c>
      <c r="C37" s="2">
        <v>44256</v>
      </c>
      <c r="E37" s="1" t="s">
        <v>138</v>
      </c>
      <c r="F37" s="1" t="b">
        <v>1</v>
      </c>
      <c r="AI37" s="1" t="s">
        <v>541</v>
      </c>
      <c r="AJ37" s="1" t="s">
        <v>562</v>
      </c>
      <c r="BA37" s="1" t="s">
        <v>259</v>
      </c>
      <c r="BB37" s="1" t="s">
        <v>259</v>
      </c>
      <c r="BN37" s="1" t="b">
        <v>1</v>
      </c>
    </row>
    <row r="38" spans="2:67" ht="102" customHeight="1">
      <c r="B38" s="1">
        <v>1158354</v>
      </c>
      <c r="C38" s="2">
        <v>44326</v>
      </c>
      <c r="E38" s="1" t="s">
        <v>139</v>
      </c>
      <c r="F38" s="1" t="b">
        <v>1</v>
      </c>
      <c r="AI38" s="1" t="s">
        <v>538</v>
      </c>
      <c r="BB38" s="1" t="s">
        <v>259</v>
      </c>
      <c r="BN38" s="1" t="b">
        <v>1</v>
      </c>
    </row>
    <row r="39" spans="2:67" ht="153" customHeight="1">
      <c r="B39" s="1">
        <v>1158354</v>
      </c>
      <c r="C39" s="2">
        <v>44417</v>
      </c>
      <c r="E39" s="1" t="s">
        <v>140</v>
      </c>
      <c r="F39" s="1" t="b">
        <v>1</v>
      </c>
      <c r="S39" s="1" t="s">
        <v>487</v>
      </c>
      <c r="T39" s="1" t="s">
        <v>487</v>
      </c>
      <c r="BA39" s="1" t="s">
        <v>259</v>
      </c>
      <c r="BB39" s="1" t="s">
        <v>259</v>
      </c>
      <c r="BN39" s="1" t="b">
        <v>1</v>
      </c>
    </row>
    <row r="40" spans="2:67" ht="102" customHeight="1">
      <c r="B40" s="1">
        <v>1158354</v>
      </c>
      <c r="C40" s="2">
        <v>44572</v>
      </c>
      <c r="E40" s="1" t="s">
        <v>141</v>
      </c>
      <c r="F40" s="1" t="b">
        <v>1</v>
      </c>
      <c r="BB40" s="1" t="s">
        <v>259</v>
      </c>
      <c r="BN40" s="1" t="b">
        <v>1</v>
      </c>
    </row>
    <row r="41" spans="2:67" ht="170.1" customHeight="1">
      <c r="B41" s="1">
        <v>1158354</v>
      </c>
      <c r="C41" s="2">
        <v>44761</v>
      </c>
      <c r="E41" s="1" t="s">
        <v>142</v>
      </c>
      <c r="F41" s="1" t="b">
        <v>1</v>
      </c>
      <c r="BB41" s="1" t="s">
        <v>259</v>
      </c>
      <c r="BN41" s="1" t="b">
        <v>1</v>
      </c>
      <c r="BO41" s="1" t="b">
        <v>1</v>
      </c>
    </row>
    <row r="42" spans="2:67" ht="84.95" customHeight="1">
      <c r="B42" s="1">
        <v>1158354</v>
      </c>
      <c r="C42" s="2">
        <v>45135</v>
      </c>
      <c r="E42" s="1" t="s">
        <v>143</v>
      </c>
      <c r="F42" s="1" t="b">
        <v>1</v>
      </c>
      <c r="BB42" s="1" t="s">
        <v>259</v>
      </c>
      <c r="BN42" s="1" t="b">
        <v>1</v>
      </c>
    </row>
  </sheetData>
  <dataValidations count="1">
    <dataValidation allowBlank="1" showInputMessage="1" showErrorMessage="1" sqref="W25:X42" xr:uid="{6E1BEA66-9877-C04A-8E9A-899DEBD11CC7}"/>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60">
        <x14:dataValidation type="list" allowBlank="1" showInputMessage="1" showErrorMessage="1" xr:uid="{00000000-0002-0000-0100-000000000000}">
          <x14:formula1>
            <xm:f>list!$B$2:$C$2</xm:f>
          </x14:formula1>
          <xm:sqref>G2:G24 G43:G1048576</xm:sqref>
        </x14:dataValidation>
        <x14:dataValidation type="list" allowBlank="1" showInputMessage="1" showErrorMessage="1" xr:uid="{00000000-0002-0000-0100-000001000000}">
          <x14:formula1>
            <xm:f>list!$B$6:$C$6</xm:f>
          </x14:formula1>
          <xm:sqref>H2:H1048576 I22:K42</xm:sqref>
        </x14:dataValidation>
        <x14:dataValidation type="list" allowBlank="1" showInputMessage="1" showErrorMessage="1" xr:uid="{00000000-0002-0000-0100-000002000000}">
          <x14:formula1>
            <xm:f>list!$B$7:$C$7</xm:f>
          </x14:formula1>
          <xm:sqref>I43:I1048576 I2:I21</xm:sqref>
        </x14:dataValidation>
        <x14:dataValidation type="list" allowBlank="1" showInputMessage="1" showErrorMessage="1" xr:uid="{00000000-0002-0000-0100-000003000000}">
          <x14:formula1>
            <xm:f>list!$B$8:$C$8</xm:f>
          </x14:formula1>
          <xm:sqref>J43:J1048576 J2:J21</xm:sqref>
        </x14:dataValidation>
        <x14:dataValidation type="list" allowBlank="1" showInputMessage="1" showErrorMessage="1" xr:uid="{00000000-0002-0000-0100-000004000000}">
          <x14:formula1>
            <xm:f>list!$B$9:$C$9</xm:f>
          </x14:formula1>
          <xm:sqref>K43:K1048576 K2:K21</xm:sqref>
        </x14:dataValidation>
        <x14:dataValidation type="list" allowBlank="1" showInputMessage="1" showErrorMessage="1" xr:uid="{00000000-0002-0000-0100-000005000000}">
          <x14:formula1>
            <xm:f>list!$B$33:$K$33</xm:f>
          </x14:formula1>
          <xm:sqref>L2:L24 L43:L1048576</xm:sqref>
        </x14:dataValidation>
        <x14:dataValidation type="list" allowBlank="1" showInputMessage="1" showErrorMessage="1" xr:uid="{00000000-0002-0000-0100-000006000000}">
          <x14:formula1>
            <xm:f>list!$B$10:$C$10</xm:f>
          </x14:formula1>
          <xm:sqref>M2:M24 M43:M1048576</xm:sqref>
        </x14:dataValidation>
        <x14:dataValidation type="list" allowBlank="1" showInputMessage="1" showErrorMessage="1" xr:uid="{00000000-0002-0000-0100-000007000000}">
          <x14:formula1>
            <xm:f>list!$B$12:$C$12</xm:f>
          </x14:formula1>
          <xm:sqref>N2:N24 N43:N1048576</xm:sqref>
        </x14:dataValidation>
        <x14:dataValidation type="list" allowBlank="1" showInputMessage="1" showErrorMessage="1" xr:uid="{00000000-0002-0000-0100-000008000000}">
          <x14:formula1>
            <xm:f>list!$B$13:$C$13</xm:f>
          </x14:formula1>
          <xm:sqref>O2:O24 O43:O1048576</xm:sqref>
        </x14:dataValidation>
        <x14:dataValidation type="list" allowBlank="1" showInputMessage="1" showErrorMessage="1" xr:uid="{00000000-0002-0000-0100-000009000000}">
          <x14:formula1>
            <xm:f>list!$B$15:$C$15</xm:f>
          </x14:formula1>
          <xm:sqref>P2:P24 P43:P1048576</xm:sqref>
        </x14:dataValidation>
        <x14:dataValidation type="list" allowBlank="1" showInputMessage="1" showErrorMessage="1" xr:uid="{00000000-0002-0000-0100-00000A000000}">
          <x14:formula1>
            <xm:f>list!$B$19:$D$19</xm:f>
          </x14:formula1>
          <xm:sqref>Q2:Q24 Q43:Q1048576</xm:sqref>
        </x14:dataValidation>
        <x14:dataValidation type="list" allowBlank="1" showInputMessage="1" showErrorMessage="1" xr:uid="{00000000-0002-0000-0100-00000C000000}">
          <x14:formula1>
            <xm:f>list!$B$21:$M$21</xm:f>
          </x14:formula1>
          <xm:sqref>T7:V7 BA7 S2:S24 S43:S1048576</xm:sqref>
        </x14:dataValidation>
        <x14:dataValidation type="list" allowBlank="1" showInputMessage="1" showErrorMessage="1" xr:uid="{00000000-0002-0000-0100-00000D000000}">
          <x14:formula1>
            <xm:f>list!$B$22:$M$22</xm:f>
          </x14:formula1>
          <xm:sqref>T2:T6 T8:T24 T43:T1048576</xm:sqref>
        </x14:dataValidation>
        <x14:dataValidation type="list" allowBlank="1" showInputMessage="1" showErrorMessage="1" xr:uid="{00000000-0002-0000-0100-00000E000000}">
          <x14:formula1>
            <xm:f>list!$B$23:$M$23</xm:f>
          </x14:formula1>
          <xm:sqref>U2:U6 U8:U24 U43:U1048576</xm:sqref>
        </x14:dataValidation>
        <x14:dataValidation type="list" allowBlank="1" showInputMessage="1" showErrorMessage="1" xr:uid="{00000000-0002-0000-0100-00000F000000}">
          <x14:formula1>
            <xm:f>list!$B$24:$M$24</xm:f>
          </x14:formula1>
          <xm:sqref>V2:V6 V8:V24 V43:V1048576</xm:sqref>
        </x14:dataValidation>
        <x14:dataValidation type="list" allowBlank="1" showInputMessage="1" showErrorMessage="1" xr:uid="{00000000-0002-0000-0100-000010000000}">
          <x14:formula1>
            <xm:f>list!$B$25:$E$25</xm:f>
          </x14:formula1>
          <xm:sqref>W43:W1048576</xm:sqref>
        </x14:dataValidation>
        <x14:dataValidation type="list" allowBlank="1" showInputMessage="1" showErrorMessage="1" xr:uid="{00000000-0002-0000-0100-000011000000}">
          <x14:formula1>
            <xm:f>list!$B$26:$E$26</xm:f>
          </x14:formula1>
          <xm:sqref>X43:X1048576</xm:sqref>
        </x14:dataValidation>
        <x14:dataValidation type="list" allowBlank="1" showInputMessage="1" showErrorMessage="1" xr:uid="{00000000-0002-0000-0100-000012000000}">
          <x14:formula1>
            <xm:f>list!$B$29:$C$29</xm:f>
          </x14:formula1>
          <xm:sqref>Y2:Y24 Y43:Y1048576</xm:sqref>
        </x14:dataValidation>
        <x14:dataValidation type="list" allowBlank="1" showInputMessage="1" showErrorMessage="1" xr:uid="{00000000-0002-0000-0100-000013000000}">
          <x14:formula1>
            <xm:f>list!$B$27:$C$27</xm:f>
          </x14:formula1>
          <xm:sqref>Z2:Z24 Z43:Z1048576</xm:sqref>
        </x14:dataValidation>
        <x14:dataValidation type="list" allowBlank="1" showInputMessage="1" showErrorMessage="1" xr:uid="{00000000-0002-0000-0100-000014000000}">
          <x14:formula1>
            <xm:f>list!$B$32:$C$32</xm:f>
          </x14:formula1>
          <xm:sqref>AA2:AA24 AA43:AA1048576</xm:sqref>
        </x14:dataValidation>
        <x14:dataValidation type="list" allowBlank="1" showInputMessage="1" showErrorMessage="1" xr:uid="{00000000-0002-0000-0100-000015000000}">
          <x14:formula1>
            <xm:f>list!$B$34:$C$34</xm:f>
          </x14:formula1>
          <xm:sqref>AB2:AB24 AB43:AB1048576</xm:sqref>
        </x14:dataValidation>
        <x14:dataValidation type="list" allowBlank="1" showInputMessage="1" showErrorMessage="1" xr:uid="{00000000-0002-0000-0100-000016000000}">
          <x14:formula1>
            <xm:f>list!$B$35:$C$35</xm:f>
          </x14:formula1>
          <xm:sqref>AC2:AC24 AC43:AC1048576</xm:sqref>
        </x14:dataValidation>
        <x14:dataValidation type="list" allowBlank="1" showInputMessage="1" showErrorMessage="1" xr:uid="{00000000-0002-0000-0100-000017000000}">
          <x14:formula1>
            <xm:f>list!$B$36:$G$36</xm:f>
          </x14:formula1>
          <xm:sqref>AD2:AD24 AD43:AD1048576</xm:sqref>
        </x14:dataValidation>
        <x14:dataValidation type="list" allowBlank="1" showInputMessage="1" showErrorMessage="1" xr:uid="{00000000-0002-0000-0100-000018000000}">
          <x14:formula1>
            <xm:f>list!$B$37:$U$37</xm:f>
          </x14:formula1>
          <xm:sqref>AE2:AE24 AE43:AE1048576</xm:sqref>
        </x14:dataValidation>
        <x14:dataValidation type="list" allowBlank="1" showInputMessage="1" showErrorMessage="1" xr:uid="{00000000-0002-0000-0100-000019000000}">
          <x14:formula1>
            <xm:f>list!$B$38:$G$38</xm:f>
          </x14:formula1>
          <xm:sqref>AF2:AF24 AF43:AF1048576</xm:sqref>
        </x14:dataValidation>
        <x14:dataValidation type="list" allowBlank="1" showInputMessage="1" showErrorMessage="1" xr:uid="{00000000-0002-0000-0100-00001A000000}">
          <x14:formula1>
            <xm:f>list!$B$39:$U$39</xm:f>
          </x14:formula1>
          <xm:sqref>AG2:AG24 AG43:AG1048576</xm:sqref>
        </x14:dataValidation>
        <x14:dataValidation type="list" allowBlank="1" showInputMessage="1" showErrorMessage="1" xr:uid="{00000000-0002-0000-0100-00001B000000}">
          <x14:formula1>
            <xm:f>list!$B$40:$I$40</xm:f>
          </x14:formula1>
          <xm:sqref>AH2:AH24 AH43:AH1048576</xm:sqref>
        </x14:dataValidation>
        <x14:dataValidation type="list" allowBlank="1" showInputMessage="1" showErrorMessage="1" xr:uid="{00000000-0002-0000-0100-00001C000000}">
          <x14:formula1>
            <xm:f>list!$B$41:$H$41</xm:f>
          </x14:formula1>
          <xm:sqref>AI2:AI24 AI43:AI1048576</xm:sqref>
        </x14:dataValidation>
        <x14:dataValidation type="list" allowBlank="1" showInputMessage="1" showErrorMessage="1" xr:uid="{00000000-0002-0000-0100-00001D000000}">
          <x14:formula1>
            <xm:f>list!$B$42:$Z$42</xm:f>
          </x14:formula1>
          <xm:sqref>AJ2:AJ24 AJ43:AJ1048576</xm:sqref>
        </x14:dataValidation>
        <x14:dataValidation type="list" allowBlank="1" showInputMessage="1" showErrorMessage="1" xr:uid="{00000000-0002-0000-0100-00001E000000}">
          <x14:formula1>
            <xm:f>list!$B$43:$H$43</xm:f>
          </x14:formula1>
          <xm:sqref>AK2:AK24 AK43:AK1048576</xm:sqref>
        </x14:dataValidation>
        <x14:dataValidation type="list" allowBlank="1" showInputMessage="1" showErrorMessage="1" xr:uid="{00000000-0002-0000-0100-00001F000000}">
          <x14:formula1>
            <xm:f>list!$B$44:$Z$44</xm:f>
          </x14:formula1>
          <xm:sqref>AL2:AL24 AL43:AL1048576</xm:sqref>
        </x14:dataValidation>
        <x14:dataValidation type="list" allowBlank="1" showInputMessage="1" showErrorMessage="1" xr:uid="{00000000-0002-0000-0100-000020000000}">
          <x14:formula1>
            <xm:f>list!$B$49:$Q$49</xm:f>
          </x14:formula1>
          <xm:sqref>AM2:AM4 AM9 AM11:AM13 AM15:AM24 AM43:AM1048576</xm:sqref>
        </x14:dataValidation>
        <x14:dataValidation type="list" allowBlank="1" showInputMessage="1" showErrorMessage="1" xr:uid="{00000000-0002-0000-0100-000021000000}">
          <x14:formula1>
            <xm:f>list!$B$50:$C$50</xm:f>
          </x14:formula1>
          <xm:sqref>AN2:AN24 AN43:AN1048576</xm:sqref>
        </x14:dataValidation>
        <x14:dataValidation type="list" allowBlank="1" showInputMessage="1" showErrorMessage="1" xr:uid="{00000000-0002-0000-0100-000022000000}">
          <x14:formula1>
            <xm:f>list!$B$51:$C$51</xm:f>
          </x14:formula1>
          <xm:sqref>AO2:AO24 AO43:AO1048576</xm:sqref>
        </x14:dataValidation>
        <x14:dataValidation type="list" allowBlank="1" showInputMessage="1" showErrorMessage="1" xr:uid="{00000000-0002-0000-0100-000023000000}">
          <x14:formula1>
            <xm:f>list!$B$52:$C$52</xm:f>
          </x14:formula1>
          <xm:sqref>AP2:AP24 AP43:AP1048576</xm:sqref>
        </x14:dataValidation>
        <x14:dataValidation type="list" allowBlank="1" showInputMessage="1" showErrorMessage="1" xr:uid="{00000000-0002-0000-0100-000024000000}">
          <x14:formula1>
            <xm:f>list!$B$53:$C$53</xm:f>
          </x14:formula1>
          <xm:sqref>AQ2:AQ24 AQ43:AQ1048576</xm:sqref>
        </x14:dataValidation>
        <x14:dataValidation type="list" allowBlank="1" showInputMessage="1" showErrorMessage="1" xr:uid="{00000000-0002-0000-0100-000025000000}">
          <x14:formula1>
            <xm:f>list!$B$54:$C$54</xm:f>
          </x14:formula1>
          <xm:sqref>AR2:AR24 AR43:AR1048576</xm:sqref>
        </x14:dataValidation>
        <x14:dataValidation type="list" allowBlank="1" showInputMessage="1" showErrorMessage="1" xr:uid="{00000000-0002-0000-0100-000026000000}">
          <x14:formula1>
            <xm:f>list!$B$55:$C$55</xm:f>
          </x14:formula1>
          <xm:sqref>AS2:AS24 AS43:AS1048576</xm:sqref>
        </x14:dataValidation>
        <x14:dataValidation type="list" allowBlank="1" showInputMessage="1" showErrorMessage="1" xr:uid="{00000000-0002-0000-0100-000027000000}">
          <x14:formula1>
            <xm:f>list!$B$56:$C$56</xm:f>
          </x14:formula1>
          <xm:sqref>AT2:AT24 AT43:AT1048576</xm:sqref>
        </x14:dataValidation>
        <x14:dataValidation type="list" allowBlank="1" showInputMessage="1" showErrorMessage="1" xr:uid="{00000000-0002-0000-0100-000028000000}">
          <x14:formula1>
            <xm:f>list!$B$57:$C$57</xm:f>
          </x14:formula1>
          <xm:sqref>AU2:AU24 AU43:AU1048576</xm:sqref>
        </x14:dataValidation>
        <x14:dataValidation type="list" allowBlank="1" showInputMessage="1" showErrorMessage="1" xr:uid="{00000000-0002-0000-0100-000029000000}">
          <x14:formula1>
            <xm:f>list!$B$58:$C$58</xm:f>
          </x14:formula1>
          <xm:sqref>AV2:AV24 AV43:AV1048576</xm:sqref>
        </x14:dataValidation>
        <x14:dataValidation type="list" allowBlank="1" showInputMessage="1" showErrorMessage="1" xr:uid="{00000000-0002-0000-0100-00002A000000}">
          <x14:formula1>
            <xm:f>list!$B$59:$C$59</xm:f>
          </x14:formula1>
          <xm:sqref>AW2:AW24 AW43:AW1048576</xm:sqref>
        </x14:dataValidation>
        <x14:dataValidation type="list" allowBlank="1" showInputMessage="1" showErrorMessage="1" xr:uid="{00000000-0002-0000-0100-00002B000000}">
          <x14:formula1>
            <xm:f>list!$B$60:$C$60</xm:f>
          </x14:formula1>
          <xm:sqref>AX2:AX24 AX43:AX1048576</xm:sqref>
        </x14:dataValidation>
        <x14:dataValidation type="list" allowBlank="1" showInputMessage="1" showErrorMessage="1" xr:uid="{00000000-0002-0000-0100-00002C000000}">
          <x14:formula1>
            <xm:f>list!$B$61:$C$61</xm:f>
          </x14:formula1>
          <xm:sqref>AY2:AY24 AY43:AY1048576</xm:sqref>
        </x14:dataValidation>
        <x14:dataValidation type="list" allowBlank="1" showInputMessage="1" showErrorMessage="1" xr:uid="{00000000-0002-0000-0100-00002D000000}">
          <x14:formula1>
            <xm:f>list!$B$63:$C$63</xm:f>
          </x14:formula1>
          <xm:sqref>AZ2:AZ24 AZ43:AZ1048576</xm:sqref>
        </x14:dataValidation>
        <x14:dataValidation type="list" allowBlank="1" showInputMessage="1" showErrorMessage="1" xr:uid="{00000000-0002-0000-0100-00002E000000}">
          <x14:formula1>
            <xm:f>list!$B$64:$E$64</xm:f>
          </x14:formula1>
          <xm:sqref>BA2:BA6 BA8:BA24 BA43:BA1048576</xm:sqref>
        </x14:dataValidation>
        <x14:dataValidation type="list" allowBlank="1" showInputMessage="1" showErrorMessage="1" xr:uid="{00000000-0002-0000-0100-00002F000000}">
          <x14:formula1>
            <xm:f>list!$B$65:$F$65</xm:f>
          </x14:formula1>
          <xm:sqref>BB2:BB24 BB43:BB1048576</xm:sqref>
        </x14:dataValidation>
        <x14:dataValidation type="list" allowBlank="1" showInputMessage="1" showErrorMessage="1" xr:uid="{00000000-0002-0000-0100-000030000000}">
          <x14:formula1>
            <xm:f>list!$B$66:$C$66</xm:f>
          </x14:formula1>
          <xm:sqref>BC2:BC24 BC43:BC1048576</xm:sqref>
        </x14:dataValidation>
        <x14:dataValidation type="list" allowBlank="1" showInputMessage="1" showErrorMessage="1" xr:uid="{00000000-0002-0000-0100-000031000000}">
          <x14:formula1>
            <xm:f>list!$B$67:$C$67</xm:f>
          </x14:formula1>
          <xm:sqref>BD2:BD24 BD43:BD1048576</xm:sqref>
        </x14:dataValidation>
        <x14:dataValidation type="list" allowBlank="1" showInputMessage="1" showErrorMessage="1" xr:uid="{00000000-0002-0000-0100-000032000000}">
          <x14:formula1>
            <xm:f>list!$B$68:$G$68</xm:f>
          </x14:formula1>
          <xm:sqref>BE2:BE24 BE43:BE1048576</xm:sqref>
        </x14:dataValidation>
        <x14:dataValidation type="list" allowBlank="1" showInputMessage="1" showErrorMessage="1" xr:uid="{00000000-0002-0000-0100-000033000000}">
          <x14:formula1>
            <xm:f>list!$B$69:$C$69</xm:f>
          </x14:formula1>
          <xm:sqref>BF2:BF24 BF43:BF1048576</xm:sqref>
        </x14:dataValidation>
        <x14:dataValidation type="list" allowBlank="1" showInputMessage="1" showErrorMessage="1" xr:uid="{00000000-0002-0000-0100-000034000000}">
          <x14:formula1>
            <xm:f>list!$B$70:$G$70</xm:f>
          </x14:formula1>
          <xm:sqref>BG2:BG24 BG43:BG1048576</xm:sqref>
        </x14:dataValidation>
        <x14:dataValidation type="list" allowBlank="1" showInputMessage="1" showErrorMessage="1" xr:uid="{00000000-0002-0000-0100-000035000000}">
          <x14:formula1>
            <xm:f>list!$B$72:$C$72</xm:f>
          </x14:formula1>
          <xm:sqref>BH2:BH24 BH43:BH1048576</xm:sqref>
        </x14:dataValidation>
        <x14:dataValidation type="list" allowBlank="1" showInputMessage="1" showErrorMessage="1" xr:uid="{00000000-0002-0000-0100-000036000000}">
          <x14:formula1>
            <xm:f>list!$B$73:$C$73</xm:f>
          </x14:formula1>
          <xm:sqref>BI2:BI24 BI43:BI1048576</xm:sqref>
        </x14:dataValidation>
        <x14:dataValidation type="list" allowBlank="1" showInputMessage="1" showErrorMessage="1" xr:uid="{00000000-0002-0000-0100-000037000000}">
          <x14:formula1>
            <xm:f>list!$B$84:$D$84</xm:f>
          </x14:formula1>
          <xm:sqref>BJ2:BJ24 BJ43:BJ1048576</xm:sqref>
        </x14:dataValidation>
        <x14:dataValidation type="list" allowBlank="1" showInputMessage="1" showErrorMessage="1" xr:uid="{00000000-0002-0000-0100-000038000000}">
          <x14:formula1>
            <xm:f>list!$B$85:$D$85</xm:f>
          </x14:formula1>
          <xm:sqref>BK2:BK24 BK43:BK1048576</xm:sqref>
        </x14:dataValidation>
        <x14:dataValidation type="list" allowBlank="1" showInputMessage="1" showErrorMessage="1" xr:uid="{00000000-0002-0000-0100-000039000000}">
          <x14:formula1>
            <xm:f>list!$B$79:$C$79</xm:f>
          </x14:formula1>
          <xm:sqref>BL2:BL24 BL43:BL1048576</xm:sqref>
        </x14:dataValidation>
        <x14:dataValidation type="list" allowBlank="1" showInputMessage="1" showErrorMessage="1" xr:uid="{00000000-0002-0000-0100-00003A000000}">
          <x14:formula1>
            <xm:f>list!$B$80:$C$80</xm:f>
          </x14:formula1>
          <xm:sqref>BM2:BM24 BM43:BM1048576</xm:sqref>
        </x14:dataValidation>
        <x14:dataValidation type="list" allowBlank="1" showInputMessage="1" showErrorMessage="1" xr:uid="{00000000-0002-0000-0100-00003B000000}">
          <x14:formula1>
            <xm:f>list!$B$82:$C$82</xm:f>
          </x14:formula1>
          <xm:sqref>BO2:BO24 BO43:BO1048576</xm:sqref>
        </x14:dataValidation>
        <x14:dataValidation type="list" allowBlank="1" showInputMessage="1" showErrorMessage="1" xr:uid="{00000000-0002-0000-0100-00000B000000}">
          <x14:formula1>
            <xm:f>list!$B$20:$I$20</xm:f>
          </x14:formula1>
          <xm:sqref>R2:R8 R10:R24 R43:R1048576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9"/>
  </sheetPr>
  <dimension ref="A1:BO33"/>
  <sheetViews>
    <sheetView topLeftCell="D1" workbookViewId="0">
      <pane xSplit="3" ySplit="1" topLeftCell="AV12" activePane="bottomRight" state="frozen"/>
      <selection activeCell="D1" sqref="D1"/>
      <selection pane="topRight" activeCell="G1" sqref="G1"/>
      <selection pane="bottomLeft" activeCell="D2" sqref="D2"/>
      <selection pane="bottomRight" activeCell="BA13" sqref="BA13"/>
    </sheetView>
  </sheetViews>
  <sheetFormatPr defaultColWidth="8.875" defaultRowHeight="15"/>
  <cols>
    <col min="1" max="1" width="13.625" style="19" bestFit="1" customWidth="1"/>
    <col min="2" max="2" width="13.875" style="19" bestFit="1" customWidth="1"/>
    <col min="3" max="3" width="14" style="19" bestFit="1" customWidth="1"/>
    <col min="4" max="4" width="15.625" style="19" bestFit="1" customWidth="1"/>
    <col min="5" max="5" width="80.375" style="19" customWidth="1"/>
    <col min="6" max="6" width="14.5" style="19" bestFit="1" customWidth="1"/>
    <col min="7" max="7" width="44.625" style="19" bestFit="1" customWidth="1"/>
    <col min="8" max="8" width="17.625" style="19" bestFit="1" customWidth="1"/>
    <col min="9" max="9" width="17.5" style="19" bestFit="1" customWidth="1"/>
    <col min="10" max="10" width="17.625" style="19" bestFit="1" customWidth="1"/>
    <col min="11" max="11" width="17.5" style="19" bestFit="1" customWidth="1"/>
    <col min="12" max="12" width="28.625" style="19" bestFit="1" customWidth="1"/>
    <col min="13" max="13" width="22.375" style="19" bestFit="1" customWidth="1"/>
    <col min="14" max="14" width="8.625" style="19" bestFit="1" customWidth="1"/>
    <col min="15" max="15" width="17.375" style="19" bestFit="1" customWidth="1"/>
    <col min="16" max="16" width="14.625" style="19" bestFit="1" customWidth="1"/>
    <col min="17" max="17" width="17.5" style="19" bestFit="1" customWidth="1"/>
    <col min="18" max="18" width="12.375" style="19" bestFit="1" customWidth="1"/>
    <col min="19" max="19" width="19.875" style="19" bestFit="1" customWidth="1"/>
    <col min="20" max="20" width="19.125" style="19" bestFit="1" customWidth="1"/>
    <col min="21" max="21" width="18.875" style="19" bestFit="1" customWidth="1"/>
    <col min="22" max="22" width="18.125" style="19" bestFit="1" customWidth="1"/>
    <col min="23" max="23" width="17.375" style="19" bestFit="1" customWidth="1"/>
    <col min="24" max="24" width="16.375" style="19" bestFit="1" customWidth="1"/>
    <col min="25" max="25" width="20.375" style="19" bestFit="1" customWidth="1"/>
    <col min="26" max="26" width="20.875" style="19" bestFit="1" customWidth="1"/>
    <col min="27" max="27" width="21.875" style="19" bestFit="1" customWidth="1"/>
    <col min="28" max="29" width="26.5" style="19" bestFit="1" customWidth="1"/>
    <col min="30" max="30" width="22.375" style="19" bestFit="1" customWidth="1"/>
    <col min="31" max="31" width="18.5" style="19" bestFit="1" customWidth="1"/>
    <col min="32" max="32" width="22.375" style="19" bestFit="1" customWidth="1"/>
    <col min="33" max="33" width="18.5" style="19" bestFit="1" customWidth="1"/>
    <col min="34" max="34" width="19.125" style="19" bestFit="1" customWidth="1"/>
    <col min="35" max="35" width="21.625" style="19" bestFit="1" customWidth="1"/>
    <col min="36" max="36" width="19.375" style="19" bestFit="1" customWidth="1"/>
    <col min="37" max="37" width="20.5" style="19" bestFit="1" customWidth="1"/>
    <col min="38" max="38" width="18.375" style="19" bestFit="1" customWidth="1"/>
    <col min="39" max="39" width="14" style="19" bestFit="1" customWidth="1"/>
    <col min="40" max="40" width="15.5" style="19" bestFit="1" customWidth="1"/>
    <col min="41" max="41" width="16.5" style="19" bestFit="1" customWidth="1"/>
    <col min="42" max="42" width="22" style="19" bestFit="1" customWidth="1"/>
    <col min="43" max="43" width="22.5" style="19" bestFit="1" customWidth="1"/>
    <col min="44" max="44" width="14.125" style="19" bestFit="1" customWidth="1"/>
    <col min="45" max="45" width="11.5" style="19" bestFit="1" customWidth="1"/>
    <col min="46" max="46" width="10" style="19" bestFit="1" customWidth="1"/>
    <col min="47" max="47" width="35" style="19" bestFit="1" customWidth="1"/>
    <col min="48" max="48" width="20.875" style="19" bestFit="1" customWidth="1"/>
    <col min="49" max="49" width="9.125" style="19" bestFit="1" customWidth="1"/>
    <col min="50" max="50" width="10.125" style="19" bestFit="1" customWidth="1"/>
    <col min="51" max="51" width="15.375" style="19" bestFit="1" customWidth="1"/>
    <col min="52" max="52" width="13.625" style="19" bestFit="1" customWidth="1"/>
    <col min="53" max="53" width="16" style="19" bestFit="1" customWidth="1"/>
    <col min="54" max="54" width="15.375" style="19" bestFit="1" customWidth="1"/>
    <col min="55" max="55" width="30.625" style="19" bestFit="1" customWidth="1"/>
    <col min="56" max="56" width="15.625" style="19" bestFit="1" customWidth="1"/>
    <col min="57" max="57" width="18.625" style="19" bestFit="1" customWidth="1"/>
    <col min="58" max="58" width="20.5" style="19" bestFit="1" customWidth="1"/>
    <col min="59" max="59" width="12.875" style="19" bestFit="1" customWidth="1"/>
    <col min="60" max="61" width="20" style="19" bestFit="1" customWidth="1"/>
    <col min="62" max="62" width="14.125" style="19" bestFit="1" customWidth="1"/>
    <col min="63" max="63" width="14" style="19" bestFit="1" customWidth="1"/>
    <col min="64" max="65" width="17.5" style="19" bestFit="1" customWidth="1"/>
    <col min="66" max="66" width="17.875" style="19" bestFit="1" customWidth="1"/>
    <col min="67" max="67" width="12.125" style="19" bestFit="1" customWidth="1"/>
    <col min="68" max="68" width="8.875" style="19" customWidth="1"/>
    <col min="69" max="16384" width="8.875" style="19"/>
  </cols>
  <sheetData>
    <row r="1" spans="1:67" ht="98.1" customHeight="1">
      <c r="A1" s="18" t="s">
        <v>0</v>
      </c>
      <c r="B1" s="18" t="s">
        <v>1</v>
      </c>
      <c r="C1" s="18" t="s">
        <v>2</v>
      </c>
      <c r="D1" s="18" t="s">
        <v>3</v>
      </c>
      <c r="E1" s="18" t="s">
        <v>4</v>
      </c>
      <c r="F1" s="18" t="s">
        <v>5</v>
      </c>
      <c r="G1" s="18" t="s">
        <v>6</v>
      </c>
      <c r="H1" s="18" t="s">
        <v>7</v>
      </c>
      <c r="I1" s="18" t="s">
        <v>8</v>
      </c>
      <c r="J1" s="18" t="s">
        <v>9</v>
      </c>
      <c r="K1" s="18" t="s">
        <v>10</v>
      </c>
      <c r="L1" s="18" t="s">
        <v>11</v>
      </c>
      <c r="M1" s="18" t="s">
        <v>12</v>
      </c>
      <c r="N1" s="18" t="s">
        <v>13</v>
      </c>
      <c r="O1" s="18" t="s">
        <v>14</v>
      </c>
      <c r="P1" s="18" t="s">
        <v>15</v>
      </c>
      <c r="Q1" s="18" t="s">
        <v>16</v>
      </c>
      <c r="R1" s="18" t="s">
        <v>17</v>
      </c>
      <c r="S1" s="18" t="s">
        <v>18</v>
      </c>
      <c r="T1" s="18" t="s">
        <v>19</v>
      </c>
      <c r="U1" s="18" t="s">
        <v>20</v>
      </c>
      <c r="V1" s="18" t="s">
        <v>21</v>
      </c>
      <c r="W1" s="18" t="s">
        <v>22</v>
      </c>
      <c r="X1" s="18" t="s">
        <v>23</v>
      </c>
      <c r="Y1" s="18" t="s">
        <v>24</v>
      </c>
      <c r="Z1" s="18" t="s">
        <v>25</v>
      </c>
      <c r="AA1" s="18" t="s">
        <v>26</v>
      </c>
      <c r="AB1" s="18" t="s">
        <v>27</v>
      </c>
      <c r="AC1" s="18" t="s">
        <v>28</v>
      </c>
      <c r="AD1" s="18" t="s">
        <v>29</v>
      </c>
      <c r="AE1" s="18" t="s">
        <v>30</v>
      </c>
      <c r="AF1" s="18" t="s">
        <v>31</v>
      </c>
      <c r="AG1" s="18" t="s">
        <v>32</v>
      </c>
      <c r="AH1" s="18" t="s">
        <v>33</v>
      </c>
      <c r="AI1" s="18" t="s">
        <v>34</v>
      </c>
      <c r="AJ1" s="18" t="s">
        <v>35</v>
      </c>
      <c r="AK1" s="18" t="s">
        <v>36</v>
      </c>
      <c r="AL1" s="18" t="s">
        <v>37</v>
      </c>
      <c r="AM1" s="18" t="s">
        <v>38</v>
      </c>
      <c r="AN1" s="18" t="s">
        <v>39</v>
      </c>
      <c r="AO1" s="18" t="s">
        <v>40</v>
      </c>
      <c r="AP1" s="18" t="s">
        <v>41</v>
      </c>
      <c r="AQ1" s="18" t="s">
        <v>42</v>
      </c>
      <c r="AR1" s="18" t="s">
        <v>43</v>
      </c>
      <c r="AS1" s="18" t="s">
        <v>44</v>
      </c>
      <c r="AT1" s="18" t="s">
        <v>45</v>
      </c>
      <c r="AU1" s="18" t="s">
        <v>46</v>
      </c>
      <c r="AV1" s="18" t="s">
        <v>47</v>
      </c>
      <c r="AW1" s="18" t="s">
        <v>48</v>
      </c>
      <c r="AX1" s="18" t="s">
        <v>49</v>
      </c>
      <c r="AY1" s="18" t="s">
        <v>50</v>
      </c>
      <c r="AZ1" s="18" t="s">
        <v>51</v>
      </c>
      <c r="BA1" s="18" t="s">
        <v>52</v>
      </c>
      <c r="BB1" s="18" t="s">
        <v>53</v>
      </c>
      <c r="BC1" s="18" t="s">
        <v>54</v>
      </c>
      <c r="BD1" s="18" t="s">
        <v>55</v>
      </c>
      <c r="BE1" s="18" t="s">
        <v>56</v>
      </c>
      <c r="BF1" s="18" t="s">
        <v>57</v>
      </c>
      <c r="BG1" s="18" t="s">
        <v>58</v>
      </c>
      <c r="BH1" s="18" t="s">
        <v>59</v>
      </c>
      <c r="BI1" s="18" t="s">
        <v>60</v>
      </c>
      <c r="BJ1" s="18" t="s">
        <v>61</v>
      </c>
      <c r="BK1" s="18" t="s">
        <v>62</v>
      </c>
      <c r="BL1" s="18" t="s">
        <v>63</v>
      </c>
      <c r="BM1" s="18" t="s">
        <v>64</v>
      </c>
      <c r="BN1" s="18" t="s">
        <v>65</v>
      </c>
      <c r="BO1" s="18" t="s">
        <v>66</v>
      </c>
    </row>
    <row r="2" spans="1:67" ht="80.099999999999994" customHeight="1">
      <c r="A2" s="8"/>
      <c r="B2" s="8">
        <v>1121423</v>
      </c>
      <c r="C2" s="9">
        <v>41673</v>
      </c>
      <c r="D2" s="8">
        <v>0</v>
      </c>
      <c r="E2" s="8" t="s">
        <v>263</v>
      </c>
      <c r="F2" s="8" t="b">
        <v>1</v>
      </c>
      <c r="G2" s="8"/>
      <c r="H2" s="8"/>
      <c r="I2" s="8"/>
      <c r="J2" s="8"/>
      <c r="K2" s="8"/>
      <c r="L2" s="8"/>
      <c r="M2" s="8"/>
      <c r="N2" s="8"/>
      <c r="O2" s="8"/>
      <c r="P2" s="8"/>
      <c r="Q2" s="8"/>
      <c r="R2" s="8"/>
      <c r="S2" s="8" t="s">
        <v>478</v>
      </c>
      <c r="T2" s="8" t="s">
        <v>478</v>
      </c>
      <c r="U2" s="8" t="s">
        <v>478</v>
      </c>
      <c r="V2" s="8" t="s">
        <v>478</v>
      </c>
      <c r="W2" s="33">
        <v>0.8</v>
      </c>
      <c r="X2" s="8">
        <v>5</v>
      </c>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row>
    <row r="3" spans="1:67" ht="144" customHeight="1">
      <c r="A3" s="8"/>
      <c r="B3" s="8">
        <v>1121423</v>
      </c>
      <c r="C3" s="9">
        <v>41939</v>
      </c>
      <c r="D3" s="8">
        <v>8</v>
      </c>
      <c r="E3" s="8" t="s">
        <v>264</v>
      </c>
      <c r="F3" s="8" t="b">
        <v>1</v>
      </c>
      <c r="G3" s="8" t="b">
        <v>1</v>
      </c>
      <c r="H3" s="8"/>
      <c r="I3" s="8"/>
      <c r="J3" s="8"/>
      <c r="K3" s="8"/>
      <c r="L3" s="8"/>
      <c r="M3" s="8"/>
      <c r="N3" s="8"/>
      <c r="O3" s="8"/>
      <c r="P3" s="8"/>
      <c r="Q3" s="8"/>
      <c r="R3" s="8"/>
      <c r="S3" s="8" t="s">
        <v>482</v>
      </c>
      <c r="T3" s="8" t="s">
        <v>482</v>
      </c>
      <c r="U3" s="8" t="s">
        <v>482</v>
      </c>
      <c r="V3" s="8" t="s">
        <v>482</v>
      </c>
      <c r="W3" s="8">
        <v>4</v>
      </c>
      <c r="X3" s="8">
        <v>5</v>
      </c>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row>
    <row r="4" spans="1:67" ht="32.1" customHeight="1">
      <c r="A4" s="8"/>
      <c r="B4" s="8">
        <v>1121423</v>
      </c>
      <c r="C4" s="9">
        <v>41948</v>
      </c>
      <c r="D4" s="8">
        <v>9</v>
      </c>
      <c r="E4" s="8" t="s">
        <v>265</v>
      </c>
      <c r="F4" s="8" t="b">
        <v>1</v>
      </c>
      <c r="G4" s="8" t="b">
        <v>1</v>
      </c>
      <c r="H4" s="8"/>
      <c r="I4" s="8"/>
      <c r="J4" s="8"/>
      <c r="K4" s="8"/>
      <c r="L4" s="8"/>
      <c r="M4" s="8"/>
      <c r="N4" s="8"/>
      <c r="O4" s="8"/>
      <c r="P4" s="8"/>
      <c r="Q4" s="8"/>
      <c r="R4" s="8"/>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row>
    <row r="5" spans="1:67" ht="128.1" customHeight="1">
      <c r="A5" s="8"/>
      <c r="B5" s="8">
        <v>1121423</v>
      </c>
      <c r="C5" s="9">
        <v>41974</v>
      </c>
      <c r="D5" s="8">
        <v>9</v>
      </c>
      <c r="E5" s="8" t="s">
        <v>266</v>
      </c>
      <c r="F5" s="8" t="b">
        <v>1</v>
      </c>
      <c r="G5" s="8" t="b">
        <v>1</v>
      </c>
      <c r="H5" s="8" t="b">
        <v>1</v>
      </c>
      <c r="I5" s="8" t="b">
        <v>1</v>
      </c>
      <c r="J5" s="8"/>
      <c r="K5" s="8" t="b">
        <v>1</v>
      </c>
      <c r="L5" s="8"/>
      <c r="M5" s="8"/>
      <c r="N5" s="8"/>
      <c r="O5" s="8"/>
      <c r="P5" s="8"/>
      <c r="Q5" s="8"/>
      <c r="R5" s="8"/>
      <c r="S5" s="8"/>
      <c r="T5" s="8"/>
      <c r="U5" s="8"/>
      <c r="V5" s="8"/>
      <c r="W5" s="8"/>
      <c r="X5" s="8"/>
      <c r="Y5" s="8"/>
      <c r="Z5" s="8"/>
      <c r="AA5" s="8"/>
      <c r="AB5" s="8"/>
      <c r="AC5" s="8"/>
      <c r="AD5" s="8" t="s">
        <v>505</v>
      </c>
      <c r="AE5" s="8" t="s">
        <v>512</v>
      </c>
      <c r="AF5" s="8"/>
      <c r="AG5" s="8"/>
      <c r="AH5" s="8" t="s">
        <v>535</v>
      </c>
      <c r="AI5" s="8"/>
      <c r="AJ5" s="8"/>
      <c r="AK5" s="8"/>
      <c r="AL5" s="8"/>
      <c r="AM5" s="8" t="s">
        <v>600</v>
      </c>
      <c r="AN5" s="8"/>
      <c r="AO5" s="8"/>
      <c r="AP5" s="8"/>
      <c r="AQ5" s="8"/>
      <c r="AR5" s="8"/>
      <c r="AS5" s="8"/>
      <c r="AT5" s="8"/>
      <c r="AU5" s="8"/>
      <c r="AV5" s="8"/>
      <c r="AW5" s="8"/>
      <c r="AX5" s="8" t="b">
        <v>1</v>
      </c>
      <c r="AY5" s="8"/>
      <c r="AZ5" s="8"/>
      <c r="BA5" s="8"/>
      <c r="BB5" s="8"/>
      <c r="BC5" s="8"/>
      <c r="BD5" s="8"/>
      <c r="BE5" s="8"/>
      <c r="BF5" s="8"/>
      <c r="BG5" s="8"/>
      <c r="BH5" s="8"/>
      <c r="BI5" s="8"/>
      <c r="BJ5" s="8"/>
      <c r="BK5" s="8"/>
      <c r="BL5" s="8"/>
      <c r="BM5" s="8"/>
      <c r="BN5" s="8"/>
      <c r="BO5" s="8"/>
    </row>
    <row r="6" spans="1:67" ht="111.95" customHeight="1">
      <c r="A6" s="8"/>
      <c r="B6" s="8">
        <v>1121423</v>
      </c>
      <c r="C6" s="9">
        <v>42030</v>
      </c>
      <c r="D6" s="8">
        <v>11</v>
      </c>
      <c r="E6" s="8" t="s">
        <v>267</v>
      </c>
      <c r="F6" s="8" t="b">
        <v>1</v>
      </c>
      <c r="G6" s="8"/>
      <c r="H6" s="8"/>
      <c r="I6" s="8"/>
      <c r="J6" s="8"/>
      <c r="K6" s="8"/>
      <c r="L6" s="8"/>
      <c r="M6" s="8"/>
      <c r="N6" s="8"/>
      <c r="O6" s="8"/>
      <c r="P6" s="8"/>
      <c r="Q6" s="8"/>
      <c r="R6" s="8"/>
      <c r="S6" s="8"/>
      <c r="T6" s="8"/>
      <c r="U6" s="8"/>
      <c r="V6" s="8"/>
      <c r="W6" s="8"/>
      <c r="X6" s="8"/>
      <c r="Y6" s="8"/>
      <c r="Z6" s="8"/>
      <c r="AA6" s="8"/>
      <c r="AB6" s="8"/>
      <c r="AC6" s="8"/>
      <c r="AD6" s="8"/>
      <c r="AE6" s="8"/>
      <c r="AF6" s="8"/>
      <c r="AG6" s="8"/>
      <c r="AH6" s="8" t="s">
        <v>535</v>
      </c>
      <c r="AI6" s="8"/>
      <c r="AJ6" s="8" t="s">
        <v>562</v>
      </c>
      <c r="AK6" s="8"/>
      <c r="AL6" s="8" t="s">
        <v>562</v>
      </c>
      <c r="AM6" s="8" t="s">
        <v>601</v>
      </c>
      <c r="AN6" s="8"/>
      <c r="AO6" s="8"/>
      <c r="AP6" s="8"/>
      <c r="AQ6" s="8"/>
      <c r="AR6" s="8"/>
      <c r="AS6" s="8"/>
      <c r="AT6" s="8"/>
      <c r="AU6" s="8"/>
      <c r="AV6" s="8"/>
      <c r="AW6" s="8"/>
      <c r="AX6" s="8" t="b">
        <v>1</v>
      </c>
      <c r="AY6" s="8"/>
      <c r="AZ6" s="8"/>
      <c r="BA6" s="8"/>
      <c r="BB6" s="8"/>
      <c r="BC6" s="8"/>
      <c r="BD6" s="8"/>
      <c r="BE6" s="8"/>
      <c r="BF6" s="8" t="b">
        <v>1</v>
      </c>
      <c r="BG6" s="8"/>
      <c r="BH6" s="8"/>
      <c r="BI6" s="8"/>
      <c r="BJ6" s="8"/>
      <c r="BK6" s="8"/>
      <c r="BL6" s="8"/>
      <c r="BM6" s="8"/>
      <c r="BN6" s="8"/>
      <c r="BO6" s="8"/>
    </row>
    <row r="7" spans="1:67" ht="80.099999999999994" customHeight="1">
      <c r="A7" s="8"/>
      <c r="B7" s="8">
        <v>1121423</v>
      </c>
      <c r="C7" s="9">
        <v>42058</v>
      </c>
      <c r="D7" s="8">
        <v>12</v>
      </c>
      <c r="E7" s="8" t="s">
        <v>268</v>
      </c>
      <c r="F7" s="8" t="b">
        <v>1</v>
      </c>
      <c r="G7" s="8"/>
      <c r="H7" s="8"/>
      <c r="I7" s="8"/>
      <c r="J7" s="8"/>
      <c r="K7" s="8"/>
      <c r="L7" s="8"/>
      <c r="M7" s="8"/>
      <c r="N7" s="8"/>
      <c r="O7" s="8"/>
      <c r="P7" s="8"/>
      <c r="Q7" s="8"/>
      <c r="R7" s="8"/>
      <c r="S7" s="8"/>
      <c r="T7" s="8" t="s">
        <v>483</v>
      </c>
      <c r="U7" s="8"/>
      <c r="V7" s="8"/>
      <c r="W7" s="8"/>
      <c r="X7" s="8"/>
      <c r="Y7" s="8"/>
      <c r="Z7" s="8"/>
      <c r="AA7" s="8" t="b">
        <v>1</v>
      </c>
      <c r="AB7" s="8"/>
      <c r="AC7" s="8"/>
      <c r="AD7" s="8"/>
      <c r="AE7" s="8"/>
      <c r="AF7" s="8"/>
      <c r="AG7" s="8"/>
      <c r="AH7" s="8"/>
      <c r="AI7" s="8" t="s">
        <v>540</v>
      </c>
      <c r="AJ7" s="8"/>
      <c r="AK7" s="8" t="s">
        <v>540</v>
      </c>
      <c r="AL7" s="8"/>
      <c r="AM7" s="8"/>
      <c r="AN7" s="8"/>
      <c r="AO7" s="8"/>
      <c r="AP7" s="8"/>
      <c r="AQ7" s="8"/>
      <c r="AR7" s="8"/>
      <c r="AS7" s="8"/>
      <c r="AT7" s="8"/>
      <c r="AU7" s="8"/>
      <c r="AV7" s="8"/>
      <c r="AW7" s="8"/>
      <c r="AX7" s="8"/>
      <c r="AY7" s="8"/>
      <c r="AZ7" s="8"/>
      <c r="BA7" s="8"/>
      <c r="BB7" s="8" t="s">
        <v>259</v>
      </c>
      <c r="BC7" s="8"/>
      <c r="BD7" s="8"/>
      <c r="BE7" s="8"/>
      <c r="BF7" s="8"/>
      <c r="BG7" s="8"/>
      <c r="BH7" s="8"/>
      <c r="BI7" s="8"/>
      <c r="BJ7" s="8"/>
      <c r="BK7" s="8"/>
      <c r="BL7" s="8"/>
      <c r="BM7" s="8"/>
      <c r="BN7" s="8"/>
      <c r="BO7" s="8"/>
    </row>
    <row r="8" spans="1:67" ht="80.099999999999994" customHeight="1">
      <c r="A8" s="8"/>
      <c r="B8" s="8">
        <v>1121423</v>
      </c>
      <c r="C8" s="9">
        <v>42093</v>
      </c>
      <c r="D8" s="8">
        <v>13</v>
      </c>
      <c r="E8" s="8" t="s">
        <v>269</v>
      </c>
      <c r="F8" s="8" t="b">
        <v>1</v>
      </c>
      <c r="G8" s="8"/>
      <c r="H8" s="8" t="b">
        <v>1</v>
      </c>
      <c r="I8" s="8"/>
      <c r="J8" s="8" t="b">
        <v>1</v>
      </c>
      <c r="K8" s="8"/>
      <c r="L8" s="8" t="s">
        <v>499</v>
      </c>
      <c r="M8" s="8"/>
      <c r="N8" s="8"/>
      <c r="O8" s="8"/>
      <c r="P8" s="8"/>
      <c r="Q8" s="8"/>
      <c r="R8" s="8"/>
      <c r="S8" s="8"/>
      <c r="T8" s="8"/>
      <c r="U8" s="8"/>
      <c r="V8" s="8"/>
      <c r="W8" s="8"/>
      <c r="X8" s="8"/>
      <c r="Y8" s="8"/>
      <c r="Z8" s="8"/>
      <c r="AA8" s="8"/>
      <c r="AB8" s="8" t="b">
        <v>0</v>
      </c>
      <c r="AC8" s="8"/>
      <c r="AD8" s="8" t="s">
        <v>505</v>
      </c>
      <c r="AE8" s="8" t="s">
        <v>512</v>
      </c>
      <c r="AF8" s="8" t="s">
        <v>505</v>
      </c>
      <c r="AG8" s="8" t="s">
        <v>512</v>
      </c>
      <c r="AH8" s="8" t="s">
        <v>535</v>
      </c>
      <c r="AI8" s="8"/>
      <c r="AJ8" s="8"/>
      <c r="AK8" s="8"/>
      <c r="AL8" s="8"/>
      <c r="AM8" s="8" t="s">
        <v>599</v>
      </c>
      <c r="AN8" s="8"/>
      <c r="AO8" s="8"/>
      <c r="AP8" s="8"/>
      <c r="AQ8" s="8"/>
      <c r="AR8" s="8"/>
      <c r="AS8" s="8"/>
      <c r="AT8" s="8"/>
      <c r="AU8" s="8"/>
      <c r="AV8" s="8"/>
      <c r="AW8" s="8"/>
      <c r="AX8" s="8" t="b">
        <v>0</v>
      </c>
      <c r="AY8" s="8"/>
      <c r="AZ8" s="8"/>
      <c r="BA8" s="8"/>
      <c r="BB8" s="8"/>
      <c r="BC8" s="8"/>
      <c r="BD8" s="8"/>
      <c r="BE8" s="8"/>
      <c r="BF8" s="8"/>
      <c r="BG8" s="8"/>
      <c r="BH8" s="8"/>
      <c r="BI8" s="8"/>
      <c r="BJ8" s="8"/>
      <c r="BK8" s="8"/>
      <c r="BL8" s="8"/>
      <c r="BM8" s="8"/>
      <c r="BN8" s="8"/>
      <c r="BO8" s="8"/>
    </row>
    <row r="9" spans="1:67" ht="128.1" customHeight="1">
      <c r="A9" s="8"/>
      <c r="B9" s="8">
        <v>1121423</v>
      </c>
      <c r="C9" s="9">
        <v>42128</v>
      </c>
      <c r="D9" s="8">
        <v>15</v>
      </c>
      <c r="E9" s="8" t="s">
        <v>270</v>
      </c>
      <c r="F9" s="8" t="b">
        <v>1</v>
      </c>
      <c r="G9" s="8"/>
      <c r="H9" s="8" t="b">
        <v>1</v>
      </c>
      <c r="I9" s="8"/>
      <c r="J9" s="8" t="b">
        <v>1</v>
      </c>
      <c r="K9" s="8"/>
      <c r="L9" s="8" t="s">
        <v>499</v>
      </c>
      <c r="M9" s="8"/>
      <c r="N9" s="8"/>
      <c r="O9" s="8"/>
      <c r="P9" s="8"/>
      <c r="Q9" s="8"/>
      <c r="R9" s="8"/>
      <c r="S9" s="8"/>
      <c r="T9" s="8"/>
      <c r="U9" s="8"/>
      <c r="V9" s="8"/>
      <c r="W9" s="8"/>
      <c r="X9" s="8"/>
      <c r="Y9" s="8"/>
      <c r="Z9" s="8"/>
      <c r="AA9" s="8"/>
      <c r="AB9" s="8" t="b">
        <v>1</v>
      </c>
      <c r="AC9" s="8" t="b">
        <v>1</v>
      </c>
      <c r="AD9" s="8" t="s">
        <v>602</v>
      </c>
      <c r="AE9" s="8" t="s">
        <v>603</v>
      </c>
      <c r="AF9" s="8" t="s">
        <v>602</v>
      </c>
      <c r="AG9" s="8" t="s">
        <v>603</v>
      </c>
      <c r="AH9" s="8" t="s">
        <v>537</v>
      </c>
      <c r="AI9" s="8"/>
      <c r="AJ9" s="8"/>
      <c r="AK9" s="8"/>
      <c r="AL9" s="8"/>
      <c r="AM9" s="8"/>
      <c r="AN9" s="8"/>
      <c r="AO9" s="8"/>
      <c r="AP9" s="8"/>
      <c r="AQ9" s="8"/>
      <c r="AR9" s="8"/>
      <c r="AS9" s="8"/>
      <c r="AT9" s="8"/>
      <c r="AU9" s="8"/>
      <c r="AV9" s="8"/>
      <c r="AW9" s="8"/>
      <c r="AX9" s="8"/>
      <c r="AY9" s="8"/>
      <c r="AZ9" s="8"/>
      <c r="BA9" s="8"/>
      <c r="BB9" s="8"/>
      <c r="BC9" s="8"/>
      <c r="BD9" s="8"/>
      <c r="BE9" s="8"/>
      <c r="BF9" s="8"/>
      <c r="BG9" s="8"/>
      <c r="BH9" s="8" t="b">
        <v>1</v>
      </c>
      <c r="BI9" s="8" t="b">
        <v>1</v>
      </c>
      <c r="BJ9" s="8"/>
      <c r="BK9" s="8"/>
      <c r="BL9" s="8"/>
      <c r="BM9" s="8"/>
      <c r="BN9" s="8"/>
      <c r="BO9" s="8"/>
    </row>
    <row r="10" spans="1:67" ht="80.099999999999994" customHeight="1">
      <c r="A10" s="8"/>
      <c r="B10" s="8">
        <v>1121423</v>
      </c>
      <c r="C10" s="9">
        <v>42170</v>
      </c>
      <c r="D10" s="8">
        <v>16</v>
      </c>
      <c r="E10" s="8" t="s">
        <v>271</v>
      </c>
      <c r="F10" s="8" t="b">
        <v>1</v>
      </c>
      <c r="G10" s="8"/>
      <c r="H10" s="8"/>
      <c r="I10" s="8"/>
      <c r="J10" s="8"/>
      <c r="K10" s="8"/>
      <c r="L10" s="8"/>
      <c r="M10" s="8"/>
      <c r="N10" s="8"/>
      <c r="O10" s="8"/>
      <c r="P10" s="8"/>
      <c r="Q10" s="8"/>
      <c r="R10" s="8"/>
      <c r="S10" s="8"/>
      <c r="T10" s="8"/>
      <c r="U10" s="8"/>
      <c r="V10" s="8"/>
      <c r="W10" s="8"/>
      <c r="X10" s="8"/>
      <c r="Y10" s="8"/>
      <c r="Z10" s="8"/>
      <c r="AA10" s="8"/>
      <c r="AB10" s="8" t="b">
        <v>0</v>
      </c>
      <c r="AC10" s="8" t="b">
        <v>0</v>
      </c>
      <c r="AD10" s="8" t="s">
        <v>505</v>
      </c>
      <c r="AE10" s="8" t="s">
        <v>513</v>
      </c>
      <c r="AF10" s="8" t="s">
        <v>505</v>
      </c>
      <c r="AG10" s="8" t="s">
        <v>513</v>
      </c>
      <c r="AH10" s="8" t="s">
        <v>535</v>
      </c>
      <c r="AI10" s="8"/>
      <c r="AJ10" s="8"/>
      <c r="AK10" s="8"/>
      <c r="AL10" s="8"/>
      <c r="AM10" s="8"/>
      <c r="AN10" s="8"/>
      <c r="AO10" s="8"/>
      <c r="AP10" s="8"/>
      <c r="AQ10" s="8"/>
      <c r="AR10" s="8"/>
      <c r="AS10" s="8"/>
      <c r="AT10" s="8"/>
      <c r="AU10" s="8"/>
      <c r="AV10" s="8"/>
      <c r="AW10" s="8"/>
      <c r="AX10" s="8"/>
      <c r="AY10" s="8"/>
      <c r="AZ10" s="8"/>
      <c r="BA10" s="8"/>
      <c r="BB10" s="8"/>
      <c r="BC10" s="8"/>
      <c r="BD10" s="8"/>
      <c r="BE10" s="8"/>
      <c r="BF10" s="8"/>
      <c r="BG10" s="8"/>
      <c r="BH10" s="8"/>
      <c r="BI10" s="8"/>
      <c r="BJ10" s="8"/>
      <c r="BK10" s="8"/>
      <c r="BL10" s="8"/>
      <c r="BM10" s="8"/>
      <c r="BN10" s="8"/>
      <c r="BO10" s="8"/>
    </row>
    <row r="11" spans="1:67" ht="48" customHeight="1">
      <c r="A11" s="8"/>
      <c r="B11" s="8">
        <v>1121423</v>
      </c>
      <c r="C11" s="9">
        <v>42205</v>
      </c>
      <c r="D11" s="8">
        <v>17</v>
      </c>
      <c r="E11" s="8" t="s">
        <v>272</v>
      </c>
      <c r="F11" s="8" t="b">
        <v>1</v>
      </c>
      <c r="G11" s="8"/>
      <c r="H11" s="8"/>
      <c r="I11" s="8"/>
      <c r="J11" s="8"/>
      <c r="K11" s="8"/>
      <c r="L11" s="8"/>
      <c r="M11" s="8"/>
      <c r="N11" s="8"/>
      <c r="O11" s="8"/>
      <c r="P11" s="8"/>
      <c r="Q11" s="8"/>
      <c r="R11" s="8"/>
      <c r="S11" s="8"/>
      <c r="T11" s="8"/>
      <c r="U11" s="8"/>
      <c r="V11" s="8"/>
      <c r="W11" s="8"/>
      <c r="X11" s="8"/>
      <c r="Y11" s="8"/>
      <c r="Z11" s="8"/>
      <c r="AA11" s="8" t="b">
        <v>1</v>
      </c>
      <c r="AB11" s="8"/>
      <c r="AC11" s="8"/>
      <c r="AD11" s="8"/>
      <c r="AE11" s="8"/>
      <c r="AF11" s="8"/>
      <c r="AG11" s="8"/>
      <c r="AH11" s="8"/>
      <c r="AI11" s="8" t="s">
        <v>540</v>
      </c>
      <c r="AJ11" s="8"/>
      <c r="AK11" s="8" t="s">
        <v>540</v>
      </c>
      <c r="AL11" s="8"/>
      <c r="AM11" s="8"/>
      <c r="AN11" s="8"/>
      <c r="AO11" s="8"/>
      <c r="AP11" s="8"/>
      <c r="AQ11" s="8"/>
      <c r="AR11" s="8"/>
      <c r="AS11" s="8"/>
      <c r="AT11" s="8"/>
      <c r="AU11" s="8"/>
      <c r="AV11" s="8"/>
      <c r="AW11" s="8"/>
      <c r="AX11" s="8"/>
      <c r="AY11" s="8"/>
      <c r="AZ11" s="8"/>
      <c r="BA11" s="8"/>
      <c r="BB11" s="8"/>
      <c r="BC11" s="8"/>
      <c r="BD11" s="8"/>
      <c r="BE11" s="8"/>
      <c r="BF11" s="8"/>
      <c r="BG11" s="8"/>
      <c r="BH11" s="8"/>
      <c r="BI11" s="8"/>
      <c r="BJ11" s="8"/>
      <c r="BK11" s="8"/>
      <c r="BL11" s="8"/>
      <c r="BM11" s="8"/>
      <c r="BN11" s="8"/>
      <c r="BO11" s="8"/>
    </row>
    <row r="12" spans="1:67" ht="96" customHeight="1">
      <c r="A12" s="8"/>
      <c r="B12" s="8">
        <v>1121423</v>
      </c>
      <c r="C12" s="9">
        <v>42233</v>
      </c>
      <c r="D12" s="8">
        <v>18</v>
      </c>
      <c r="E12" s="8" t="s">
        <v>273</v>
      </c>
      <c r="F12" s="8" t="b">
        <v>1</v>
      </c>
      <c r="G12" s="8" t="b">
        <v>1</v>
      </c>
      <c r="H12" s="8"/>
      <c r="I12" s="8"/>
      <c r="J12" s="8"/>
      <c r="K12" s="8"/>
      <c r="L12" s="8"/>
      <c r="M12" s="8"/>
      <c r="N12" s="8"/>
      <c r="O12" s="8"/>
      <c r="P12" s="8"/>
      <c r="Q12" s="8"/>
      <c r="R12" s="8"/>
      <c r="S12" s="8"/>
      <c r="T12" s="8" t="s">
        <v>482</v>
      </c>
      <c r="U12" s="8"/>
      <c r="V12" s="8" t="s">
        <v>482</v>
      </c>
      <c r="W12" s="8"/>
      <c r="X12" s="8"/>
      <c r="Y12" s="8"/>
      <c r="Z12" s="8"/>
      <c r="AA12" s="8" t="b">
        <v>1</v>
      </c>
      <c r="AB12" s="8"/>
      <c r="AC12" s="8"/>
      <c r="AD12" s="8"/>
      <c r="AE12" s="8"/>
      <c r="AF12" s="8"/>
      <c r="AG12" s="8"/>
      <c r="AH12" s="8" t="s">
        <v>535</v>
      </c>
      <c r="AI12" s="8" t="s">
        <v>540</v>
      </c>
      <c r="AJ12" s="8"/>
      <c r="AK12" s="8" t="s">
        <v>540</v>
      </c>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row>
    <row r="13" spans="1:67" ht="96" customHeight="1">
      <c r="A13" s="8"/>
      <c r="B13" s="8">
        <v>1121423</v>
      </c>
      <c r="C13" s="9">
        <v>42268</v>
      </c>
      <c r="D13" s="8">
        <v>19</v>
      </c>
      <c r="E13" s="8" t="s">
        <v>274</v>
      </c>
      <c r="F13" s="8" t="b">
        <v>1</v>
      </c>
      <c r="G13" s="8"/>
      <c r="H13" s="8"/>
      <c r="I13" s="8"/>
      <c r="J13" s="8"/>
      <c r="K13" s="8"/>
      <c r="L13" s="8"/>
      <c r="M13" s="8"/>
      <c r="N13" s="8"/>
      <c r="O13" s="8"/>
      <c r="P13" s="8"/>
      <c r="Q13" s="8"/>
      <c r="R13" s="8"/>
      <c r="S13" s="8"/>
      <c r="T13" s="8" t="s">
        <v>482</v>
      </c>
      <c r="U13" s="8"/>
      <c r="V13" s="8" t="s">
        <v>482</v>
      </c>
      <c r="W13" s="8"/>
      <c r="X13" s="8"/>
      <c r="Y13" s="8"/>
      <c r="Z13" s="8"/>
      <c r="AA13" s="8"/>
      <c r="AB13" s="8" t="b">
        <v>1</v>
      </c>
      <c r="AC13" s="8" t="b">
        <v>1</v>
      </c>
      <c r="AD13" s="8" t="s">
        <v>506</v>
      </c>
      <c r="AE13" s="8" t="s">
        <v>513</v>
      </c>
      <c r="AF13" s="8" t="s">
        <v>506</v>
      </c>
      <c r="AG13" s="8" t="s">
        <v>513</v>
      </c>
      <c r="AH13" s="8" t="s">
        <v>537</v>
      </c>
      <c r="AI13" s="8" t="s">
        <v>540</v>
      </c>
      <c r="AJ13" s="8"/>
      <c r="AK13" s="8" t="s">
        <v>540</v>
      </c>
      <c r="AL13" s="8"/>
      <c r="AM13" s="8"/>
      <c r="AN13" s="8"/>
      <c r="AO13" s="8"/>
      <c r="AP13" s="8"/>
      <c r="AQ13" s="8"/>
      <c r="AR13" s="8"/>
      <c r="AS13" s="8"/>
      <c r="AT13" s="8"/>
      <c r="AU13" s="8"/>
      <c r="AV13" s="8"/>
      <c r="AW13" s="8"/>
      <c r="AX13" s="8"/>
      <c r="AY13" s="8"/>
      <c r="AZ13" s="8"/>
      <c r="BA13" s="8" t="s">
        <v>583</v>
      </c>
      <c r="BB13" s="8"/>
      <c r="BC13" s="8"/>
      <c r="BD13" s="8"/>
      <c r="BE13" s="8"/>
      <c r="BF13" s="8"/>
      <c r="BG13" s="8"/>
      <c r="BH13" s="8" t="b">
        <v>1</v>
      </c>
      <c r="BI13" s="8"/>
      <c r="BJ13" s="8"/>
      <c r="BK13" s="8"/>
      <c r="BL13" s="8"/>
      <c r="BM13" s="8"/>
      <c r="BN13" s="8"/>
      <c r="BO13" s="8"/>
    </row>
    <row r="14" spans="1:67" ht="63.95" customHeight="1">
      <c r="A14" s="8"/>
      <c r="B14" s="8">
        <v>1121423</v>
      </c>
      <c r="C14" s="9">
        <v>42297</v>
      </c>
      <c r="D14" s="8">
        <v>20</v>
      </c>
      <c r="E14" s="8" t="s">
        <v>275</v>
      </c>
      <c r="F14" s="8" t="b">
        <v>1</v>
      </c>
      <c r="G14" s="8"/>
      <c r="H14" s="8"/>
      <c r="I14" s="8"/>
      <c r="J14" s="8"/>
      <c r="K14" s="8"/>
      <c r="L14" s="8"/>
      <c r="M14" s="8"/>
      <c r="N14" s="8"/>
      <c r="O14" s="8"/>
      <c r="P14" s="8"/>
      <c r="Q14" s="8"/>
      <c r="R14" s="8"/>
      <c r="S14" s="8"/>
      <c r="T14" s="8" t="s">
        <v>482</v>
      </c>
      <c r="U14" s="8"/>
      <c r="V14" s="8" t="s">
        <v>482</v>
      </c>
      <c r="W14" s="8"/>
      <c r="X14" s="8">
        <v>2</v>
      </c>
      <c r="Y14" s="8"/>
      <c r="Z14" s="8"/>
      <c r="AA14" s="8"/>
      <c r="AB14" s="8"/>
      <c r="AC14" s="8"/>
      <c r="AD14" s="8"/>
      <c r="AE14" s="8"/>
      <c r="AF14" s="8"/>
      <c r="AG14" s="8"/>
      <c r="AH14" s="8"/>
      <c r="AI14" s="8" t="s">
        <v>540</v>
      </c>
      <c r="AJ14" s="8"/>
      <c r="AK14" s="8" t="s">
        <v>540</v>
      </c>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row>
    <row r="15" spans="1:67" ht="80.099999999999994" customHeight="1">
      <c r="A15" s="8"/>
      <c r="B15" s="8">
        <v>1121423</v>
      </c>
      <c r="C15" s="9">
        <v>42324</v>
      </c>
      <c r="D15" s="8">
        <v>21</v>
      </c>
      <c r="E15" s="8" t="s">
        <v>276</v>
      </c>
      <c r="F15" s="8" t="b">
        <v>1</v>
      </c>
      <c r="G15" s="8"/>
      <c r="H15" s="8"/>
      <c r="I15" s="8"/>
      <c r="J15" s="8"/>
      <c r="K15" s="8"/>
      <c r="L15" s="8"/>
      <c r="M15" s="8"/>
      <c r="N15" s="8"/>
      <c r="O15" s="8"/>
      <c r="P15" s="8"/>
      <c r="Q15" s="8"/>
      <c r="R15" s="8"/>
      <c r="S15" s="8"/>
      <c r="T15" s="8"/>
      <c r="U15" s="8"/>
      <c r="V15" s="8"/>
      <c r="W15" s="8"/>
      <c r="X15" s="8"/>
      <c r="Y15" s="8"/>
      <c r="Z15" s="8"/>
      <c r="AA15" s="8"/>
      <c r="AB15" s="8"/>
      <c r="AC15" s="8"/>
      <c r="AD15" s="8"/>
      <c r="AE15" s="8"/>
      <c r="AF15" s="8"/>
      <c r="AG15" s="8"/>
      <c r="AH15" s="8"/>
      <c r="AI15" s="8" t="s">
        <v>540</v>
      </c>
      <c r="AJ15" s="8" t="s">
        <v>563</v>
      </c>
      <c r="AK15" s="8" t="s">
        <v>540</v>
      </c>
      <c r="AL15" s="8" t="s">
        <v>563</v>
      </c>
      <c r="AM15" s="8"/>
      <c r="AN15" s="8"/>
      <c r="AO15" s="8"/>
      <c r="AP15" s="8"/>
      <c r="AQ15" s="8"/>
      <c r="AR15" s="8"/>
      <c r="AS15" s="8"/>
      <c r="AT15" s="8"/>
      <c r="AU15" s="8"/>
      <c r="AV15" s="8"/>
      <c r="AW15" s="8"/>
      <c r="AX15" s="8"/>
      <c r="AY15" s="8"/>
      <c r="AZ15" s="8"/>
      <c r="BA15" s="8"/>
      <c r="BB15" s="8" t="s">
        <v>259</v>
      </c>
      <c r="BC15" s="8"/>
      <c r="BD15" s="8"/>
      <c r="BE15" s="8"/>
      <c r="BF15" s="8" t="b">
        <v>1</v>
      </c>
      <c r="BG15" s="8"/>
      <c r="BH15" s="8"/>
      <c r="BI15" s="8"/>
      <c r="BJ15" s="8"/>
      <c r="BK15" s="8"/>
      <c r="BL15" s="8"/>
      <c r="BM15" s="8"/>
      <c r="BN15" s="8"/>
      <c r="BO15" s="8"/>
    </row>
    <row r="16" spans="1:67" ht="80.099999999999994" customHeight="1">
      <c r="A16" s="8"/>
      <c r="B16" s="8">
        <v>1121423</v>
      </c>
      <c r="C16" s="9">
        <v>42352</v>
      </c>
      <c r="D16" s="8">
        <v>22</v>
      </c>
      <c r="E16" s="8" t="s">
        <v>277</v>
      </c>
      <c r="F16" s="8" t="b">
        <v>1</v>
      </c>
      <c r="G16" s="8"/>
      <c r="H16" s="8"/>
      <c r="I16" s="8"/>
      <c r="J16" s="8"/>
      <c r="K16" s="8"/>
      <c r="L16" s="8"/>
      <c r="M16" s="8"/>
      <c r="N16" s="8"/>
      <c r="O16" s="8"/>
      <c r="P16" s="8"/>
      <c r="Q16" s="8"/>
      <c r="R16" s="8"/>
      <c r="S16" s="8"/>
      <c r="T16" s="8" t="s">
        <v>479</v>
      </c>
      <c r="U16" s="8"/>
      <c r="V16" s="8" t="s">
        <v>479</v>
      </c>
      <c r="W16" s="8"/>
      <c r="X16" s="8"/>
      <c r="Y16" s="8"/>
      <c r="Z16" s="8"/>
      <c r="AA16" s="8"/>
      <c r="AB16" s="8"/>
      <c r="AC16" s="8"/>
      <c r="AD16" s="8"/>
      <c r="AE16" s="8"/>
      <c r="AF16" s="8"/>
      <c r="AG16" s="8"/>
      <c r="AH16" s="8"/>
      <c r="AI16" s="8" t="s">
        <v>540</v>
      </c>
      <c r="AJ16" s="8"/>
      <c r="AK16" s="8" t="s">
        <v>540</v>
      </c>
      <c r="AL16" s="8"/>
      <c r="AM16" s="8"/>
      <c r="AN16" s="8"/>
      <c r="AO16" s="8"/>
      <c r="AP16" s="8"/>
      <c r="AQ16" s="8"/>
      <c r="AR16" s="8"/>
      <c r="AS16" s="8"/>
      <c r="AT16" s="8"/>
      <c r="AU16" s="8"/>
      <c r="AV16" s="8"/>
      <c r="AW16" s="8"/>
      <c r="AX16" s="8"/>
      <c r="AY16" s="8"/>
      <c r="AZ16" s="8"/>
      <c r="BA16" s="8"/>
      <c r="BB16" s="8" t="s">
        <v>259</v>
      </c>
      <c r="BC16" s="8"/>
      <c r="BD16" s="8"/>
      <c r="BE16" s="8"/>
      <c r="BF16" s="8"/>
      <c r="BG16" s="8"/>
      <c r="BH16" s="8"/>
      <c r="BI16" s="8"/>
      <c r="BJ16" s="8"/>
      <c r="BK16" s="8"/>
      <c r="BL16" s="8"/>
      <c r="BM16" s="8"/>
      <c r="BN16" s="8"/>
      <c r="BO16" s="8"/>
    </row>
    <row r="17" spans="1:67" ht="111.95" customHeight="1">
      <c r="A17" s="8"/>
      <c r="B17" s="8">
        <v>1121423</v>
      </c>
      <c r="C17" s="9">
        <v>42394</v>
      </c>
      <c r="D17" s="8">
        <v>23</v>
      </c>
      <c r="E17" s="8" t="s">
        <v>278</v>
      </c>
      <c r="F17" s="8" t="b">
        <v>1</v>
      </c>
      <c r="G17" s="8"/>
      <c r="H17" s="8"/>
      <c r="I17" s="8"/>
      <c r="J17" s="8"/>
      <c r="K17" s="8"/>
      <c r="L17" s="8"/>
      <c r="M17" s="8"/>
      <c r="N17" s="8"/>
      <c r="O17" s="8"/>
      <c r="P17" s="8"/>
      <c r="Q17" s="8"/>
      <c r="R17" s="8"/>
      <c r="S17" s="8" t="s">
        <v>483</v>
      </c>
      <c r="T17" s="8" t="s">
        <v>483</v>
      </c>
      <c r="U17" s="8" t="s">
        <v>483</v>
      </c>
      <c r="V17" s="8" t="s">
        <v>483</v>
      </c>
      <c r="W17" s="8"/>
      <c r="X17" s="8"/>
      <c r="Y17" s="8"/>
      <c r="Z17" s="8"/>
      <c r="AA17" s="8"/>
      <c r="AB17" s="8" t="b">
        <v>1</v>
      </c>
      <c r="AC17" s="8"/>
      <c r="AD17" s="8" t="s">
        <v>509</v>
      </c>
      <c r="AE17" s="8" t="s">
        <v>528</v>
      </c>
      <c r="AF17" s="8"/>
      <c r="AG17" s="8"/>
      <c r="AH17" s="8"/>
      <c r="AI17" s="8" t="s">
        <v>540</v>
      </c>
      <c r="AJ17" s="8" t="s">
        <v>559</v>
      </c>
      <c r="AK17" s="8" t="s">
        <v>540</v>
      </c>
      <c r="AL17" s="8" t="s">
        <v>559</v>
      </c>
      <c r="AM17" s="8"/>
      <c r="AN17" s="8"/>
      <c r="AO17" s="8"/>
      <c r="AP17" s="8"/>
      <c r="AQ17" s="8"/>
      <c r="AR17" s="8"/>
      <c r="AS17" s="8"/>
      <c r="AT17" s="8"/>
      <c r="AU17" s="8"/>
      <c r="AV17" s="8"/>
      <c r="AW17" s="8"/>
      <c r="AX17" s="8"/>
      <c r="AY17" s="8"/>
      <c r="AZ17" s="8"/>
      <c r="BA17" s="8"/>
      <c r="BB17" s="8"/>
      <c r="BC17" s="8"/>
      <c r="BD17" s="8"/>
      <c r="BE17" s="8"/>
      <c r="BF17" s="8"/>
      <c r="BG17" s="8"/>
      <c r="BH17" s="8" t="b">
        <v>1</v>
      </c>
      <c r="BI17" s="8"/>
      <c r="BJ17" s="8"/>
      <c r="BK17" s="8"/>
      <c r="BL17" s="8"/>
      <c r="BM17" s="8"/>
      <c r="BN17" s="8"/>
      <c r="BO17" s="8" t="s">
        <v>483</v>
      </c>
    </row>
    <row r="18" spans="1:67" ht="80.099999999999994" customHeight="1">
      <c r="A18" s="8"/>
      <c r="B18" s="8">
        <v>1121423</v>
      </c>
      <c r="C18" s="9">
        <v>42422</v>
      </c>
      <c r="D18" s="8">
        <v>24</v>
      </c>
      <c r="E18" s="8" t="s">
        <v>279</v>
      </c>
      <c r="F18" s="8" t="b">
        <v>1</v>
      </c>
      <c r="G18" s="8"/>
      <c r="H18" s="8"/>
      <c r="I18" s="8"/>
      <c r="J18" s="8"/>
      <c r="K18" s="8"/>
      <c r="L18" s="8"/>
      <c r="M18" s="8"/>
      <c r="N18" s="8"/>
      <c r="O18" s="8"/>
      <c r="P18" s="8"/>
      <c r="Q18" s="8"/>
      <c r="R18" s="8"/>
      <c r="S18" s="8" t="s">
        <v>483</v>
      </c>
      <c r="T18" s="8" t="s">
        <v>483</v>
      </c>
      <c r="U18" s="8" t="s">
        <v>483</v>
      </c>
      <c r="V18" s="8" t="s">
        <v>483</v>
      </c>
      <c r="W18" s="8"/>
      <c r="X18" s="8"/>
      <c r="Y18" s="8"/>
      <c r="Z18" s="8"/>
      <c r="AA18" s="8"/>
      <c r="AB18" s="8"/>
      <c r="AC18" s="8"/>
      <c r="AD18" s="8"/>
      <c r="AE18" s="8"/>
      <c r="AF18" s="8"/>
      <c r="AG18" s="8"/>
      <c r="AH18" s="8" t="s">
        <v>530</v>
      </c>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row>
    <row r="19" spans="1:67" ht="63.95" customHeight="1">
      <c r="A19" s="8"/>
      <c r="B19" s="8">
        <v>1121423</v>
      </c>
      <c r="C19" s="9">
        <v>42443</v>
      </c>
      <c r="D19" s="8">
        <v>25</v>
      </c>
      <c r="E19" s="8" t="s">
        <v>280</v>
      </c>
      <c r="F19" s="8" t="b">
        <v>1</v>
      </c>
      <c r="G19" s="8"/>
      <c r="H19" s="8"/>
      <c r="I19" s="8"/>
      <c r="J19" s="8"/>
      <c r="K19" s="8"/>
      <c r="L19" s="8"/>
      <c r="M19" s="8"/>
      <c r="N19" s="8"/>
      <c r="O19" s="8"/>
      <c r="P19" s="8"/>
      <c r="Q19" s="8"/>
      <c r="R19" s="8"/>
      <c r="S19" s="8"/>
      <c r="T19" s="8"/>
      <c r="U19" s="8"/>
      <c r="V19" s="8"/>
      <c r="W19" s="8"/>
      <c r="X19" s="8"/>
      <c r="Y19" s="8"/>
      <c r="Z19" s="8"/>
      <c r="AA19" s="8"/>
      <c r="AB19" s="8" t="b">
        <v>1</v>
      </c>
      <c r="AC19" s="8" t="b">
        <v>1</v>
      </c>
      <c r="AD19" s="8" t="s">
        <v>504</v>
      </c>
      <c r="AE19" s="8" t="s">
        <v>517</v>
      </c>
      <c r="AF19" s="8" t="s">
        <v>504</v>
      </c>
      <c r="AG19" s="8" t="s">
        <v>517</v>
      </c>
      <c r="AH19" s="8" t="s">
        <v>530</v>
      </c>
      <c r="AI19" s="8" t="s">
        <v>540</v>
      </c>
      <c r="AJ19" s="8" t="s">
        <v>559</v>
      </c>
      <c r="AK19" s="8" t="s">
        <v>540</v>
      </c>
      <c r="AL19" s="8" t="s">
        <v>559</v>
      </c>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row>
    <row r="20" spans="1:67" ht="63.95" customHeight="1">
      <c r="A20" s="8"/>
      <c r="B20" s="8">
        <v>1121423</v>
      </c>
      <c r="C20" s="9">
        <v>42478</v>
      </c>
      <c r="D20" s="8">
        <v>26</v>
      </c>
      <c r="E20" s="8" t="s">
        <v>281</v>
      </c>
      <c r="F20" s="8" t="b">
        <v>1</v>
      </c>
      <c r="G20" s="8" t="b">
        <v>1</v>
      </c>
      <c r="H20" s="8"/>
      <c r="I20" s="8"/>
      <c r="J20" s="8"/>
      <c r="K20" s="8"/>
      <c r="L20" s="8"/>
      <c r="M20" s="8"/>
      <c r="N20" s="8"/>
      <c r="O20" s="8"/>
      <c r="P20" s="8"/>
      <c r="Q20" s="8"/>
      <c r="R20" s="8"/>
      <c r="S20" s="8"/>
      <c r="T20" s="8"/>
      <c r="U20" s="8"/>
      <c r="V20" s="8"/>
      <c r="W20" s="8"/>
      <c r="X20" s="8"/>
      <c r="Y20" s="8"/>
      <c r="Z20" s="8"/>
      <c r="AA20" s="8"/>
      <c r="AB20" s="8" t="b">
        <v>0</v>
      </c>
      <c r="AC20" s="8" t="b">
        <v>0</v>
      </c>
      <c r="AD20" s="8" t="s">
        <v>504</v>
      </c>
      <c r="AE20" s="8" t="s">
        <v>517</v>
      </c>
      <c r="AF20" s="8" t="s">
        <v>504</v>
      </c>
      <c r="AG20" s="8" t="s">
        <v>517</v>
      </c>
      <c r="AH20" s="8" t="s">
        <v>537</v>
      </c>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row>
    <row r="21" spans="1:67" ht="48" customHeight="1">
      <c r="A21" s="8"/>
      <c r="B21" s="8">
        <v>1121423</v>
      </c>
      <c r="C21" s="9">
        <v>42506</v>
      </c>
      <c r="D21" s="8">
        <v>27</v>
      </c>
      <c r="E21" s="8" t="s">
        <v>282</v>
      </c>
      <c r="F21" s="8" t="b">
        <v>1</v>
      </c>
      <c r="G21" s="8"/>
      <c r="H21" s="8"/>
      <c r="I21" s="8"/>
      <c r="J21" s="8"/>
      <c r="K21" s="8"/>
      <c r="L21" s="8"/>
      <c r="M21" s="8"/>
      <c r="N21" s="8"/>
      <c r="O21" s="8"/>
      <c r="P21" s="8"/>
      <c r="Q21" s="8"/>
      <c r="R21" s="8"/>
      <c r="S21" s="8"/>
      <c r="T21" s="8"/>
      <c r="U21" s="8"/>
      <c r="V21" s="8"/>
      <c r="W21" s="8"/>
      <c r="X21" s="8"/>
      <c r="Y21" s="8"/>
      <c r="Z21" s="8"/>
      <c r="AA21" s="8"/>
      <c r="AB21" s="8" t="b">
        <v>1</v>
      </c>
      <c r="AC21" s="8" t="b">
        <v>1</v>
      </c>
      <c r="AD21" s="8" t="s">
        <v>507</v>
      </c>
      <c r="AE21" s="8" t="s">
        <v>518</v>
      </c>
      <c r="AF21" s="8" t="s">
        <v>505</v>
      </c>
      <c r="AG21" s="8" t="s">
        <v>518</v>
      </c>
      <c r="AH21" s="8"/>
      <c r="AI21" s="8" t="s">
        <v>540</v>
      </c>
      <c r="AJ21" s="8"/>
      <c r="AK21" s="8" t="s">
        <v>540</v>
      </c>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row>
    <row r="22" spans="1:67" ht="80.099999999999994" customHeight="1">
      <c r="A22" s="8"/>
      <c r="B22" s="8">
        <v>1121423</v>
      </c>
      <c r="C22" s="9">
        <v>42534</v>
      </c>
      <c r="D22" s="8">
        <v>28</v>
      </c>
      <c r="E22" s="8" t="s">
        <v>283</v>
      </c>
      <c r="F22" s="8" t="b">
        <v>1</v>
      </c>
      <c r="G22" s="8"/>
      <c r="H22" s="8"/>
      <c r="I22" s="8"/>
      <c r="J22" s="8"/>
      <c r="K22" s="8"/>
      <c r="L22" s="8"/>
      <c r="M22" s="8"/>
      <c r="N22" s="8"/>
      <c r="O22" s="8"/>
      <c r="P22" s="8"/>
      <c r="Q22" s="8"/>
      <c r="R22" s="8"/>
      <c r="S22" s="8" t="s">
        <v>483</v>
      </c>
      <c r="T22" s="8" t="s">
        <v>483</v>
      </c>
      <c r="U22" s="8" t="s">
        <v>483</v>
      </c>
      <c r="V22" s="8" t="s">
        <v>483</v>
      </c>
      <c r="W22" s="8"/>
      <c r="X22" s="8"/>
      <c r="Y22" s="8"/>
      <c r="Z22" s="8"/>
      <c r="AA22" s="8"/>
      <c r="AB22" s="8" t="b">
        <v>1</v>
      </c>
      <c r="AC22" s="8" t="b">
        <v>1</v>
      </c>
      <c r="AD22" s="8" t="s">
        <v>506</v>
      </c>
      <c r="AE22" s="8" t="s">
        <v>518</v>
      </c>
      <c r="AF22" s="8" t="s">
        <v>506</v>
      </c>
      <c r="AG22" s="8" t="s">
        <v>517</v>
      </c>
      <c r="AH22" s="8" t="s">
        <v>535</v>
      </c>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row>
    <row r="23" spans="1:67" ht="63.95" customHeight="1">
      <c r="A23" s="8"/>
      <c r="B23" s="8">
        <v>1121423</v>
      </c>
      <c r="C23" s="9">
        <v>42569</v>
      </c>
      <c r="D23" s="8">
        <v>29</v>
      </c>
      <c r="E23" s="8" t="s">
        <v>284</v>
      </c>
      <c r="F23" s="8" t="b">
        <v>1</v>
      </c>
      <c r="G23" s="8"/>
      <c r="H23" s="8"/>
      <c r="I23" s="8"/>
      <c r="J23" s="8"/>
      <c r="K23" s="8"/>
      <c r="L23" s="8"/>
      <c r="M23" s="8"/>
      <c r="N23" s="8"/>
      <c r="O23" s="8"/>
      <c r="P23" s="8"/>
      <c r="Q23" s="8"/>
      <c r="R23" s="8"/>
      <c r="S23" s="8" t="s">
        <v>482</v>
      </c>
      <c r="T23" s="8"/>
      <c r="U23" s="8" t="s">
        <v>482</v>
      </c>
      <c r="V23" s="8"/>
      <c r="W23" s="8"/>
      <c r="X23" s="8">
        <v>3</v>
      </c>
      <c r="Y23" s="8"/>
      <c r="Z23" s="8"/>
      <c r="AA23" s="8"/>
      <c r="AB23" s="8"/>
      <c r="AC23" s="8"/>
      <c r="AD23" s="8"/>
      <c r="AE23" s="8"/>
      <c r="AF23" s="8"/>
      <c r="AG23" s="8"/>
      <c r="AH23" s="8" t="s">
        <v>530</v>
      </c>
      <c r="AI23" s="8" t="s">
        <v>540</v>
      </c>
      <c r="AJ23" s="8" t="s">
        <v>561</v>
      </c>
      <c r="AK23" s="8" t="s">
        <v>540</v>
      </c>
      <c r="AL23" s="8" t="s">
        <v>561</v>
      </c>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row>
    <row r="24" spans="1:67" ht="176.1" customHeight="1">
      <c r="A24" s="8"/>
      <c r="B24" s="8">
        <v>1121423</v>
      </c>
      <c r="C24" s="9">
        <v>42601</v>
      </c>
      <c r="D24" s="8">
        <v>30</v>
      </c>
      <c r="E24" s="8" t="s">
        <v>285</v>
      </c>
      <c r="F24" s="8" t="b">
        <v>1</v>
      </c>
      <c r="G24" s="8"/>
      <c r="H24" s="8"/>
      <c r="I24" s="8"/>
      <c r="J24" s="8"/>
      <c r="K24" s="8"/>
      <c r="L24" s="8"/>
      <c r="M24" s="8"/>
      <c r="N24" s="8"/>
      <c r="O24" s="8"/>
      <c r="P24" s="8"/>
      <c r="Q24" s="8"/>
      <c r="R24" s="8"/>
      <c r="S24" s="8" t="s">
        <v>483</v>
      </c>
      <c r="T24" s="8" t="s">
        <v>483</v>
      </c>
      <c r="U24" s="8" t="s">
        <v>483</v>
      </c>
      <c r="V24" s="8" t="s">
        <v>483</v>
      </c>
      <c r="W24" s="8"/>
      <c r="X24" s="8"/>
      <c r="Y24" s="8"/>
      <c r="Z24" s="8"/>
      <c r="AA24" s="8"/>
      <c r="AB24" s="8" t="b">
        <v>1</v>
      </c>
      <c r="AC24" s="8" t="b">
        <v>1</v>
      </c>
      <c r="AD24" s="8" t="s">
        <v>505</v>
      </c>
      <c r="AE24" s="8" t="s">
        <v>517</v>
      </c>
      <c r="AF24" s="8" t="s">
        <v>505</v>
      </c>
      <c r="AG24" s="8" t="s">
        <v>517</v>
      </c>
      <c r="AH24" s="8" t="s">
        <v>535</v>
      </c>
      <c r="AI24" s="8" t="s">
        <v>540</v>
      </c>
      <c r="AJ24" s="8" t="s">
        <v>561</v>
      </c>
      <c r="AK24" s="8" t="s">
        <v>540</v>
      </c>
      <c r="AL24" s="8" t="s">
        <v>561</v>
      </c>
      <c r="AM24" s="8"/>
      <c r="AN24" s="8"/>
      <c r="AO24" s="8"/>
      <c r="AP24" s="8"/>
      <c r="AQ24" s="8"/>
      <c r="AR24" s="8"/>
      <c r="AS24" s="8"/>
      <c r="AT24" s="8"/>
      <c r="AU24" s="8"/>
      <c r="AV24" s="8"/>
      <c r="AW24" s="8"/>
      <c r="AX24" s="8"/>
      <c r="AY24" s="8"/>
      <c r="AZ24" s="8"/>
      <c r="BA24" s="8"/>
      <c r="BB24" s="8"/>
      <c r="BC24" s="8" t="b">
        <v>1</v>
      </c>
      <c r="BD24" s="8"/>
      <c r="BE24" s="8"/>
      <c r="BF24" s="8"/>
      <c r="BG24" s="8"/>
      <c r="BH24" s="8"/>
      <c r="BI24" s="8" t="b">
        <v>1</v>
      </c>
      <c r="BJ24" s="8"/>
      <c r="BK24" s="8"/>
      <c r="BL24" s="8"/>
      <c r="BM24" s="8"/>
      <c r="BN24" s="8"/>
      <c r="BO24" s="8" t="s">
        <v>483</v>
      </c>
    </row>
    <row r="25" spans="1:67" ht="32.1" customHeight="1">
      <c r="A25" s="8"/>
      <c r="B25" s="8">
        <v>1121423</v>
      </c>
      <c r="C25" s="9">
        <v>42625</v>
      </c>
      <c r="D25" s="8">
        <v>31</v>
      </c>
      <c r="E25" s="8" t="s">
        <v>286</v>
      </c>
      <c r="F25" s="8" t="b">
        <v>1</v>
      </c>
      <c r="G25" s="8"/>
      <c r="H25" s="8"/>
      <c r="I25" s="8"/>
      <c r="J25" s="8"/>
      <c r="K25" s="8"/>
      <c r="L25" s="8"/>
      <c r="M25" s="8"/>
      <c r="N25" s="8"/>
      <c r="O25" s="8"/>
      <c r="P25" s="8"/>
      <c r="Q25" s="8"/>
      <c r="R25" s="8"/>
      <c r="S25" s="8"/>
      <c r="T25" s="8"/>
      <c r="U25" s="8"/>
      <c r="V25" s="8"/>
      <c r="W25" s="8"/>
      <c r="X25" s="8"/>
      <c r="Y25" s="8"/>
      <c r="Z25" s="8"/>
      <c r="AA25" s="8"/>
      <c r="AB25" s="8"/>
      <c r="AC25" s="8"/>
      <c r="AD25" s="8"/>
      <c r="AE25" s="8"/>
      <c r="AF25" s="8"/>
      <c r="AG25" s="8"/>
      <c r="AH25" s="8" t="s">
        <v>530</v>
      </c>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row>
    <row r="26" spans="1:67" ht="96" customHeight="1">
      <c r="A26" s="8"/>
      <c r="B26" s="8">
        <v>1121423</v>
      </c>
      <c r="C26" s="9">
        <v>42692</v>
      </c>
      <c r="D26" s="8">
        <v>33</v>
      </c>
      <c r="E26" s="8" t="s">
        <v>287</v>
      </c>
      <c r="F26" s="8" t="b">
        <v>1</v>
      </c>
      <c r="G26" s="8"/>
      <c r="H26" s="8"/>
      <c r="I26" s="8"/>
      <c r="J26" s="8"/>
      <c r="K26" s="8"/>
      <c r="L26" s="8"/>
      <c r="M26" s="8"/>
      <c r="N26" s="8"/>
      <c r="O26" s="8"/>
      <c r="P26" s="8"/>
      <c r="Q26" s="8"/>
      <c r="R26" s="8"/>
      <c r="S26" s="8"/>
      <c r="T26" s="8"/>
      <c r="U26" s="8"/>
      <c r="V26" s="8"/>
      <c r="W26" s="8"/>
      <c r="X26" s="8"/>
      <c r="Y26" s="8"/>
      <c r="Z26" s="8"/>
      <c r="AA26" s="8"/>
      <c r="AB26" s="8"/>
      <c r="AC26" s="8"/>
      <c r="AD26" s="8"/>
      <c r="AE26" s="8"/>
      <c r="AF26" s="8"/>
      <c r="AG26" s="8"/>
      <c r="AH26" s="8" t="s">
        <v>537</v>
      </c>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t="b">
        <v>1</v>
      </c>
      <c r="BI26" s="8"/>
      <c r="BJ26" s="8"/>
      <c r="BK26" s="8"/>
      <c r="BL26" s="8"/>
      <c r="BM26" s="8"/>
      <c r="BN26" s="8"/>
      <c r="BO26" s="8"/>
    </row>
    <row r="27" spans="1:67" ht="80.099999999999994" customHeight="1">
      <c r="A27" s="8"/>
      <c r="B27" s="8">
        <v>1121423</v>
      </c>
      <c r="C27" s="9">
        <v>42725</v>
      </c>
      <c r="D27" s="8">
        <v>34</v>
      </c>
      <c r="E27" s="8" t="s">
        <v>288</v>
      </c>
      <c r="F27" s="8" t="b">
        <v>1</v>
      </c>
      <c r="G27" s="8"/>
      <c r="H27" s="8"/>
      <c r="I27" s="8"/>
      <c r="J27" s="8"/>
      <c r="K27" s="8"/>
      <c r="L27" s="8"/>
      <c r="M27" s="8"/>
      <c r="N27" s="8"/>
      <c r="O27" s="8"/>
      <c r="P27" s="8"/>
      <c r="Q27" s="8"/>
      <c r="R27" s="8"/>
      <c r="S27" s="8"/>
      <c r="T27" s="8"/>
      <c r="U27" s="8"/>
      <c r="V27" s="8"/>
      <c r="W27" s="8"/>
      <c r="X27" s="8"/>
      <c r="Y27" s="8"/>
      <c r="Z27" s="8"/>
      <c r="AA27" s="8"/>
      <c r="AB27" s="8"/>
      <c r="AC27" s="8"/>
      <c r="AD27" s="8"/>
      <c r="AE27" s="8"/>
      <c r="AF27" s="8"/>
      <c r="AG27" s="8"/>
      <c r="AH27" s="8"/>
      <c r="AI27" s="8" t="s">
        <v>604</v>
      </c>
      <c r="AJ27" s="8" t="s">
        <v>561</v>
      </c>
      <c r="AK27" s="8" t="s">
        <v>604</v>
      </c>
      <c r="AL27" s="8" t="s">
        <v>561</v>
      </c>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row>
    <row r="28" spans="1:67" ht="144" customHeight="1">
      <c r="A28" s="8"/>
      <c r="B28" s="8">
        <v>1121423</v>
      </c>
      <c r="C28" s="9">
        <v>42748</v>
      </c>
      <c r="D28" s="8">
        <v>35</v>
      </c>
      <c r="E28" s="8" t="s">
        <v>289</v>
      </c>
      <c r="F28" s="8" t="b">
        <v>1</v>
      </c>
      <c r="G28" s="8" t="b">
        <v>1</v>
      </c>
      <c r="H28" s="8"/>
      <c r="I28" s="8"/>
      <c r="J28" s="8"/>
      <c r="K28" s="8"/>
      <c r="L28" s="8"/>
      <c r="M28" s="8"/>
      <c r="N28" s="8"/>
      <c r="O28" s="8"/>
      <c r="P28" s="8"/>
      <c r="Q28" s="8"/>
      <c r="R28" s="8"/>
      <c r="S28" s="8" t="s">
        <v>479</v>
      </c>
      <c r="T28" s="8" t="s">
        <v>483</v>
      </c>
      <c r="U28" s="8" t="s">
        <v>479</v>
      </c>
      <c r="V28" s="8" t="s">
        <v>483</v>
      </c>
      <c r="W28" s="8">
        <v>2</v>
      </c>
      <c r="X28" s="8">
        <v>2</v>
      </c>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t="s">
        <v>457</v>
      </c>
      <c r="BH28" s="8"/>
      <c r="BI28" s="8"/>
      <c r="BJ28" s="8"/>
      <c r="BK28" s="8"/>
      <c r="BL28" s="8" t="b">
        <v>1</v>
      </c>
      <c r="BM28" s="8" t="b">
        <v>1</v>
      </c>
      <c r="BN28" s="8"/>
      <c r="BO28" s="8"/>
    </row>
    <row r="29" spans="1:67" ht="48" customHeight="1">
      <c r="A29" s="8"/>
      <c r="B29" s="8">
        <v>1121423</v>
      </c>
      <c r="C29" s="9">
        <v>42802</v>
      </c>
      <c r="D29" s="8">
        <v>37</v>
      </c>
      <c r="E29" s="8" t="s">
        <v>290</v>
      </c>
      <c r="F29" s="8" t="b">
        <v>1</v>
      </c>
      <c r="G29" s="8"/>
      <c r="H29" s="8"/>
      <c r="I29" s="8"/>
      <c r="J29" s="8"/>
      <c r="K29" s="8"/>
      <c r="L29" s="8"/>
      <c r="M29" s="8"/>
      <c r="N29" s="8"/>
      <c r="O29" s="8"/>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t="s">
        <v>259</v>
      </c>
      <c r="BC29" s="8"/>
      <c r="BD29" s="8"/>
      <c r="BE29" s="8"/>
      <c r="BF29" s="8"/>
      <c r="BG29" s="8"/>
      <c r="BH29" s="8"/>
      <c r="BI29" s="8"/>
      <c r="BJ29" s="8"/>
      <c r="BK29" s="8"/>
      <c r="BL29" s="8"/>
      <c r="BM29" s="8"/>
      <c r="BN29" s="8" t="b">
        <v>1</v>
      </c>
      <c r="BO29" s="8"/>
    </row>
    <row r="30" spans="1:67" ht="48" customHeight="1">
      <c r="A30" s="8"/>
      <c r="B30" s="8">
        <v>1121423</v>
      </c>
      <c r="C30" s="9">
        <v>42902</v>
      </c>
      <c r="D30" s="8">
        <v>40</v>
      </c>
      <c r="E30" s="8" t="s">
        <v>291</v>
      </c>
      <c r="F30" s="8" t="b">
        <v>1</v>
      </c>
      <c r="G30" s="8"/>
      <c r="H30" s="8"/>
      <c r="I30" s="8"/>
      <c r="J30" s="8"/>
      <c r="K30" s="8"/>
      <c r="L30" s="8"/>
      <c r="M30" s="8"/>
      <c r="N30" s="8"/>
      <c r="O30" s="8"/>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t="s">
        <v>457</v>
      </c>
      <c r="BH30" s="8"/>
      <c r="BI30" s="8"/>
      <c r="BJ30" s="8"/>
      <c r="BK30" s="8"/>
      <c r="BL30" s="8"/>
      <c r="BM30" s="8"/>
      <c r="BN30" s="8" t="b">
        <v>1</v>
      </c>
      <c r="BO30" s="8" t="b">
        <v>1</v>
      </c>
    </row>
    <row r="31" spans="1:67" ht="111.95" customHeight="1">
      <c r="A31" s="8"/>
      <c r="B31" s="8">
        <v>1121423</v>
      </c>
      <c r="C31" s="9">
        <v>42942</v>
      </c>
      <c r="D31" s="8">
        <v>41</v>
      </c>
      <c r="E31" s="8" t="s">
        <v>292</v>
      </c>
      <c r="F31" s="8" t="b">
        <v>1</v>
      </c>
      <c r="G31" s="8"/>
      <c r="H31" s="8"/>
      <c r="I31" s="8"/>
      <c r="J31" s="8"/>
      <c r="K31" s="8"/>
      <c r="L31" s="8"/>
      <c r="M31" s="8"/>
      <c r="N31" s="8"/>
      <c r="O31" s="8"/>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t="s">
        <v>259</v>
      </c>
      <c r="BB31" s="8" t="s">
        <v>259</v>
      </c>
      <c r="BC31" s="8"/>
      <c r="BD31" s="8"/>
      <c r="BE31" s="8"/>
      <c r="BF31" s="8"/>
      <c r="BG31" s="8" t="s">
        <v>457</v>
      </c>
      <c r="BH31" s="8"/>
      <c r="BI31" s="8"/>
      <c r="BJ31" s="8"/>
      <c r="BK31" s="8"/>
      <c r="BL31" s="8"/>
      <c r="BM31" s="8"/>
      <c r="BN31" s="8" t="b">
        <v>1</v>
      </c>
      <c r="BO31" s="8"/>
    </row>
    <row r="32" spans="1:67" ht="111.95" customHeight="1">
      <c r="A32" s="8"/>
      <c r="B32" s="8">
        <v>1121423</v>
      </c>
      <c r="C32" s="9">
        <v>43357</v>
      </c>
      <c r="D32" s="8">
        <v>55</v>
      </c>
      <c r="E32" s="8" t="s">
        <v>293</v>
      </c>
      <c r="F32" s="8" t="b">
        <v>1</v>
      </c>
      <c r="G32" s="8"/>
      <c r="H32" s="8"/>
      <c r="I32" s="8"/>
      <c r="J32" s="8"/>
      <c r="K32" s="8"/>
      <c r="L32" s="8"/>
      <c r="M32" s="8"/>
      <c r="N32" s="8"/>
      <c r="O32" s="8"/>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t="s">
        <v>259</v>
      </c>
      <c r="BB32" s="8" t="s">
        <v>583</v>
      </c>
      <c r="BC32" s="8"/>
      <c r="BD32" s="8"/>
      <c r="BE32" s="8"/>
      <c r="BF32" s="8"/>
      <c r="BG32" s="8"/>
      <c r="BH32" s="8"/>
      <c r="BI32" s="8"/>
      <c r="BJ32" s="8"/>
      <c r="BK32" s="8"/>
      <c r="BL32" s="8"/>
      <c r="BM32" s="8"/>
      <c r="BN32" s="8" t="b">
        <v>1</v>
      </c>
      <c r="BO32" s="8" t="b">
        <v>1</v>
      </c>
    </row>
    <row r="33" spans="1:67" ht="48" customHeight="1">
      <c r="A33" s="8"/>
      <c r="B33" s="8">
        <v>1121423</v>
      </c>
      <c r="C33" s="9">
        <v>43364</v>
      </c>
      <c r="D33" s="8">
        <v>55</v>
      </c>
      <c r="E33" s="8" t="s">
        <v>294</v>
      </c>
      <c r="F33" s="8" t="b">
        <v>1</v>
      </c>
      <c r="G33" s="8"/>
      <c r="H33" s="8"/>
      <c r="I33" s="8"/>
      <c r="J33" s="8"/>
      <c r="K33" s="8"/>
      <c r="L33" s="8"/>
      <c r="M33" s="8"/>
      <c r="N33" s="8"/>
      <c r="O33" s="8"/>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t="s">
        <v>592</v>
      </c>
      <c r="BH33" s="8"/>
      <c r="BI33" s="8"/>
      <c r="BJ33" s="8"/>
      <c r="BK33" s="8"/>
      <c r="BL33" s="8"/>
      <c r="BM33" s="8"/>
      <c r="BN33" s="8" t="b">
        <v>1</v>
      </c>
      <c r="BO33" s="8"/>
    </row>
  </sheetData>
  <pageMargins left="0.75" right="0.75" top="1" bottom="1" header="0.5" footer="0.5"/>
  <tableParts count="1">
    <tablePart r:id="rId1"/>
  </tableParts>
  <extLst>
    <ext xmlns:x14="http://schemas.microsoft.com/office/spreadsheetml/2009/9/main" uri="{CCE6A557-97BC-4b89-ADB6-D9C93CAAB3DF}">
      <x14:dataValidations xmlns:xm="http://schemas.microsoft.com/office/excel/2006/main" count="61">
        <x14:dataValidation type="list" allowBlank="1" showInputMessage="1" showErrorMessage="1" xr:uid="{00000000-0002-0000-0500-000000000000}">
          <x14:formula1>
            <xm:f>list!$B$2:$C$2</xm:f>
          </x14:formula1>
          <xm:sqref>G2:G1048576</xm:sqref>
        </x14:dataValidation>
        <x14:dataValidation type="list" allowBlank="1" showInputMessage="1" showErrorMessage="1" xr:uid="{00000000-0002-0000-0500-000001000000}">
          <x14:formula1>
            <xm:f>list!$B$6:$C$6</xm:f>
          </x14:formula1>
          <xm:sqref>H2:H1048576</xm:sqref>
        </x14:dataValidation>
        <x14:dataValidation type="list" allowBlank="1" showInputMessage="1" showErrorMessage="1" xr:uid="{00000000-0002-0000-0500-000002000000}">
          <x14:formula1>
            <xm:f>list!$B$7:$C$7</xm:f>
          </x14:formula1>
          <xm:sqref>I2:I1048576</xm:sqref>
        </x14:dataValidation>
        <x14:dataValidation type="list" allowBlank="1" showInputMessage="1" showErrorMessage="1" xr:uid="{00000000-0002-0000-0500-000003000000}">
          <x14:formula1>
            <xm:f>list!$B$8:$C$8</xm:f>
          </x14:formula1>
          <xm:sqref>J2:J1048576</xm:sqref>
        </x14:dataValidation>
        <x14:dataValidation type="list" allowBlank="1" showInputMessage="1" showErrorMessage="1" xr:uid="{00000000-0002-0000-0500-000004000000}">
          <x14:formula1>
            <xm:f>list!$B$9:$C$9</xm:f>
          </x14:formula1>
          <xm:sqref>K2:K1048576</xm:sqref>
        </x14:dataValidation>
        <x14:dataValidation type="list" allowBlank="1" showInputMessage="1" showErrorMessage="1" xr:uid="{00000000-0002-0000-0500-000005000000}">
          <x14:formula1>
            <xm:f>list!$B$33:$K$33</xm:f>
          </x14:formula1>
          <xm:sqref>L2:L1048576</xm:sqref>
        </x14:dataValidation>
        <x14:dataValidation type="list" allowBlank="1" showInputMessage="1" showErrorMessage="1" xr:uid="{00000000-0002-0000-0500-000006000000}">
          <x14:formula1>
            <xm:f>list!$B$10:$C$10</xm:f>
          </x14:formula1>
          <xm:sqref>M2:M1048576</xm:sqref>
        </x14:dataValidation>
        <x14:dataValidation type="list" allowBlank="1" showInputMessage="1" showErrorMessage="1" xr:uid="{00000000-0002-0000-0500-000007000000}">
          <x14:formula1>
            <xm:f>list!$B$12:$C$12</xm:f>
          </x14:formula1>
          <xm:sqref>N2:N1048576</xm:sqref>
        </x14:dataValidation>
        <x14:dataValidation type="list" allowBlank="1" showInputMessage="1" showErrorMessage="1" xr:uid="{00000000-0002-0000-0500-000008000000}">
          <x14:formula1>
            <xm:f>list!$B$13:$C$13</xm:f>
          </x14:formula1>
          <xm:sqref>O2:O1048576</xm:sqref>
        </x14:dataValidation>
        <x14:dataValidation type="list" allowBlank="1" showInputMessage="1" showErrorMessage="1" xr:uid="{00000000-0002-0000-0500-000009000000}">
          <x14:formula1>
            <xm:f>list!$B$15:$C$15</xm:f>
          </x14:formula1>
          <xm:sqref>P2:P1048576</xm:sqref>
        </x14:dataValidation>
        <x14:dataValidation type="list" allowBlank="1" showInputMessage="1" showErrorMessage="1" xr:uid="{00000000-0002-0000-0500-00000A000000}">
          <x14:formula1>
            <xm:f>list!$B$19:$D$19</xm:f>
          </x14:formula1>
          <xm:sqref>Q2:Q1048576</xm:sqref>
        </x14:dataValidation>
        <x14:dataValidation type="list" allowBlank="1" showInputMessage="1" showErrorMessage="1" xr:uid="{00000000-0002-0000-0500-00000B000000}">
          <x14:formula1>
            <xm:f>list!$B$20:$I$20</xm:f>
          </x14:formula1>
          <xm:sqref>R2:R1048576</xm:sqref>
        </x14:dataValidation>
        <x14:dataValidation type="list" allowBlank="1" showInputMessage="1" showErrorMessage="1" xr:uid="{00000000-0002-0000-0500-00000C000000}">
          <x14:formula1>
            <xm:f>list!$B$21:$M$21</xm:f>
          </x14:formula1>
          <xm:sqref>BO17 T3:V3 T17:V18 S2:S1048576 T22:V22 T24:V24 BO24</xm:sqref>
        </x14:dataValidation>
        <x14:dataValidation type="list" allowBlank="1" showInputMessage="1" showErrorMessage="1" xr:uid="{00000000-0002-0000-0500-00000D000000}">
          <x14:formula1>
            <xm:f>list!$B$22:$M$22</xm:f>
          </x14:formula1>
          <xm:sqref>T2 T4:T16 T19:T21 T23 T25:T1048576</xm:sqref>
        </x14:dataValidation>
        <x14:dataValidation type="list" allowBlank="1" showInputMessage="1" showErrorMessage="1" xr:uid="{00000000-0002-0000-0500-00000E000000}">
          <x14:formula1>
            <xm:f>list!$B$23:$M$23</xm:f>
          </x14:formula1>
          <xm:sqref>U2 U4:U16 U19:U21 U23 U25:U1048576</xm:sqref>
        </x14:dataValidation>
        <x14:dataValidation type="list" allowBlank="1" showInputMessage="1" showErrorMessage="1" xr:uid="{00000000-0002-0000-0500-00000F000000}">
          <x14:formula1>
            <xm:f>list!$B$24:$M$24</xm:f>
          </x14:formula1>
          <xm:sqref>V2 V4:V16 V19:V21 V23 V25:V1048576</xm:sqref>
        </x14:dataValidation>
        <x14:dataValidation type="list" allowBlank="1" showInputMessage="1" showErrorMessage="1" xr:uid="{00000000-0002-0000-0500-000010000000}">
          <x14:formula1>
            <xm:f>list!$B$25:$E$25</xm:f>
          </x14:formula1>
          <xm:sqref>W34:W1048576</xm:sqref>
        </x14:dataValidation>
        <x14:dataValidation type="list" allowBlank="1" showInputMessage="1" showErrorMessage="1" xr:uid="{00000000-0002-0000-0500-000011000000}">
          <x14:formula1>
            <xm:f>list!$B$26:$E$26</xm:f>
          </x14:formula1>
          <xm:sqref>X34:X1048576</xm:sqref>
        </x14:dataValidation>
        <x14:dataValidation type="list" allowBlank="1" showInputMessage="1" showErrorMessage="1" xr:uid="{00000000-0002-0000-0500-000012000000}">
          <x14:formula1>
            <xm:f>list!$B$29:$C$29</xm:f>
          </x14:formula1>
          <xm:sqref>Y2:Y1048576</xm:sqref>
        </x14:dataValidation>
        <x14:dataValidation type="list" allowBlank="1" showInputMessage="1" showErrorMessage="1" xr:uid="{00000000-0002-0000-0500-000013000000}">
          <x14:formula1>
            <xm:f>list!$B$27:$C$27</xm:f>
          </x14:formula1>
          <xm:sqref>Z2:Z1048576</xm:sqref>
        </x14:dataValidation>
        <x14:dataValidation type="list" allowBlank="1" showInputMessage="1" showErrorMessage="1" xr:uid="{00000000-0002-0000-0500-000014000000}">
          <x14:formula1>
            <xm:f>list!$B$32:$C$32</xm:f>
          </x14:formula1>
          <xm:sqref>AA2:AA1048576</xm:sqref>
        </x14:dataValidation>
        <x14:dataValidation type="list" allowBlank="1" showInputMessage="1" showErrorMessage="1" xr:uid="{00000000-0002-0000-0500-000015000000}">
          <x14:formula1>
            <xm:f>list!$B$34:$C$34</xm:f>
          </x14:formula1>
          <xm:sqref>AB2:AB1048576</xm:sqref>
        </x14:dataValidation>
        <x14:dataValidation type="list" allowBlank="1" showInputMessage="1" showErrorMessage="1" xr:uid="{00000000-0002-0000-0500-000016000000}">
          <x14:formula1>
            <xm:f>list!$B$35:$C$35</xm:f>
          </x14:formula1>
          <xm:sqref>AC2:AC1048576</xm:sqref>
        </x14:dataValidation>
        <x14:dataValidation type="list" allowBlank="1" showInputMessage="1" showErrorMessage="1" xr:uid="{00000000-0002-0000-0500-000017000000}">
          <x14:formula1>
            <xm:f>list!$B$36:$G$36</xm:f>
          </x14:formula1>
          <xm:sqref>AD2:AD5 AD7:AD8 AD10:AD1048576</xm:sqref>
        </x14:dataValidation>
        <x14:dataValidation type="list" allowBlank="1" showInputMessage="1" showErrorMessage="1" xr:uid="{00000000-0002-0000-0500-000018000000}">
          <x14:formula1>
            <xm:f>list!$B$37:$U$37</xm:f>
          </x14:formula1>
          <xm:sqref>AE2:AE8 AE10:AE1048576</xm:sqref>
        </x14:dataValidation>
        <x14:dataValidation type="list" allowBlank="1" showInputMessage="1" showErrorMessage="1" xr:uid="{00000000-0002-0000-0500-000019000000}">
          <x14:formula1>
            <xm:f>list!$B$38:$G$38</xm:f>
          </x14:formula1>
          <xm:sqref>AF2:AF8 AF10:AF1048576</xm:sqref>
        </x14:dataValidation>
        <x14:dataValidation type="list" allowBlank="1" showInputMessage="1" showErrorMessage="1" xr:uid="{00000000-0002-0000-0500-00001A000000}">
          <x14:formula1>
            <xm:f>list!$B$39:$U$39</xm:f>
          </x14:formula1>
          <xm:sqref>AG2:AG8 AG10:AG1048576</xm:sqref>
        </x14:dataValidation>
        <x14:dataValidation type="list" allowBlank="1" showInputMessage="1" showErrorMessage="1" xr:uid="{00000000-0002-0000-0500-00001B000000}">
          <x14:formula1>
            <xm:f>list!$B$40:$I$40</xm:f>
          </x14:formula1>
          <xm:sqref>AH2:AH1048576</xm:sqref>
        </x14:dataValidation>
        <x14:dataValidation type="list" allowBlank="1" showInputMessage="1" showErrorMessage="1" xr:uid="{00000000-0002-0000-0500-00001C000000}">
          <x14:formula1>
            <xm:f>list!$B$41:$H$41</xm:f>
          </x14:formula1>
          <xm:sqref>AI2:AI26 AI28:AI1048576</xm:sqref>
        </x14:dataValidation>
        <x14:dataValidation type="list" allowBlank="1" showInputMessage="1" showErrorMessage="1" xr:uid="{00000000-0002-0000-0500-00001D000000}">
          <x14:formula1>
            <xm:f>list!$B$42:$Z$42</xm:f>
          </x14:formula1>
          <xm:sqref>AJ2:AJ1048576</xm:sqref>
        </x14:dataValidation>
        <x14:dataValidation type="list" allowBlank="1" showInputMessage="1" showErrorMessage="1" xr:uid="{00000000-0002-0000-0500-00001E000000}">
          <x14:formula1>
            <xm:f>list!$B$43:$H$43</xm:f>
          </x14:formula1>
          <xm:sqref>AK2:AK26 AK28:AK1048576</xm:sqref>
        </x14:dataValidation>
        <x14:dataValidation type="list" allowBlank="1" showInputMessage="1" showErrorMessage="1" xr:uid="{00000000-0002-0000-0500-00001F000000}">
          <x14:formula1>
            <xm:f>list!$B$44:$Z$44</xm:f>
          </x14:formula1>
          <xm:sqref>AL2:AL1048576</xm:sqref>
        </x14:dataValidation>
        <x14:dataValidation type="list" allowBlank="1" showInputMessage="1" showErrorMessage="1" xr:uid="{00000000-0002-0000-0500-000020000000}">
          <x14:formula1>
            <xm:f>list!$B$49:$Q$49</xm:f>
          </x14:formula1>
          <xm:sqref>AM2:AM4 AM9:AM1048576</xm:sqref>
        </x14:dataValidation>
        <x14:dataValidation type="list" allowBlank="1" showInputMessage="1" showErrorMessage="1" xr:uid="{00000000-0002-0000-0500-000021000000}">
          <x14:formula1>
            <xm:f>list!$B$50:$C$50</xm:f>
          </x14:formula1>
          <xm:sqref>AN2:AN1048576</xm:sqref>
        </x14:dataValidation>
        <x14:dataValidation type="list" allowBlank="1" showInputMessage="1" showErrorMessage="1" xr:uid="{00000000-0002-0000-0500-000022000000}">
          <x14:formula1>
            <xm:f>list!$B$51:$C$51</xm:f>
          </x14:formula1>
          <xm:sqref>AO2:AO1048576</xm:sqref>
        </x14:dataValidation>
        <x14:dataValidation type="list" allowBlank="1" showInputMessage="1" showErrorMessage="1" xr:uid="{00000000-0002-0000-0500-000023000000}">
          <x14:formula1>
            <xm:f>list!$B$52:$C$52</xm:f>
          </x14:formula1>
          <xm:sqref>AP2:AP1048576</xm:sqref>
        </x14:dataValidation>
        <x14:dataValidation type="list" allowBlank="1" showInputMessage="1" showErrorMessage="1" xr:uid="{00000000-0002-0000-0500-000024000000}">
          <x14:formula1>
            <xm:f>list!$B$53:$C$53</xm:f>
          </x14:formula1>
          <xm:sqref>AQ2:AQ1048576</xm:sqref>
        </x14:dataValidation>
        <x14:dataValidation type="list" allowBlank="1" showInputMessage="1" showErrorMessage="1" xr:uid="{00000000-0002-0000-0500-000025000000}">
          <x14:formula1>
            <xm:f>list!$B$54:$C$54</xm:f>
          </x14:formula1>
          <xm:sqref>AR2:AR1048576</xm:sqref>
        </x14:dataValidation>
        <x14:dataValidation type="list" allowBlank="1" showInputMessage="1" showErrorMessage="1" xr:uid="{00000000-0002-0000-0500-000026000000}">
          <x14:formula1>
            <xm:f>list!$B$55:$C$55</xm:f>
          </x14:formula1>
          <xm:sqref>AS2:AS1048576</xm:sqref>
        </x14:dataValidation>
        <x14:dataValidation type="list" allowBlank="1" showInputMessage="1" showErrorMessage="1" xr:uid="{00000000-0002-0000-0500-000027000000}">
          <x14:formula1>
            <xm:f>list!$B$56:$C$56</xm:f>
          </x14:formula1>
          <xm:sqref>AT2:AT1048576</xm:sqref>
        </x14:dataValidation>
        <x14:dataValidation type="list" allowBlank="1" showInputMessage="1" showErrorMessage="1" xr:uid="{00000000-0002-0000-0500-000028000000}">
          <x14:formula1>
            <xm:f>list!$B$57:$C$57</xm:f>
          </x14:formula1>
          <xm:sqref>AU2:AU1048576</xm:sqref>
        </x14:dataValidation>
        <x14:dataValidation type="list" allowBlank="1" showInputMessage="1" showErrorMessage="1" xr:uid="{00000000-0002-0000-0500-000029000000}">
          <x14:formula1>
            <xm:f>list!$B$58:$C$58</xm:f>
          </x14:formula1>
          <xm:sqref>AV2:AV1048576</xm:sqref>
        </x14:dataValidation>
        <x14:dataValidation type="list" allowBlank="1" showInputMessage="1" showErrorMessage="1" xr:uid="{00000000-0002-0000-0500-00002A000000}">
          <x14:formula1>
            <xm:f>list!$B$59:$C$59</xm:f>
          </x14:formula1>
          <xm:sqref>AW2:AW1048576</xm:sqref>
        </x14:dataValidation>
        <x14:dataValidation type="list" allowBlank="1" showInputMessage="1" showErrorMessage="1" xr:uid="{00000000-0002-0000-0500-00002B000000}">
          <x14:formula1>
            <xm:f>list!$B$60:$C$60</xm:f>
          </x14:formula1>
          <xm:sqref>AX2:AX1048576</xm:sqref>
        </x14:dataValidation>
        <x14:dataValidation type="list" allowBlank="1" showInputMessage="1" showErrorMessage="1" xr:uid="{00000000-0002-0000-0500-00002C000000}">
          <x14:formula1>
            <xm:f>list!$B$61:$C$61</xm:f>
          </x14:formula1>
          <xm:sqref>AY2:AY1048576</xm:sqref>
        </x14:dataValidation>
        <x14:dataValidation type="list" allowBlank="1" showInputMessage="1" showErrorMessage="1" xr:uid="{00000000-0002-0000-0500-00002D000000}">
          <x14:formula1>
            <xm:f>list!$B$63:$C$63</xm:f>
          </x14:formula1>
          <xm:sqref>AZ2:AZ1048576</xm:sqref>
        </x14:dataValidation>
        <x14:dataValidation type="list" allowBlank="1" showInputMessage="1" showErrorMessage="1" xr:uid="{00000000-0002-0000-0500-00002E000000}">
          <x14:formula1>
            <xm:f>list!$B$64:$E$64</xm:f>
          </x14:formula1>
          <xm:sqref>BA2:BA1048576</xm:sqref>
        </x14:dataValidation>
        <x14:dataValidation type="list" allowBlank="1" showInputMessage="1" showErrorMessage="1" xr:uid="{00000000-0002-0000-0500-00002F000000}">
          <x14:formula1>
            <xm:f>list!$B$65:$F$65</xm:f>
          </x14:formula1>
          <xm:sqref>BB2:BB1048576</xm:sqref>
        </x14:dataValidation>
        <x14:dataValidation type="list" allowBlank="1" showInputMessage="1" showErrorMessage="1" xr:uid="{00000000-0002-0000-0500-000030000000}">
          <x14:formula1>
            <xm:f>list!$B$66:$C$66</xm:f>
          </x14:formula1>
          <xm:sqref>BC2:BC1048576</xm:sqref>
        </x14:dataValidation>
        <x14:dataValidation type="list" allowBlank="1" showInputMessage="1" showErrorMessage="1" xr:uid="{00000000-0002-0000-0500-000031000000}">
          <x14:formula1>
            <xm:f>list!$B$67:$C$67</xm:f>
          </x14:formula1>
          <xm:sqref>BD2:BD1048576</xm:sqref>
        </x14:dataValidation>
        <x14:dataValidation type="list" allowBlank="1" showInputMessage="1" showErrorMessage="1" xr:uid="{00000000-0002-0000-0500-000032000000}">
          <x14:formula1>
            <xm:f>list!$B$68:$G$68</xm:f>
          </x14:formula1>
          <xm:sqref>BE2:BE1048576</xm:sqref>
        </x14:dataValidation>
        <x14:dataValidation type="list" allowBlank="1" showInputMessage="1" showErrorMessage="1" xr:uid="{00000000-0002-0000-0500-000033000000}">
          <x14:formula1>
            <xm:f>list!$B$69:$C$69</xm:f>
          </x14:formula1>
          <xm:sqref>BF2:BF1048576</xm:sqref>
        </x14:dataValidation>
        <x14:dataValidation type="list" allowBlank="1" showInputMessage="1" showErrorMessage="1" xr:uid="{00000000-0002-0000-0500-000034000000}">
          <x14:formula1>
            <xm:f>list!$B$70:$G$70</xm:f>
          </x14:formula1>
          <xm:sqref>BG2:BG1048576</xm:sqref>
        </x14:dataValidation>
        <x14:dataValidation type="list" allowBlank="1" showInputMessage="1" showErrorMessage="1" xr:uid="{00000000-0002-0000-0500-000035000000}">
          <x14:formula1>
            <xm:f>list!$B$72:$C$72</xm:f>
          </x14:formula1>
          <xm:sqref>BH2:BH1048576</xm:sqref>
        </x14:dataValidation>
        <x14:dataValidation type="list" allowBlank="1" showInputMessage="1" showErrorMessage="1" xr:uid="{00000000-0002-0000-0500-000036000000}">
          <x14:formula1>
            <xm:f>list!$B$73:$C$73</xm:f>
          </x14:formula1>
          <xm:sqref>BI2:BI1048576</xm:sqref>
        </x14:dataValidation>
        <x14:dataValidation type="list" allowBlank="1" showInputMessage="1" showErrorMessage="1" xr:uid="{00000000-0002-0000-0500-000037000000}">
          <x14:formula1>
            <xm:f>list!$B$84:$D$84</xm:f>
          </x14:formula1>
          <xm:sqref>BJ2:BJ1048576</xm:sqref>
        </x14:dataValidation>
        <x14:dataValidation type="list" allowBlank="1" showInputMessage="1" showErrorMessage="1" xr:uid="{00000000-0002-0000-0500-000038000000}">
          <x14:formula1>
            <xm:f>list!$B$85:$D$85</xm:f>
          </x14:formula1>
          <xm:sqref>BK2:BK1048576</xm:sqref>
        </x14:dataValidation>
        <x14:dataValidation type="list" allowBlank="1" showInputMessage="1" showErrorMessage="1" xr:uid="{00000000-0002-0000-0500-000039000000}">
          <x14:formula1>
            <xm:f>list!$B$79:$C$79</xm:f>
          </x14:formula1>
          <xm:sqref>BL2:BL1048576</xm:sqref>
        </x14:dataValidation>
        <x14:dataValidation type="list" allowBlank="1" showInputMessage="1" showErrorMessage="1" xr:uid="{00000000-0002-0000-0500-00003A000000}">
          <x14:formula1>
            <xm:f>list!$B$80:$C$80</xm:f>
          </x14:formula1>
          <xm:sqref>BM2:BM1048576</xm:sqref>
        </x14:dataValidation>
        <x14:dataValidation type="list" allowBlank="1" showInputMessage="1" showErrorMessage="1" xr:uid="{00000000-0002-0000-0500-00003B000000}">
          <x14:formula1>
            <xm:f>list!$B$82:$C$82</xm:f>
          </x14:formula1>
          <xm:sqref>BO2:BO16 BO18:BO23 BO25:BO1048576</xm:sqref>
        </x14:dataValidation>
        <x14:dataValidation type="list" allowBlank="1" showInputMessage="1" showErrorMessage="1" xr:uid="{B3A2CB72-5E8B-F341-A2BD-C71CE8B68CAE}">
          <x14:formula1>
            <xm:f>list!$B$36:$H$36</xm:f>
          </x14:formula1>
          <xm:sqref>AD6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92D050"/>
  </sheetPr>
  <dimension ref="A1:BO35"/>
  <sheetViews>
    <sheetView zoomScale="77" zoomScaleNormal="77" workbookViewId="0">
      <pane xSplit="6" ySplit="1" topLeftCell="G2" activePane="bottomRight" state="frozen"/>
      <selection pane="topRight" activeCell="G1" sqref="G1"/>
      <selection pane="bottomLeft" activeCell="A2" sqref="A2"/>
      <selection pane="bottomRight" activeCell="BN34" sqref="BN34"/>
    </sheetView>
  </sheetViews>
  <sheetFormatPr defaultColWidth="8.875" defaultRowHeight="15"/>
  <cols>
    <col min="1" max="1" width="1.375" style="6" customWidth="1"/>
    <col min="2" max="3" width="1.75" style="6" customWidth="1"/>
    <col min="4" max="4" width="2.125" style="6" customWidth="1"/>
    <col min="5" max="5" width="38" style="6" customWidth="1"/>
    <col min="6" max="6" width="14.5" style="6" bestFit="1" customWidth="1"/>
    <col min="7" max="7" width="44.625" style="6" bestFit="1" customWidth="1"/>
    <col min="8" max="8" width="17.625" style="6" bestFit="1" customWidth="1"/>
    <col min="9" max="9" width="17.5" style="6" bestFit="1" customWidth="1"/>
    <col min="10" max="10" width="17.625" style="6" bestFit="1" customWidth="1"/>
    <col min="11" max="11" width="17.5" style="6" bestFit="1" customWidth="1"/>
    <col min="12" max="12" width="28.625" style="6" bestFit="1" customWidth="1"/>
    <col min="13" max="13" width="22.375" style="6" bestFit="1" customWidth="1"/>
    <col min="14" max="14" width="8.625" style="6" bestFit="1" customWidth="1"/>
    <col min="15" max="15" width="17.375" style="6" bestFit="1" customWidth="1"/>
    <col min="16" max="16" width="14.625" style="6" bestFit="1" customWidth="1"/>
    <col min="17" max="17" width="17.5" style="6" bestFit="1" customWidth="1"/>
    <col min="18" max="18" width="12.375" style="6" bestFit="1" customWidth="1"/>
    <col min="19" max="19" width="19.875" style="6" bestFit="1" customWidth="1"/>
    <col min="20" max="20" width="19.125" style="6" bestFit="1" customWidth="1"/>
    <col min="21" max="21" width="18.875" style="6" bestFit="1" customWidth="1"/>
    <col min="22" max="22" width="18.125" style="6" bestFit="1" customWidth="1"/>
    <col min="23" max="23" width="17.375" style="6" bestFit="1" customWidth="1"/>
    <col min="24" max="24" width="16.375" style="6" bestFit="1" customWidth="1"/>
    <col min="25" max="25" width="20.375" style="6" bestFit="1" customWidth="1"/>
    <col min="26" max="26" width="20.875" style="6" bestFit="1" customWidth="1"/>
    <col min="27" max="27" width="21.875" style="6" bestFit="1" customWidth="1"/>
    <col min="28" max="29" width="26.5" style="6" bestFit="1" customWidth="1"/>
    <col min="30" max="30" width="22.375" style="6" bestFit="1" customWidth="1"/>
    <col min="31" max="31" width="18.5" style="6" bestFit="1" customWidth="1"/>
    <col min="32" max="32" width="22.375" style="6" bestFit="1" customWidth="1"/>
    <col min="33" max="33" width="18.5" style="6" bestFit="1" customWidth="1"/>
    <col min="34" max="34" width="19.125" style="6" bestFit="1" customWidth="1"/>
    <col min="35" max="35" width="21.625" style="6" bestFit="1" customWidth="1"/>
    <col min="36" max="36" width="19.375" style="6" bestFit="1" customWidth="1"/>
    <col min="37" max="37" width="20.5" style="6" bestFit="1" customWidth="1"/>
    <col min="38" max="38" width="18.375" style="6" bestFit="1" customWidth="1"/>
    <col min="39" max="39" width="14" style="6" bestFit="1" customWidth="1"/>
    <col min="40" max="40" width="15.5" style="6" bestFit="1" customWidth="1"/>
    <col min="41" max="41" width="16.5" style="6" bestFit="1" customWidth="1"/>
    <col min="42" max="42" width="22" style="6" bestFit="1" customWidth="1"/>
    <col min="43" max="43" width="22.5" style="6" bestFit="1" customWidth="1"/>
    <col min="44" max="44" width="14.125" style="6" bestFit="1" customWidth="1"/>
    <col min="45" max="45" width="11.5" style="6" bestFit="1" customWidth="1"/>
    <col min="46" max="46" width="10" style="6" bestFit="1" customWidth="1"/>
    <col min="47" max="47" width="35" style="6" bestFit="1" customWidth="1"/>
    <col min="48" max="48" width="20.875" style="6" bestFit="1" customWidth="1"/>
    <col min="49" max="49" width="9.125" style="6" bestFit="1" customWidth="1"/>
    <col min="50" max="50" width="10.125" style="6" bestFit="1" customWidth="1"/>
    <col min="51" max="51" width="15.375" style="6" bestFit="1" customWidth="1"/>
    <col min="52" max="52" width="13.625" style="6" bestFit="1" customWidth="1"/>
    <col min="53" max="53" width="16" style="6" bestFit="1" customWidth="1"/>
    <col min="54" max="54" width="15.375" style="6" bestFit="1" customWidth="1"/>
    <col min="55" max="55" width="30.625" style="6" bestFit="1" customWidth="1"/>
    <col min="56" max="56" width="15.625" style="6" bestFit="1" customWidth="1"/>
    <col min="57" max="57" width="18.625" style="6" bestFit="1" customWidth="1"/>
    <col min="58" max="58" width="20.5" style="6" bestFit="1" customWidth="1"/>
    <col min="59" max="59" width="12.875" style="6" bestFit="1" customWidth="1"/>
    <col min="60" max="61" width="20" style="6" bestFit="1" customWidth="1"/>
    <col min="62" max="62" width="14.125" style="6" bestFit="1" customWidth="1"/>
    <col min="63" max="63" width="14" style="6" bestFit="1" customWidth="1"/>
    <col min="64" max="65" width="17.5" style="6" bestFit="1" customWidth="1"/>
    <col min="66" max="66" width="17.875" style="6" bestFit="1" customWidth="1"/>
    <col min="67" max="67" width="12.125" style="6" bestFit="1" customWidth="1"/>
    <col min="68" max="68" width="8.875" style="6" customWidth="1"/>
    <col min="69" max="16384" width="8.875" style="6"/>
  </cols>
  <sheetData>
    <row r="1" spans="1:67" ht="101.1" customHeight="1">
      <c r="A1" s="18" t="s">
        <v>0</v>
      </c>
      <c r="B1" s="18" t="s">
        <v>1</v>
      </c>
      <c r="C1" s="18" t="s">
        <v>2</v>
      </c>
      <c r="D1" s="18" t="s">
        <v>3</v>
      </c>
      <c r="E1" s="18" t="s">
        <v>4</v>
      </c>
      <c r="F1" s="18" t="s">
        <v>5</v>
      </c>
      <c r="G1" s="18" t="s">
        <v>6</v>
      </c>
      <c r="H1" s="18" t="s">
        <v>7</v>
      </c>
      <c r="I1" s="18" t="s">
        <v>8</v>
      </c>
      <c r="J1" s="18" t="s">
        <v>9</v>
      </c>
      <c r="K1" s="18" t="s">
        <v>10</v>
      </c>
      <c r="L1" s="18" t="s">
        <v>11</v>
      </c>
      <c r="M1" s="18" t="s">
        <v>12</v>
      </c>
      <c r="N1" s="18" t="s">
        <v>13</v>
      </c>
      <c r="O1" s="18" t="s">
        <v>14</v>
      </c>
      <c r="P1" s="18" t="s">
        <v>15</v>
      </c>
      <c r="Q1" s="18" t="s">
        <v>16</v>
      </c>
      <c r="R1" s="18" t="s">
        <v>17</v>
      </c>
      <c r="S1" s="18" t="s">
        <v>18</v>
      </c>
      <c r="T1" s="18" t="s">
        <v>19</v>
      </c>
      <c r="U1" s="18" t="s">
        <v>20</v>
      </c>
      <c r="V1" s="18" t="s">
        <v>21</v>
      </c>
      <c r="W1" s="18" t="s">
        <v>22</v>
      </c>
      <c r="X1" s="18" t="s">
        <v>23</v>
      </c>
      <c r="Y1" s="18" t="s">
        <v>24</v>
      </c>
      <c r="Z1" s="18" t="s">
        <v>25</v>
      </c>
      <c r="AA1" s="18" t="s">
        <v>26</v>
      </c>
      <c r="AB1" s="18" t="s">
        <v>27</v>
      </c>
      <c r="AC1" s="18" t="s">
        <v>28</v>
      </c>
      <c r="AD1" s="18" t="s">
        <v>29</v>
      </c>
      <c r="AE1" s="18" t="s">
        <v>30</v>
      </c>
      <c r="AF1" s="18" t="s">
        <v>31</v>
      </c>
      <c r="AG1" s="18" t="s">
        <v>32</v>
      </c>
      <c r="AH1" s="18" t="s">
        <v>33</v>
      </c>
      <c r="AI1" s="18" t="s">
        <v>34</v>
      </c>
      <c r="AJ1" s="18" t="s">
        <v>35</v>
      </c>
      <c r="AK1" s="18" t="s">
        <v>36</v>
      </c>
      <c r="AL1" s="18" t="s">
        <v>37</v>
      </c>
      <c r="AM1" s="18" t="s">
        <v>38</v>
      </c>
      <c r="AN1" s="18" t="s">
        <v>39</v>
      </c>
      <c r="AO1" s="18" t="s">
        <v>40</v>
      </c>
      <c r="AP1" s="18" t="s">
        <v>41</v>
      </c>
      <c r="AQ1" s="18" t="s">
        <v>42</v>
      </c>
      <c r="AR1" s="18" t="s">
        <v>43</v>
      </c>
      <c r="AS1" s="18" t="s">
        <v>44</v>
      </c>
      <c r="AT1" s="18" t="s">
        <v>45</v>
      </c>
      <c r="AU1" s="18" t="s">
        <v>46</v>
      </c>
      <c r="AV1" s="18" t="s">
        <v>47</v>
      </c>
      <c r="AW1" s="18" t="s">
        <v>48</v>
      </c>
      <c r="AX1" s="18" t="s">
        <v>49</v>
      </c>
      <c r="AY1" s="18" t="s">
        <v>50</v>
      </c>
      <c r="AZ1" s="18" t="s">
        <v>51</v>
      </c>
      <c r="BA1" s="18" t="s">
        <v>52</v>
      </c>
      <c r="BB1" s="18" t="s">
        <v>53</v>
      </c>
      <c r="BC1" s="18" t="s">
        <v>54</v>
      </c>
      <c r="BD1" s="18" t="s">
        <v>55</v>
      </c>
      <c r="BE1" s="18" t="s">
        <v>56</v>
      </c>
      <c r="BF1" s="18" t="s">
        <v>57</v>
      </c>
      <c r="BG1" s="18" t="s">
        <v>58</v>
      </c>
      <c r="BH1" s="18" t="s">
        <v>59</v>
      </c>
      <c r="BI1" s="18" t="s">
        <v>60</v>
      </c>
      <c r="BJ1" s="18" t="s">
        <v>61</v>
      </c>
      <c r="BK1" s="18" t="s">
        <v>62</v>
      </c>
      <c r="BL1" s="18" t="s">
        <v>63</v>
      </c>
      <c r="BM1" s="18" t="s">
        <v>64</v>
      </c>
      <c r="BN1" s="18" t="s">
        <v>65</v>
      </c>
      <c r="BO1" s="18" t="s">
        <v>66</v>
      </c>
    </row>
    <row r="2" spans="1:67" ht="80.099999999999994" customHeight="1">
      <c r="A2" s="10"/>
      <c r="B2" s="10">
        <v>1121834</v>
      </c>
      <c r="C2" s="11">
        <v>41675</v>
      </c>
      <c r="D2" s="10">
        <v>0</v>
      </c>
      <c r="E2" s="10" t="s">
        <v>295</v>
      </c>
      <c r="F2" s="10" t="b">
        <v>1</v>
      </c>
      <c r="G2" s="10" t="b">
        <v>1</v>
      </c>
      <c r="H2" s="10"/>
      <c r="I2" s="10"/>
      <c r="J2" s="10"/>
      <c r="K2" s="10"/>
      <c r="L2" s="10"/>
      <c r="M2" s="10"/>
      <c r="N2" s="10"/>
      <c r="O2" s="10"/>
      <c r="P2" s="10"/>
      <c r="Q2" s="10" t="b">
        <v>0</v>
      </c>
      <c r="R2" s="10"/>
      <c r="S2" s="10" t="s">
        <v>478</v>
      </c>
      <c r="T2" s="10" t="s">
        <v>478</v>
      </c>
      <c r="U2" s="10" t="s">
        <v>478</v>
      </c>
      <c r="V2" s="10" t="s">
        <v>478</v>
      </c>
      <c r="W2" s="10"/>
      <c r="X2" s="10">
        <v>1</v>
      </c>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c r="AY2" s="10"/>
      <c r="AZ2" s="10"/>
      <c r="BA2" s="10"/>
      <c r="BB2" s="10"/>
      <c r="BC2" s="10"/>
      <c r="BD2" s="10"/>
      <c r="BE2" s="10"/>
      <c r="BF2" s="10"/>
      <c r="BG2" s="10"/>
      <c r="BH2" s="10"/>
      <c r="BI2" s="10"/>
      <c r="BJ2" s="10"/>
      <c r="BK2" s="10"/>
      <c r="BL2" s="10"/>
      <c r="BM2" s="10"/>
      <c r="BN2" s="10"/>
      <c r="BO2" s="10"/>
    </row>
    <row r="3" spans="1:67" ht="32.1" customHeight="1">
      <c r="A3" s="10"/>
      <c r="B3" s="10">
        <v>1121834</v>
      </c>
      <c r="C3" s="11">
        <v>41740</v>
      </c>
      <c r="D3" s="10">
        <v>2</v>
      </c>
      <c r="E3" s="10" t="s">
        <v>296</v>
      </c>
      <c r="F3" s="10" t="b">
        <v>1</v>
      </c>
      <c r="G3" s="10" t="b">
        <v>1</v>
      </c>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c r="BL3" s="10"/>
      <c r="BM3" s="10"/>
      <c r="BN3" s="10"/>
      <c r="BO3" s="10"/>
    </row>
    <row r="4" spans="1:67" ht="111.95" customHeight="1">
      <c r="A4" s="10"/>
      <c r="B4" s="10">
        <v>1121834</v>
      </c>
      <c r="C4" s="11">
        <v>41767</v>
      </c>
      <c r="D4" s="10">
        <v>3</v>
      </c>
      <c r="E4" s="10" t="s">
        <v>297</v>
      </c>
      <c r="F4" s="10" t="b">
        <v>1</v>
      </c>
      <c r="G4" s="10" t="b">
        <v>1</v>
      </c>
      <c r="H4" s="10" t="b">
        <v>1</v>
      </c>
      <c r="I4" s="10"/>
      <c r="J4" s="10"/>
      <c r="K4" s="10"/>
      <c r="L4" s="10" t="s">
        <v>495</v>
      </c>
      <c r="M4" s="10"/>
      <c r="N4" s="10"/>
      <c r="O4" s="10"/>
      <c r="P4" s="10"/>
      <c r="Q4" s="10"/>
      <c r="R4" s="10"/>
      <c r="S4" s="10"/>
      <c r="T4" s="10"/>
      <c r="U4" s="10"/>
      <c r="V4" s="10"/>
      <c r="W4" s="10"/>
      <c r="X4" s="10"/>
      <c r="Y4" s="10"/>
      <c r="Z4" s="10"/>
      <c r="AA4" s="10"/>
      <c r="AB4" s="10"/>
      <c r="AC4" s="10"/>
      <c r="AD4" s="10" t="s">
        <v>505</v>
      </c>
      <c r="AE4" s="10" t="s">
        <v>522</v>
      </c>
      <c r="AF4" s="10"/>
      <c r="AG4" s="10"/>
      <c r="AH4" s="10"/>
      <c r="AI4" s="10"/>
      <c r="AJ4" s="10"/>
      <c r="AK4" s="10"/>
      <c r="AL4" s="10"/>
      <c r="AM4" s="10"/>
      <c r="AN4" s="10" t="b">
        <v>1</v>
      </c>
      <c r="AO4" s="10"/>
      <c r="AP4" s="10"/>
      <c r="AQ4" s="10"/>
      <c r="AR4" s="10"/>
      <c r="AS4" s="10"/>
      <c r="AT4" s="10"/>
      <c r="AU4" s="10"/>
      <c r="AV4" s="10"/>
      <c r="AW4" s="10"/>
      <c r="AX4" s="10"/>
      <c r="AY4" s="10"/>
      <c r="AZ4" s="10"/>
      <c r="BA4" s="10" t="s">
        <v>583</v>
      </c>
      <c r="BB4" s="10"/>
      <c r="BC4" s="10"/>
      <c r="BD4" s="10"/>
      <c r="BE4" s="10"/>
      <c r="BF4" s="10"/>
      <c r="BG4" s="10"/>
      <c r="BH4" s="10"/>
      <c r="BI4" s="10"/>
      <c r="BJ4" s="10"/>
      <c r="BK4" s="10"/>
      <c r="BL4" s="10"/>
      <c r="BM4" s="10"/>
      <c r="BN4" s="10"/>
      <c r="BO4" s="10"/>
    </row>
    <row r="5" spans="1:67" ht="111.95" customHeight="1">
      <c r="A5" s="10"/>
      <c r="B5" s="10">
        <v>1121834</v>
      </c>
      <c r="C5" s="11">
        <v>41781</v>
      </c>
      <c r="D5" s="10">
        <v>3</v>
      </c>
      <c r="E5" s="10" t="s">
        <v>298</v>
      </c>
      <c r="F5" s="10" t="b">
        <v>1</v>
      </c>
      <c r="G5" s="10" t="b">
        <v>1</v>
      </c>
      <c r="H5" s="10"/>
      <c r="I5" s="10" t="b">
        <v>1</v>
      </c>
      <c r="J5" s="10"/>
      <c r="K5" s="10"/>
      <c r="L5" s="10"/>
      <c r="M5" s="10"/>
      <c r="N5" s="10"/>
      <c r="O5" s="10"/>
      <c r="P5" s="10"/>
      <c r="Q5" s="10"/>
      <c r="R5" s="10"/>
      <c r="S5" s="10"/>
      <c r="T5" s="10"/>
      <c r="U5" s="10"/>
      <c r="V5" s="10"/>
      <c r="W5" s="10"/>
      <c r="X5" s="10"/>
      <c r="Y5" s="10"/>
      <c r="Z5" s="10"/>
      <c r="AA5" s="10"/>
      <c r="AB5" s="10" t="b">
        <v>0</v>
      </c>
      <c r="AC5" s="10"/>
      <c r="AD5" s="10" t="s">
        <v>505</v>
      </c>
      <c r="AE5" s="10" t="s">
        <v>522</v>
      </c>
      <c r="AF5" s="10"/>
      <c r="AG5" s="10"/>
      <c r="AH5" s="10"/>
      <c r="AI5" s="10"/>
      <c r="AJ5" s="10"/>
      <c r="AK5" s="10"/>
      <c r="AL5" s="10"/>
      <c r="AM5" s="10"/>
      <c r="AN5" s="10" t="b">
        <v>1</v>
      </c>
      <c r="AO5" s="10"/>
      <c r="AP5" s="10" t="b">
        <v>1</v>
      </c>
      <c r="AQ5" s="10"/>
      <c r="AR5" s="10"/>
      <c r="AS5" s="10"/>
      <c r="AT5" s="10"/>
      <c r="AU5" s="10"/>
      <c r="AV5" s="10"/>
      <c r="AW5" s="10"/>
      <c r="AX5" s="10"/>
      <c r="AY5" s="10"/>
      <c r="AZ5" s="10"/>
      <c r="BA5" s="10"/>
      <c r="BB5" s="10"/>
      <c r="BC5" s="10"/>
      <c r="BD5" s="10" t="b">
        <v>1</v>
      </c>
      <c r="BE5" s="10" t="s">
        <v>588</v>
      </c>
      <c r="BF5" s="10"/>
      <c r="BG5" s="10"/>
      <c r="BH5" s="10"/>
      <c r="BI5" s="10"/>
      <c r="BJ5" s="10"/>
      <c r="BK5" s="10"/>
      <c r="BL5" s="10"/>
      <c r="BM5" s="10"/>
      <c r="BN5" s="10"/>
      <c r="BO5" s="10"/>
    </row>
    <row r="6" spans="1:67" ht="80.099999999999994" customHeight="1">
      <c r="A6" s="10"/>
      <c r="B6" s="10">
        <v>1121834</v>
      </c>
      <c r="C6" s="11">
        <v>41816</v>
      </c>
      <c r="D6" s="10">
        <v>4</v>
      </c>
      <c r="E6" s="10" t="s">
        <v>299</v>
      </c>
      <c r="F6" s="10" t="b">
        <v>1</v>
      </c>
      <c r="G6" s="10"/>
      <c r="H6" s="10"/>
      <c r="I6" s="10"/>
      <c r="J6" s="10"/>
      <c r="K6" s="10"/>
      <c r="L6" s="10"/>
      <c r="M6" s="10"/>
      <c r="N6" s="10"/>
      <c r="O6" s="10"/>
      <c r="P6" s="10"/>
      <c r="Q6" s="10"/>
      <c r="R6" s="10"/>
      <c r="S6" s="10"/>
      <c r="T6" s="10"/>
      <c r="U6" s="10"/>
      <c r="V6" s="10"/>
      <c r="W6" s="10"/>
      <c r="X6" s="10"/>
      <c r="Y6" s="10"/>
      <c r="Z6" s="10"/>
      <c r="AA6" s="10"/>
      <c r="AB6" s="10" t="b">
        <v>0</v>
      </c>
      <c r="AC6" s="10"/>
      <c r="AD6" s="10" t="s">
        <v>505</v>
      </c>
      <c r="AE6" s="10" t="s">
        <v>522</v>
      </c>
      <c r="AF6" s="10"/>
      <c r="AG6" s="10"/>
      <c r="AH6" s="10" t="s">
        <v>534</v>
      </c>
      <c r="AI6" s="10"/>
      <c r="AJ6" s="10"/>
      <c r="AK6" s="10"/>
      <c r="AL6" s="10"/>
      <c r="AM6" s="10"/>
      <c r="AN6" s="10"/>
      <c r="AO6" s="10"/>
      <c r="AP6" s="10" t="b">
        <v>1</v>
      </c>
      <c r="AQ6" s="10"/>
      <c r="AR6" s="10"/>
      <c r="AS6" s="10"/>
      <c r="AT6" s="10"/>
      <c r="AU6" s="10"/>
      <c r="AV6" s="10"/>
      <c r="AW6" s="10"/>
      <c r="AX6" s="10"/>
      <c r="AY6" s="10"/>
      <c r="AZ6" s="10"/>
      <c r="BA6" s="10"/>
      <c r="BB6" s="10"/>
      <c r="BC6" s="10"/>
      <c r="BD6" s="10" t="b">
        <v>1</v>
      </c>
      <c r="BE6" s="10" t="s">
        <v>588</v>
      </c>
      <c r="BF6" s="10"/>
      <c r="BG6" s="10"/>
      <c r="BH6" s="10"/>
      <c r="BI6" s="10"/>
      <c r="BJ6" s="10"/>
      <c r="BK6" s="10"/>
      <c r="BL6" s="10"/>
      <c r="BM6" s="10"/>
      <c r="BN6" s="10"/>
      <c r="BO6" s="10"/>
    </row>
    <row r="7" spans="1:67" ht="80.099999999999994" customHeight="1">
      <c r="A7" s="10"/>
      <c r="B7" s="10">
        <v>1121834</v>
      </c>
      <c r="C7" s="11">
        <v>41848</v>
      </c>
      <c r="D7" s="10">
        <v>5</v>
      </c>
      <c r="E7" s="10" t="s">
        <v>300</v>
      </c>
      <c r="F7" s="10" t="b">
        <v>1</v>
      </c>
      <c r="G7" s="10" t="b">
        <v>1</v>
      </c>
      <c r="H7" s="10"/>
      <c r="I7" s="10"/>
      <c r="J7" s="10"/>
      <c r="K7" s="10"/>
      <c r="L7" s="10"/>
      <c r="M7" s="10"/>
      <c r="N7" s="10"/>
      <c r="O7" s="10"/>
      <c r="P7" s="10"/>
      <c r="Q7" s="10"/>
      <c r="R7" s="10"/>
      <c r="S7" s="10"/>
      <c r="T7" s="10"/>
      <c r="U7" s="10"/>
      <c r="V7" s="10"/>
      <c r="W7" s="10"/>
      <c r="X7" s="10"/>
      <c r="Y7" s="10"/>
      <c r="Z7" s="10"/>
      <c r="AA7" s="10"/>
      <c r="AB7" s="10" t="b">
        <v>1</v>
      </c>
      <c r="AC7" s="10"/>
      <c r="AD7" s="36" t="s">
        <v>624</v>
      </c>
      <c r="AE7" s="36" t="s">
        <v>625</v>
      </c>
      <c r="AF7" s="10"/>
      <c r="AG7" s="10"/>
      <c r="AH7" s="10" t="s">
        <v>535</v>
      </c>
      <c r="AI7" s="10"/>
      <c r="AJ7" s="10"/>
      <c r="AK7" s="10"/>
      <c r="AL7" s="10"/>
      <c r="AM7" s="10"/>
      <c r="AN7" s="10"/>
      <c r="AO7" s="10"/>
      <c r="AP7" s="10" t="b">
        <v>1</v>
      </c>
      <c r="AQ7" s="10"/>
      <c r="AR7" s="10"/>
      <c r="AS7" s="10"/>
      <c r="AT7" s="10"/>
      <c r="AU7" s="10"/>
      <c r="AV7" s="10"/>
      <c r="AW7" s="10"/>
      <c r="AX7" s="10"/>
      <c r="AY7" s="10"/>
      <c r="AZ7" s="10"/>
      <c r="BA7" s="10"/>
      <c r="BB7" s="10"/>
      <c r="BC7" s="10"/>
      <c r="BD7" s="10"/>
      <c r="BE7" s="10"/>
      <c r="BF7" s="10"/>
      <c r="BG7" s="10"/>
      <c r="BH7" s="10"/>
      <c r="BI7" s="10"/>
      <c r="BJ7" s="10"/>
      <c r="BK7" s="10"/>
      <c r="BL7" s="10"/>
      <c r="BM7" s="10"/>
      <c r="BN7" s="10"/>
      <c r="BO7" s="10"/>
    </row>
    <row r="8" spans="1:67" ht="128.1" customHeight="1">
      <c r="A8" s="10"/>
      <c r="B8" s="10">
        <v>1121834</v>
      </c>
      <c r="C8" s="11">
        <v>41890</v>
      </c>
      <c r="D8" s="10">
        <v>7</v>
      </c>
      <c r="E8" s="10" t="s">
        <v>301</v>
      </c>
      <c r="F8" s="10" t="b">
        <v>1</v>
      </c>
      <c r="G8" s="10" t="b">
        <v>1</v>
      </c>
      <c r="H8" s="10"/>
      <c r="I8" s="10"/>
      <c r="J8" s="10" t="b">
        <v>1</v>
      </c>
      <c r="K8" s="10"/>
      <c r="L8" s="10" t="s">
        <v>495</v>
      </c>
      <c r="M8" s="10"/>
      <c r="N8" s="10"/>
      <c r="O8" s="10"/>
      <c r="P8" s="10"/>
      <c r="Q8" s="10"/>
      <c r="R8" s="10"/>
      <c r="S8" s="10"/>
      <c r="T8" s="10"/>
      <c r="U8" s="10"/>
      <c r="V8" s="10"/>
      <c r="W8" s="10"/>
      <c r="X8" s="10"/>
      <c r="Y8" s="10"/>
      <c r="Z8" s="10"/>
      <c r="AA8" s="10"/>
      <c r="AB8" s="10" t="b">
        <v>1</v>
      </c>
      <c r="AC8" s="10"/>
      <c r="AD8" s="10" t="s">
        <v>507</v>
      </c>
      <c r="AE8" s="10" t="s">
        <v>518</v>
      </c>
      <c r="AF8" s="10" t="s">
        <v>504</v>
      </c>
      <c r="AG8" s="10" t="s">
        <v>513</v>
      </c>
      <c r="AH8" s="10" t="s">
        <v>535</v>
      </c>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t="b">
        <v>1</v>
      </c>
      <c r="BI8" s="10"/>
      <c r="BJ8" s="10"/>
      <c r="BK8" s="10"/>
      <c r="BL8" s="10"/>
      <c r="BM8" s="10"/>
      <c r="BN8" s="10"/>
      <c r="BO8" s="10"/>
    </row>
    <row r="9" spans="1:67" ht="80.099999999999994" customHeight="1">
      <c r="A9" s="10"/>
      <c r="B9" s="10">
        <v>1121834</v>
      </c>
      <c r="C9" s="11">
        <v>41904</v>
      </c>
      <c r="D9" s="10">
        <v>7</v>
      </c>
      <c r="E9" s="10" t="s">
        <v>302</v>
      </c>
      <c r="F9" s="10" t="b">
        <v>1</v>
      </c>
      <c r="G9" s="10"/>
      <c r="H9" s="10"/>
      <c r="I9" s="10"/>
      <c r="J9" s="10"/>
      <c r="K9" s="10" t="b">
        <v>1</v>
      </c>
      <c r="L9" s="10"/>
      <c r="M9" s="10"/>
      <c r="N9" s="10"/>
      <c r="O9" s="10"/>
      <c r="P9" s="10"/>
      <c r="Q9" s="10"/>
      <c r="R9" s="10"/>
      <c r="S9" s="10"/>
      <c r="T9" s="10"/>
      <c r="U9" s="10"/>
      <c r="V9" s="10"/>
      <c r="W9" s="10"/>
      <c r="X9" s="10"/>
      <c r="Y9" s="10"/>
      <c r="Z9" s="10"/>
      <c r="AA9" s="10"/>
      <c r="AB9" s="10" t="b">
        <v>0</v>
      </c>
      <c r="AC9" s="10" t="b">
        <v>1</v>
      </c>
      <c r="AD9" s="10" t="s">
        <v>507</v>
      </c>
      <c r="AE9" s="10" t="s">
        <v>518</v>
      </c>
      <c r="AF9" s="10" t="s">
        <v>504</v>
      </c>
      <c r="AG9" s="10" t="s">
        <v>517</v>
      </c>
      <c r="AH9" s="10" t="s">
        <v>535</v>
      </c>
      <c r="AI9" s="10"/>
      <c r="AJ9" s="10"/>
      <c r="AK9" s="10"/>
      <c r="AL9" s="10"/>
      <c r="AM9" s="10"/>
      <c r="AN9" s="10"/>
      <c r="AO9" s="10"/>
      <c r="AP9" s="10"/>
      <c r="AQ9" s="10"/>
      <c r="AR9" s="10"/>
      <c r="AS9" s="10"/>
      <c r="AT9" s="10"/>
      <c r="AU9" s="10"/>
      <c r="AV9" s="10"/>
      <c r="AW9" s="10"/>
      <c r="AX9" s="10"/>
      <c r="AY9" s="10"/>
      <c r="AZ9" s="10"/>
      <c r="BA9" s="10"/>
      <c r="BB9" s="10"/>
      <c r="BC9" s="10"/>
      <c r="BD9" s="10"/>
      <c r="BE9" s="10"/>
      <c r="BF9" s="10"/>
      <c r="BG9" s="10"/>
      <c r="BH9" s="10" t="b">
        <v>1</v>
      </c>
      <c r="BI9" s="10"/>
      <c r="BJ9" s="10"/>
      <c r="BK9" s="10"/>
      <c r="BL9" s="10"/>
      <c r="BM9" s="10"/>
      <c r="BN9" s="10"/>
      <c r="BO9" s="10"/>
    </row>
    <row r="10" spans="1:67" ht="96" customHeight="1">
      <c r="A10" s="10"/>
      <c r="B10" s="10">
        <v>1121834</v>
      </c>
      <c r="C10" s="11">
        <v>41932</v>
      </c>
      <c r="D10" s="10">
        <v>8</v>
      </c>
      <c r="E10" s="10" t="s">
        <v>303</v>
      </c>
      <c r="F10" s="10" t="b">
        <v>1</v>
      </c>
      <c r="G10" s="10" t="b">
        <v>1</v>
      </c>
      <c r="H10" s="10"/>
      <c r="I10" s="10"/>
      <c r="J10" s="10"/>
      <c r="K10" s="10"/>
      <c r="L10" s="10"/>
      <c r="M10" s="10"/>
      <c r="N10" s="10"/>
      <c r="O10" s="10"/>
      <c r="P10" s="10"/>
      <c r="Q10" s="10"/>
      <c r="R10" s="10"/>
      <c r="S10" s="10"/>
      <c r="T10" s="10"/>
      <c r="U10" s="10"/>
      <c r="V10" s="10"/>
      <c r="W10" s="10"/>
      <c r="X10" s="10"/>
      <c r="Y10" s="10"/>
      <c r="Z10" s="10"/>
      <c r="AA10" s="10"/>
      <c r="AB10" s="10" t="b">
        <v>1</v>
      </c>
      <c r="AC10" s="10" t="b">
        <v>0</v>
      </c>
      <c r="AD10" s="10" t="s">
        <v>504</v>
      </c>
      <c r="AE10" s="10" t="s">
        <v>517</v>
      </c>
      <c r="AF10" s="10" t="s">
        <v>504</v>
      </c>
      <c r="AG10" s="10" t="s">
        <v>517</v>
      </c>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t="s">
        <v>585</v>
      </c>
      <c r="BF10" s="10" t="b">
        <v>1</v>
      </c>
      <c r="BG10" s="10"/>
      <c r="BH10" s="10"/>
      <c r="BI10" s="10"/>
      <c r="BJ10" s="10"/>
      <c r="BK10" s="10"/>
      <c r="BL10" s="10"/>
      <c r="BM10" s="10"/>
      <c r="BN10" s="10"/>
      <c r="BO10" s="10"/>
    </row>
    <row r="11" spans="1:67" ht="96" customHeight="1">
      <c r="A11" s="10"/>
      <c r="B11" s="10">
        <v>1121834</v>
      </c>
      <c r="C11" s="11">
        <v>41960</v>
      </c>
      <c r="D11" s="10">
        <v>9</v>
      </c>
      <c r="E11" s="10" t="s">
        <v>304</v>
      </c>
      <c r="F11" s="10" t="b">
        <v>1</v>
      </c>
      <c r="G11" s="10"/>
      <c r="H11" s="10"/>
      <c r="I11" s="10"/>
      <c r="J11" s="10"/>
      <c r="K11" s="10"/>
      <c r="L11" s="10"/>
      <c r="M11" s="10"/>
      <c r="N11" s="10"/>
      <c r="O11" s="10"/>
      <c r="P11" s="10"/>
      <c r="Q11" s="10"/>
      <c r="R11" s="10"/>
      <c r="S11" s="10"/>
      <c r="T11" s="10"/>
      <c r="U11" s="10"/>
      <c r="V11" s="10"/>
      <c r="W11" s="10"/>
      <c r="X11" s="10"/>
      <c r="Y11" s="10"/>
      <c r="Z11" s="10"/>
      <c r="AA11" s="10"/>
      <c r="AB11" s="10" t="b">
        <v>1</v>
      </c>
      <c r="AC11" s="10" t="b">
        <v>1</v>
      </c>
      <c r="AD11" s="10" t="s">
        <v>507</v>
      </c>
      <c r="AE11" s="10" t="s">
        <v>518</v>
      </c>
      <c r="AF11" s="10" t="s">
        <v>504</v>
      </c>
      <c r="AG11" s="10" t="s">
        <v>518</v>
      </c>
      <c r="AH11" s="10"/>
      <c r="AI11" s="10" t="s">
        <v>540</v>
      </c>
      <c r="AJ11" s="10" t="s">
        <v>563</v>
      </c>
      <c r="AK11" s="10" t="s">
        <v>540</v>
      </c>
      <c r="AL11" s="10" t="s">
        <v>563</v>
      </c>
      <c r="AM11" s="10"/>
      <c r="AN11" s="10"/>
      <c r="AO11" s="10"/>
      <c r="AP11" s="10"/>
      <c r="AQ11" s="10" t="b">
        <v>1</v>
      </c>
      <c r="AR11" s="10"/>
      <c r="AS11" s="10"/>
      <c r="AT11" s="10"/>
      <c r="AU11" s="10"/>
      <c r="AV11" s="10"/>
      <c r="AW11" s="10"/>
      <c r="AX11" s="10"/>
      <c r="AY11" s="10"/>
      <c r="AZ11" s="10"/>
      <c r="BA11" s="10"/>
      <c r="BB11" s="10"/>
      <c r="BC11" s="10"/>
      <c r="BD11" s="10"/>
      <c r="BE11" s="10"/>
      <c r="BF11" s="10" t="b">
        <v>1</v>
      </c>
      <c r="BG11" s="10"/>
      <c r="BH11" s="10" t="b">
        <v>1</v>
      </c>
      <c r="BI11" s="10"/>
      <c r="BJ11" s="10"/>
      <c r="BK11" s="10" t="s">
        <v>597</v>
      </c>
      <c r="BL11" s="10"/>
      <c r="BM11" s="10"/>
      <c r="BN11" s="10"/>
      <c r="BO11" s="10"/>
    </row>
    <row r="12" spans="1:67" ht="80.099999999999994" customHeight="1">
      <c r="A12" s="10"/>
      <c r="B12" s="10">
        <v>1121834</v>
      </c>
      <c r="C12" s="11">
        <v>41988</v>
      </c>
      <c r="D12" s="10">
        <v>10</v>
      </c>
      <c r="E12" s="10" t="s">
        <v>305</v>
      </c>
      <c r="F12" s="10" t="b">
        <v>1</v>
      </c>
      <c r="G12" s="10" t="b">
        <v>1</v>
      </c>
      <c r="H12" s="10"/>
      <c r="I12" s="10"/>
      <c r="J12" s="10"/>
      <c r="K12" s="10"/>
      <c r="L12" s="10"/>
      <c r="M12" s="10"/>
      <c r="N12" s="10"/>
      <c r="O12" s="10"/>
      <c r="P12" s="10"/>
      <c r="Q12" s="10"/>
      <c r="R12" s="10"/>
      <c r="S12" s="10"/>
      <c r="T12" s="10"/>
      <c r="U12" s="10"/>
      <c r="V12" s="10"/>
      <c r="W12" s="10"/>
      <c r="X12" s="10"/>
      <c r="Y12" s="10"/>
      <c r="Z12" s="10"/>
      <c r="AA12" s="10"/>
      <c r="AB12" s="10" t="b">
        <v>1</v>
      </c>
      <c r="AC12" s="10" t="b">
        <v>0</v>
      </c>
      <c r="AD12" s="10" t="s">
        <v>507</v>
      </c>
      <c r="AE12" s="10" t="s">
        <v>520</v>
      </c>
      <c r="AF12" s="10" t="s">
        <v>504</v>
      </c>
      <c r="AG12" s="10" t="s">
        <v>518</v>
      </c>
      <c r="AH12" s="10" t="s">
        <v>537</v>
      </c>
      <c r="AI12" s="10" t="s">
        <v>540</v>
      </c>
      <c r="AJ12" s="10" t="s">
        <v>563</v>
      </c>
      <c r="AK12" s="10" t="s">
        <v>540</v>
      </c>
      <c r="AL12" s="10" t="s">
        <v>563</v>
      </c>
      <c r="AM12" s="10"/>
      <c r="AN12" s="10"/>
      <c r="AO12" s="10"/>
      <c r="AP12" s="10"/>
      <c r="AQ12" s="10"/>
      <c r="AR12" s="10"/>
      <c r="AS12" s="10"/>
      <c r="AT12" s="10"/>
      <c r="AU12" s="10"/>
      <c r="AV12" s="10"/>
      <c r="AW12" s="10"/>
      <c r="AX12" s="10"/>
      <c r="AY12" s="10"/>
      <c r="AZ12" s="10"/>
      <c r="BA12" s="10"/>
      <c r="BB12" s="10" t="s">
        <v>259</v>
      </c>
      <c r="BC12" s="10"/>
      <c r="BD12" s="10"/>
      <c r="BE12" s="10"/>
      <c r="BF12" s="10"/>
      <c r="BG12" s="10"/>
      <c r="BH12" s="10"/>
      <c r="BI12" s="10"/>
      <c r="BJ12" s="10"/>
      <c r="BK12" s="10" t="s">
        <v>597</v>
      </c>
      <c r="BL12" s="10"/>
      <c r="BM12" s="10"/>
      <c r="BN12" s="10"/>
      <c r="BO12" s="10"/>
    </row>
    <row r="13" spans="1:67" ht="96" customHeight="1">
      <c r="A13" s="10"/>
      <c r="B13" s="10">
        <v>1121834</v>
      </c>
      <c r="C13" s="11">
        <v>42016</v>
      </c>
      <c r="D13" s="10">
        <v>11</v>
      </c>
      <c r="E13" s="10" t="s">
        <v>306</v>
      </c>
      <c r="F13" s="10" t="b">
        <v>1</v>
      </c>
      <c r="G13" s="10"/>
      <c r="H13" s="10"/>
      <c r="I13" s="10"/>
      <c r="J13" s="10"/>
      <c r="K13" s="10"/>
      <c r="L13" s="10"/>
      <c r="M13" s="10"/>
      <c r="N13" s="10"/>
      <c r="O13" s="10"/>
      <c r="P13" s="10"/>
      <c r="Q13" s="10"/>
      <c r="R13" s="10"/>
      <c r="S13" s="10"/>
      <c r="T13" s="10"/>
      <c r="U13" s="10"/>
      <c r="V13" s="10"/>
      <c r="W13" s="10"/>
      <c r="X13" s="10">
        <v>5</v>
      </c>
      <c r="Y13" s="10"/>
      <c r="Z13" s="10"/>
      <c r="AA13" s="10"/>
      <c r="AB13" s="10" t="b">
        <v>1</v>
      </c>
      <c r="AC13" s="10" t="b">
        <v>1</v>
      </c>
      <c r="AD13" s="10" t="s">
        <v>506</v>
      </c>
      <c r="AE13" s="10" t="s">
        <v>520</v>
      </c>
      <c r="AF13" s="10" t="s">
        <v>506</v>
      </c>
      <c r="AG13" s="10" t="s">
        <v>518</v>
      </c>
      <c r="AH13" s="10" t="s">
        <v>531</v>
      </c>
      <c r="AI13" s="10" t="s">
        <v>540</v>
      </c>
      <c r="AJ13" s="10" t="s">
        <v>563</v>
      </c>
      <c r="AK13" s="10" t="s">
        <v>540</v>
      </c>
      <c r="AL13" s="10" t="s">
        <v>563</v>
      </c>
      <c r="AM13" s="10"/>
      <c r="AN13" s="10"/>
      <c r="AO13" s="10"/>
      <c r="AP13" s="10"/>
      <c r="AQ13" s="10"/>
      <c r="AR13" s="10"/>
      <c r="AS13" s="10"/>
      <c r="AT13" s="10"/>
      <c r="AU13" s="10"/>
      <c r="AV13" s="10"/>
      <c r="AW13" s="10"/>
      <c r="AX13" s="10"/>
      <c r="AY13" s="10"/>
      <c r="AZ13" s="10"/>
      <c r="BA13" s="10"/>
      <c r="BB13" s="10" t="s">
        <v>256</v>
      </c>
      <c r="BC13" s="10"/>
      <c r="BD13" s="10"/>
      <c r="BE13" s="10"/>
      <c r="BF13" s="10"/>
      <c r="BG13" s="10"/>
      <c r="BH13" s="10"/>
      <c r="BI13" s="10"/>
      <c r="BJ13" s="10"/>
      <c r="BK13" s="10" t="s">
        <v>597</v>
      </c>
      <c r="BL13" s="10"/>
      <c r="BM13" s="10"/>
      <c r="BN13" s="10"/>
      <c r="BO13" s="10"/>
    </row>
    <row r="14" spans="1:67" ht="80.099999999999994" customHeight="1">
      <c r="A14" s="10"/>
      <c r="B14" s="10">
        <v>1121834</v>
      </c>
      <c r="C14" s="11">
        <v>42037</v>
      </c>
      <c r="D14" s="10">
        <v>11</v>
      </c>
      <c r="E14" s="10" t="s">
        <v>307</v>
      </c>
      <c r="F14" s="10" t="b">
        <v>1</v>
      </c>
      <c r="G14" s="10" t="b">
        <v>1</v>
      </c>
      <c r="H14" s="10"/>
      <c r="I14" s="10"/>
      <c r="J14" s="10"/>
      <c r="K14" s="10"/>
      <c r="L14" s="10"/>
      <c r="M14" s="10"/>
      <c r="N14" s="10"/>
      <c r="O14" s="10"/>
      <c r="P14" s="10"/>
      <c r="Q14" s="10"/>
      <c r="R14" s="10"/>
      <c r="S14" s="10"/>
      <c r="T14" s="10"/>
      <c r="U14" s="10"/>
      <c r="V14" s="10"/>
      <c r="W14" s="10"/>
      <c r="X14" s="10"/>
      <c r="Y14" s="10"/>
      <c r="Z14" s="10"/>
      <c r="AA14" s="10"/>
      <c r="AB14" s="10" t="b">
        <v>0</v>
      </c>
      <c r="AC14" s="10" t="b">
        <v>1</v>
      </c>
      <c r="AD14" s="10" t="s">
        <v>506</v>
      </c>
      <c r="AE14" s="10" t="s">
        <v>520</v>
      </c>
      <c r="AF14" s="10" t="s">
        <v>506</v>
      </c>
      <c r="AG14" s="10" t="s">
        <v>520</v>
      </c>
      <c r="AH14" s="10"/>
      <c r="AI14" s="10" t="s">
        <v>538</v>
      </c>
      <c r="AJ14" s="10"/>
      <c r="AK14" s="10" t="s">
        <v>538</v>
      </c>
      <c r="AL14" s="10"/>
      <c r="AM14" s="10" t="s">
        <v>569</v>
      </c>
      <c r="AN14" s="10"/>
      <c r="AO14" s="10"/>
      <c r="AP14" s="10"/>
      <c r="AQ14" s="10"/>
      <c r="AR14" s="10"/>
      <c r="AS14" s="10"/>
      <c r="AT14" s="10"/>
      <c r="AU14" s="10"/>
      <c r="AV14" s="10"/>
      <c r="AW14" s="10"/>
      <c r="AX14" s="10"/>
      <c r="AY14" s="10"/>
      <c r="AZ14" s="10"/>
      <c r="BA14" s="10"/>
      <c r="BB14" s="10"/>
      <c r="BC14" s="10"/>
      <c r="BD14" s="10"/>
      <c r="BE14" s="10"/>
      <c r="BF14" s="10" t="b">
        <v>1</v>
      </c>
      <c r="BG14" s="10"/>
      <c r="BH14" s="10"/>
      <c r="BI14" s="10"/>
      <c r="BJ14" s="10"/>
      <c r="BK14" s="10"/>
      <c r="BL14" s="10"/>
      <c r="BM14" s="10"/>
      <c r="BN14" s="10"/>
      <c r="BO14" s="10"/>
    </row>
    <row r="15" spans="1:67" ht="65.25" customHeight="1">
      <c r="A15" s="10"/>
      <c r="B15" s="10">
        <v>1121834</v>
      </c>
      <c r="C15" s="11">
        <v>42065</v>
      </c>
      <c r="D15" s="10">
        <v>12</v>
      </c>
      <c r="E15" s="10" t="s">
        <v>308</v>
      </c>
      <c r="F15" s="10" t="b">
        <v>1</v>
      </c>
      <c r="G15" s="10"/>
      <c r="H15" s="10"/>
      <c r="I15" s="10"/>
      <c r="J15" s="10"/>
      <c r="K15" s="10"/>
      <c r="L15" s="10"/>
      <c r="M15" s="10"/>
      <c r="N15" s="10"/>
      <c r="O15" s="10"/>
      <c r="P15" s="10"/>
      <c r="Q15" s="10"/>
      <c r="R15" s="10"/>
      <c r="S15" s="10"/>
      <c r="T15" s="10"/>
      <c r="U15" s="10"/>
      <c r="V15" s="10"/>
      <c r="W15" s="10"/>
      <c r="X15" s="10"/>
      <c r="Y15" s="10"/>
      <c r="Z15" s="10"/>
      <c r="AA15" s="10"/>
      <c r="AB15" s="10" t="b">
        <v>0</v>
      </c>
      <c r="AC15" s="10" t="b">
        <v>1</v>
      </c>
      <c r="AD15" s="10" t="s">
        <v>506</v>
      </c>
      <c r="AE15" s="10" t="s">
        <v>520</v>
      </c>
      <c r="AF15" s="36" t="s">
        <v>626</v>
      </c>
      <c r="AG15" s="36" t="s">
        <v>627</v>
      </c>
      <c r="AH15" s="10" t="s">
        <v>534</v>
      </c>
      <c r="AI15" s="10"/>
      <c r="AJ15" s="10"/>
      <c r="AK15" s="10"/>
      <c r="AL15" s="10"/>
      <c r="AM15" s="10" t="s">
        <v>569</v>
      </c>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row>
    <row r="16" spans="1:67" ht="96" customHeight="1">
      <c r="A16" s="10"/>
      <c r="B16" s="10">
        <v>1121834</v>
      </c>
      <c r="C16" s="11">
        <v>42093</v>
      </c>
      <c r="D16" s="10">
        <v>13</v>
      </c>
      <c r="E16" s="10" t="s">
        <v>309</v>
      </c>
      <c r="F16" s="10" t="b">
        <v>1</v>
      </c>
      <c r="G16" s="10" t="b">
        <v>1</v>
      </c>
      <c r="H16" s="10"/>
      <c r="I16" s="10"/>
      <c r="J16" s="10"/>
      <c r="K16" s="10"/>
      <c r="L16" s="10"/>
      <c r="M16" s="10"/>
      <c r="N16" s="10"/>
      <c r="O16" s="10"/>
      <c r="P16" s="10"/>
      <c r="Q16" s="10"/>
      <c r="R16" s="10"/>
      <c r="S16" s="10"/>
      <c r="T16" s="10"/>
      <c r="U16" s="10"/>
      <c r="V16" s="10"/>
      <c r="W16" s="10"/>
      <c r="X16" s="10"/>
      <c r="Y16" s="10"/>
      <c r="Z16" s="10"/>
      <c r="AA16" s="10"/>
      <c r="AB16" s="38" t="b">
        <v>0</v>
      </c>
      <c r="AC16" s="38" t="b">
        <v>0</v>
      </c>
      <c r="AD16" s="10" t="s">
        <v>506</v>
      </c>
      <c r="AE16" s="10" t="s">
        <v>520</v>
      </c>
      <c r="AF16" s="10" t="s">
        <v>506</v>
      </c>
      <c r="AG16" s="10" t="s">
        <v>520</v>
      </c>
      <c r="AH16" s="10" t="s">
        <v>534</v>
      </c>
      <c r="AI16" s="10"/>
      <c r="AJ16" s="10"/>
      <c r="AK16" s="10"/>
      <c r="AL16" s="10"/>
      <c r="AM16" s="10" t="s">
        <v>569</v>
      </c>
      <c r="AN16" s="10"/>
      <c r="AO16" s="10"/>
      <c r="AP16" s="10"/>
      <c r="AQ16" s="10"/>
      <c r="AR16" s="10"/>
      <c r="AS16" s="10"/>
      <c r="AT16" s="10"/>
      <c r="AU16" s="10"/>
      <c r="AV16" s="10"/>
      <c r="AW16" s="10"/>
      <c r="AX16" s="10"/>
      <c r="AY16" s="10"/>
      <c r="AZ16" s="10"/>
      <c r="BA16" s="10"/>
      <c r="BB16" s="10"/>
      <c r="BC16" s="10"/>
      <c r="BD16" s="10"/>
      <c r="BE16" s="10"/>
      <c r="BF16" s="10"/>
      <c r="BG16" s="10"/>
      <c r="BH16" s="10"/>
      <c r="BI16" s="10"/>
      <c r="BJ16" s="10"/>
      <c r="BK16" s="10"/>
      <c r="BL16" s="10"/>
      <c r="BM16" s="10"/>
      <c r="BN16" s="10"/>
      <c r="BO16" s="10"/>
    </row>
    <row r="17" spans="1:67" ht="144" customHeight="1">
      <c r="A17" s="10"/>
      <c r="B17" s="10">
        <v>1121834</v>
      </c>
      <c r="C17" s="11">
        <v>42121</v>
      </c>
      <c r="D17" s="10">
        <v>14</v>
      </c>
      <c r="E17" s="10" t="s">
        <v>310</v>
      </c>
      <c r="F17" s="10" t="b">
        <v>1</v>
      </c>
      <c r="G17" s="10"/>
      <c r="H17" s="10"/>
      <c r="I17" s="10"/>
      <c r="J17" s="10"/>
      <c r="K17" s="10"/>
      <c r="L17" s="10"/>
      <c r="M17" s="10"/>
      <c r="N17" s="10"/>
      <c r="O17" s="10"/>
      <c r="P17" s="10"/>
      <c r="Q17" s="10"/>
      <c r="R17" s="10"/>
      <c r="S17" s="10"/>
      <c r="T17" s="10" t="s">
        <v>487</v>
      </c>
      <c r="U17" s="10"/>
      <c r="V17" s="10" t="s">
        <v>487</v>
      </c>
      <c r="W17" s="10">
        <v>2</v>
      </c>
      <c r="X17" s="10">
        <v>0</v>
      </c>
      <c r="Y17" s="10"/>
      <c r="Z17" s="10"/>
      <c r="AA17" s="10"/>
      <c r="AB17" s="38" t="b">
        <v>0</v>
      </c>
      <c r="AC17" s="38" t="b">
        <v>0</v>
      </c>
      <c r="AD17" s="10" t="s">
        <v>506</v>
      </c>
      <c r="AE17" s="10" t="s">
        <v>520</v>
      </c>
      <c r="AF17" s="10" t="s">
        <v>506</v>
      </c>
      <c r="AG17" s="10" t="s">
        <v>520</v>
      </c>
      <c r="AH17" s="10" t="s">
        <v>530</v>
      </c>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0"/>
      <c r="BM17" s="10"/>
      <c r="BN17" s="10"/>
      <c r="BO17" s="10"/>
    </row>
    <row r="18" spans="1:67" ht="159.94999999999999" customHeight="1">
      <c r="A18" s="10"/>
      <c r="B18" s="10">
        <v>1121834</v>
      </c>
      <c r="C18" s="11">
        <v>42135</v>
      </c>
      <c r="D18" s="10">
        <v>15</v>
      </c>
      <c r="E18" s="10" t="s">
        <v>311</v>
      </c>
      <c r="F18" s="10" t="b">
        <v>1</v>
      </c>
      <c r="G18" s="10"/>
      <c r="H18" s="10"/>
      <c r="I18" s="10"/>
      <c r="J18" s="10"/>
      <c r="K18" s="10"/>
      <c r="L18" s="10"/>
      <c r="M18" s="10"/>
      <c r="N18" s="10"/>
      <c r="O18" s="10"/>
      <c r="P18" s="10"/>
      <c r="Q18" s="10"/>
      <c r="R18" s="10"/>
      <c r="S18" s="10"/>
      <c r="T18" s="10"/>
      <c r="U18" s="10"/>
      <c r="V18" s="10"/>
      <c r="W18" s="10"/>
      <c r="X18" s="10"/>
      <c r="Y18" s="10"/>
      <c r="Z18" s="10"/>
      <c r="AA18" s="10"/>
      <c r="AB18" s="38" t="b">
        <v>0</v>
      </c>
      <c r="AC18" s="38" t="b">
        <v>0</v>
      </c>
      <c r="AD18" s="10"/>
      <c r="AE18" s="10" t="s">
        <v>520</v>
      </c>
      <c r="AF18" s="10"/>
      <c r="AG18" s="10" t="s">
        <v>520</v>
      </c>
      <c r="AH18" s="10" t="s">
        <v>530</v>
      </c>
      <c r="AI18" s="10"/>
      <c r="AJ18" s="10"/>
      <c r="AK18" s="10"/>
      <c r="AL18" s="10"/>
      <c r="AM18" s="10"/>
      <c r="AN18" s="10"/>
      <c r="AO18" s="10"/>
      <c r="AP18" s="10"/>
      <c r="AQ18" s="10"/>
      <c r="AR18" s="10"/>
      <c r="AS18" s="10"/>
      <c r="AT18" s="10"/>
      <c r="AU18" s="10"/>
      <c r="AV18" s="10"/>
      <c r="AW18" s="10"/>
      <c r="AX18" s="10"/>
      <c r="AY18" s="10"/>
      <c r="AZ18" s="10"/>
      <c r="BA18" s="10" t="s">
        <v>583</v>
      </c>
      <c r="BB18" s="10"/>
      <c r="BC18" s="10"/>
      <c r="BD18" s="10"/>
      <c r="BE18" s="10"/>
      <c r="BF18" s="10" t="b">
        <v>1</v>
      </c>
      <c r="BG18" s="10"/>
      <c r="BH18" s="10"/>
      <c r="BI18" s="10"/>
      <c r="BJ18" s="10" t="s">
        <v>597</v>
      </c>
      <c r="BK18" s="10" t="s">
        <v>597</v>
      </c>
      <c r="BL18" s="10"/>
      <c r="BM18" s="10"/>
      <c r="BN18" s="10"/>
      <c r="BO18" s="10"/>
    </row>
    <row r="19" spans="1:67" ht="111.95" customHeight="1">
      <c r="A19" s="10"/>
      <c r="B19" s="10">
        <v>1121834</v>
      </c>
      <c r="C19" s="11">
        <v>42163</v>
      </c>
      <c r="D19" s="10">
        <v>16</v>
      </c>
      <c r="E19" s="10" t="s">
        <v>312</v>
      </c>
      <c r="F19" s="10" t="b">
        <v>1</v>
      </c>
      <c r="G19" s="10"/>
      <c r="H19" s="10"/>
      <c r="I19" s="10"/>
      <c r="J19" s="10"/>
      <c r="K19" s="10"/>
      <c r="L19" s="10"/>
      <c r="M19" s="10"/>
      <c r="N19" s="10"/>
      <c r="O19" s="10"/>
      <c r="P19" s="10"/>
      <c r="Q19" s="10"/>
      <c r="R19" s="10"/>
      <c r="S19" s="10"/>
      <c r="T19" s="10"/>
      <c r="U19" s="10"/>
      <c r="V19" s="10"/>
      <c r="W19" s="10"/>
      <c r="X19" s="10"/>
      <c r="Y19" s="10"/>
      <c r="Z19" s="10"/>
      <c r="AA19" s="10"/>
      <c r="AB19" s="38" t="b">
        <v>0</v>
      </c>
      <c r="AC19" s="38" t="b">
        <v>0</v>
      </c>
      <c r="AD19" s="10"/>
      <c r="AE19" s="10" t="s">
        <v>520</v>
      </c>
      <c r="AF19" s="10"/>
      <c r="AG19" s="10" t="s">
        <v>520</v>
      </c>
      <c r="AH19" s="10" t="s">
        <v>530</v>
      </c>
      <c r="AI19" s="10" t="s">
        <v>540</v>
      </c>
      <c r="AJ19" s="10" t="s">
        <v>558</v>
      </c>
      <c r="AK19" s="10" t="s">
        <v>540</v>
      </c>
      <c r="AL19" s="10" t="s">
        <v>558</v>
      </c>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t="s">
        <v>597</v>
      </c>
      <c r="BK19" s="10" t="s">
        <v>597</v>
      </c>
      <c r="BL19" s="10"/>
      <c r="BM19" s="10"/>
      <c r="BN19" s="10"/>
      <c r="BO19" s="10"/>
    </row>
    <row r="20" spans="1:67" ht="96" customHeight="1">
      <c r="A20" s="10"/>
      <c r="B20" s="10">
        <v>1121834</v>
      </c>
      <c r="C20" s="11">
        <v>42198</v>
      </c>
      <c r="D20" s="10">
        <v>17</v>
      </c>
      <c r="E20" s="10" t="s">
        <v>313</v>
      </c>
      <c r="F20" s="10" t="b">
        <v>1</v>
      </c>
      <c r="G20" s="10"/>
      <c r="H20" s="10"/>
      <c r="I20" s="10"/>
      <c r="J20" s="10"/>
      <c r="K20" s="10"/>
      <c r="L20" s="10"/>
      <c r="M20" s="10"/>
      <c r="N20" s="10"/>
      <c r="O20" s="10"/>
      <c r="P20" s="10"/>
      <c r="Q20" s="10"/>
      <c r="R20" s="10"/>
      <c r="S20" s="10"/>
      <c r="T20" s="10"/>
      <c r="U20" s="10"/>
      <c r="V20" s="10"/>
      <c r="W20" s="10"/>
      <c r="X20" s="10"/>
      <c r="Y20" s="10"/>
      <c r="Z20" s="10"/>
      <c r="AA20" s="10"/>
      <c r="AB20" s="38" t="b">
        <v>0</v>
      </c>
      <c r="AC20" s="38" t="b">
        <v>0</v>
      </c>
      <c r="AD20" s="10"/>
      <c r="AE20" s="10" t="s">
        <v>520</v>
      </c>
      <c r="AF20" s="10"/>
      <c r="AG20" s="10" t="s">
        <v>520</v>
      </c>
      <c r="AH20" s="10" t="s">
        <v>530</v>
      </c>
      <c r="AI20" s="10" t="s">
        <v>540</v>
      </c>
      <c r="AJ20" s="10" t="s">
        <v>558</v>
      </c>
      <c r="AK20" s="10" t="s">
        <v>540</v>
      </c>
      <c r="AL20" s="10" t="s">
        <v>558</v>
      </c>
      <c r="AM20" s="10"/>
      <c r="AN20" s="10"/>
      <c r="AO20" s="10"/>
      <c r="AP20" s="10" t="b">
        <v>1</v>
      </c>
      <c r="AQ20" s="10"/>
      <c r="AR20" s="10"/>
      <c r="AS20" s="10"/>
      <c r="AT20" s="10"/>
      <c r="AU20" s="10"/>
      <c r="AV20" s="10"/>
      <c r="AW20" s="10"/>
      <c r="AX20" s="10"/>
      <c r="AY20" s="10"/>
      <c r="AZ20" s="10"/>
      <c r="BA20" s="10"/>
      <c r="BB20" s="10"/>
      <c r="BC20" s="10"/>
      <c r="BD20" s="10"/>
      <c r="BE20" s="10"/>
      <c r="BF20" s="10"/>
      <c r="BG20" s="10"/>
      <c r="BH20" s="10"/>
      <c r="BI20" s="10"/>
      <c r="BJ20" s="10" t="s">
        <v>597</v>
      </c>
      <c r="BK20" s="10" t="s">
        <v>597</v>
      </c>
      <c r="BL20" s="10"/>
      <c r="BM20" s="10"/>
      <c r="BN20" s="10"/>
      <c r="BO20" s="10"/>
    </row>
    <row r="21" spans="1:67" ht="48" customHeight="1">
      <c r="A21" s="10"/>
      <c r="B21" s="10">
        <v>1121834</v>
      </c>
      <c r="C21" s="11">
        <v>42247</v>
      </c>
      <c r="D21" s="10">
        <v>18</v>
      </c>
      <c r="E21" s="10" t="s">
        <v>314</v>
      </c>
      <c r="F21" s="10" t="b">
        <v>1</v>
      </c>
      <c r="G21" s="10"/>
      <c r="H21" s="10"/>
      <c r="I21" s="10"/>
      <c r="J21" s="10"/>
      <c r="K21" s="10"/>
      <c r="L21" s="10"/>
      <c r="M21" s="10"/>
      <c r="N21" s="10"/>
      <c r="O21" s="10"/>
      <c r="P21" s="10"/>
      <c r="Q21" s="10"/>
      <c r="R21" s="10"/>
      <c r="S21" s="10"/>
      <c r="T21" s="10"/>
      <c r="U21" s="10"/>
      <c r="V21" s="10"/>
      <c r="W21" s="10"/>
      <c r="X21" s="10"/>
      <c r="Y21" s="10"/>
      <c r="Z21" s="10"/>
      <c r="AA21" s="10"/>
      <c r="AB21" s="10" t="b">
        <v>1</v>
      </c>
      <c r="AC21" s="10" t="b">
        <v>1</v>
      </c>
      <c r="AD21" s="10" t="s">
        <v>504</v>
      </c>
      <c r="AE21" s="10" t="s">
        <v>520</v>
      </c>
      <c r="AF21" s="10" t="s">
        <v>507</v>
      </c>
      <c r="AG21" s="10" t="s">
        <v>520</v>
      </c>
      <c r="AH21" s="10"/>
      <c r="AI21" s="10" t="s">
        <v>540</v>
      </c>
      <c r="AJ21" s="10" t="s">
        <v>558</v>
      </c>
      <c r="AK21" s="10" t="s">
        <v>540</v>
      </c>
      <c r="AL21" s="10" t="s">
        <v>558</v>
      </c>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t="s">
        <v>596</v>
      </c>
      <c r="BK21" s="10"/>
      <c r="BL21" s="10"/>
      <c r="BM21" s="10"/>
      <c r="BN21" s="10"/>
      <c r="BO21" s="10"/>
    </row>
    <row r="22" spans="1:67" ht="32.1" customHeight="1">
      <c r="A22" s="10"/>
      <c r="B22" s="10">
        <v>1121834</v>
      </c>
      <c r="C22" s="11">
        <v>42251</v>
      </c>
      <c r="D22" s="10">
        <v>18</v>
      </c>
      <c r="E22" s="10" t="s">
        <v>315</v>
      </c>
      <c r="F22" s="10" t="b">
        <v>1</v>
      </c>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c r="AZ22" s="10"/>
      <c r="BA22" s="10"/>
      <c r="BB22" s="10"/>
      <c r="BC22" s="10"/>
      <c r="BD22" s="10" t="b">
        <v>1</v>
      </c>
      <c r="BE22" s="10" t="s">
        <v>588</v>
      </c>
      <c r="BF22" s="10"/>
      <c r="BG22" s="10"/>
      <c r="BH22" s="10"/>
      <c r="BI22" s="10"/>
      <c r="BJ22" s="10"/>
      <c r="BK22" s="10"/>
      <c r="BL22" s="10"/>
      <c r="BM22" s="10"/>
      <c r="BN22" s="10"/>
      <c r="BO22" s="10"/>
    </row>
    <row r="23" spans="1:67" ht="128.1" customHeight="1">
      <c r="A23" s="10"/>
      <c r="B23" s="10">
        <v>1121834</v>
      </c>
      <c r="C23" s="11">
        <v>42282</v>
      </c>
      <c r="D23" s="10">
        <v>20</v>
      </c>
      <c r="E23" s="10" t="s">
        <v>316</v>
      </c>
      <c r="F23" s="10" t="b">
        <v>1</v>
      </c>
      <c r="G23" s="10"/>
      <c r="H23" s="10"/>
      <c r="I23" s="10"/>
      <c r="J23" s="10"/>
      <c r="K23" s="10"/>
      <c r="L23" s="10"/>
      <c r="M23" s="10"/>
      <c r="N23" s="10"/>
      <c r="O23" s="10"/>
      <c r="P23" s="10"/>
      <c r="Q23" s="10"/>
      <c r="R23" s="10"/>
      <c r="S23" s="10"/>
      <c r="T23" s="10"/>
      <c r="U23" s="10"/>
      <c r="V23" s="10"/>
      <c r="W23" s="10"/>
      <c r="X23" s="10"/>
      <c r="Y23" s="10"/>
      <c r="Z23" s="10"/>
      <c r="AA23" s="10"/>
      <c r="AB23" s="10" t="b">
        <v>1</v>
      </c>
      <c r="AC23" s="10" t="b">
        <v>0</v>
      </c>
      <c r="AD23" s="10" t="s">
        <v>506</v>
      </c>
      <c r="AE23" s="10" t="s">
        <v>520</v>
      </c>
      <c r="AF23" s="10" t="s">
        <v>507</v>
      </c>
      <c r="AG23" s="38" t="s">
        <v>520</v>
      </c>
      <c r="AH23" s="10" t="s">
        <v>530</v>
      </c>
      <c r="AI23" s="10" t="s">
        <v>540</v>
      </c>
      <c r="AJ23" s="10" t="s">
        <v>558</v>
      </c>
      <c r="AK23" s="10" t="s">
        <v>540</v>
      </c>
      <c r="AL23" s="10" t="s">
        <v>558</v>
      </c>
      <c r="AM23" s="10"/>
      <c r="AN23" s="10"/>
      <c r="AO23" s="10"/>
      <c r="AP23" s="10"/>
      <c r="AQ23" s="10"/>
      <c r="AR23" s="10"/>
      <c r="AS23" s="10"/>
      <c r="AT23" s="10"/>
      <c r="AU23" s="10"/>
      <c r="AV23" s="10"/>
      <c r="AW23" s="10"/>
      <c r="AX23" s="10"/>
      <c r="AY23" s="10"/>
      <c r="AZ23" s="10"/>
      <c r="BA23" s="10"/>
      <c r="BB23" s="10" t="s">
        <v>583</v>
      </c>
      <c r="BC23" s="10"/>
      <c r="BD23" s="10"/>
      <c r="BE23" s="10"/>
      <c r="BF23" s="10"/>
      <c r="BG23" s="10"/>
      <c r="BH23" s="10" t="b">
        <v>1</v>
      </c>
      <c r="BI23" s="10" t="b">
        <v>1</v>
      </c>
      <c r="BJ23" s="10"/>
      <c r="BK23" s="10"/>
      <c r="BL23" s="10"/>
      <c r="BM23" s="10"/>
      <c r="BN23" s="10"/>
      <c r="BO23" s="10"/>
    </row>
    <row r="24" spans="1:67" ht="96" customHeight="1">
      <c r="A24" s="10"/>
      <c r="B24" s="10">
        <v>1121834</v>
      </c>
      <c r="C24" s="11">
        <v>42306</v>
      </c>
      <c r="D24" s="10">
        <v>20</v>
      </c>
      <c r="E24" s="10" t="s">
        <v>317</v>
      </c>
      <c r="F24" s="10" t="b">
        <v>1</v>
      </c>
      <c r="G24" s="10" t="b">
        <v>1</v>
      </c>
      <c r="H24" s="10"/>
      <c r="I24" s="10"/>
      <c r="J24" s="10"/>
      <c r="K24" s="10"/>
      <c r="L24" s="10"/>
      <c r="M24" s="10"/>
      <c r="N24" s="10"/>
      <c r="O24" s="10"/>
      <c r="P24" s="10"/>
      <c r="Q24" s="10"/>
      <c r="R24" s="10"/>
      <c r="S24" s="10"/>
      <c r="T24" s="10"/>
      <c r="U24" s="10"/>
      <c r="V24" s="10"/>
      <c r="W24" s="10"/>
      <c r="X24" s="10"/>
      <c r="Y24" s="10"/>
      <c r="Z24" s="10"/>
      <c r="AA24" s="10"/>
      <c r="AB24" s="10" t="b">
        <v>1</v>
      </c>
      <c r="AC24" s="10" t="b">
        <v>0</v>
      </c>
      <c r="AD24" s="10" t="s">
        <v>506</v>
      </c>
      <c r="AE24" s="10" t="s">
        <v>518</v>
      </c>
      <c r="AF24" s="10" t="s">
        <v>507</v>
      </c>
      <c r="AG24" s="38" t="s">
        <v>520</v>
      </c>
      <c r="AH24" s="10" t="s">
        <v>530</v>
      </c>
      <c r="AI24" s="10" t="s">
        <v>540</v>
      </c>
      <c r="AJ24" s="10" t="s">
        <v>558</v>
      </c>
      <c r="AK24" s="10" t="s">
        <v>540</v>
      </c>
      <c r="AL24" s="10" t="s">
        <v>558</v>
      </c>
      <c r="AM24" s="10"/>
      <c r="AN24" s="10"/>
      <c r="AO24" s="10"/>
      <c r="AP24" s="10"/>
      <c r="AQ24" s="10"/>
      <c r="AR24" s="10"/>
      <c r="AS24" s="10"/>
      <c r="AT24" s="10"/>
      <c r="AU24" s="10"/>
      <c r="AV24" s="10"/>
      <c r="AW24" s="10"/>
      <c r="AX24" s="10"/>
      <c r="AY24" s="10"/>
      <c r="AZ24" s="10"/>
      <c r="BA24" s="10"/>
      <c r="BB24" s="10" t="s">
        <v>583</v>
      </c>
      <c r="BC24" s="10"/>
      <c r="BD24" s="10"/>
      <c r="BE24" s="10"/>
      <c r="BF24" s="10"/>
      <c r="BG24" s="10"/>
      <c r="BH24" s="10"/>
      <c r="BI24" s="10"/>
      <c r="BJ24" s="10"/>
      <c r="BK24" s="10"/>
      <c r="BL24" s="10"/>
      <c r="BM24" s="10"/>
      <c r="BN24" s="10"/>
      <c r="BO24" s="10"/>
    </row>
    <row r="25" spans="1:67" ht="96" customHeight="1">
      <c r="A25" s="10"/>
      <c r="B25" s="10">
        <v>1121834</v>
      </c>
      <c r="C25" s="11">
        <v>42341</v>
      </c>
      <c r="D25" s="10">
        <v>21</v>
      </c>
      <c r="E25" s="10" t="s">
        <v>318</v>
      </c>
      <c r="F25" s="10" t="b">
        <v>1</v>
      </c>
      <c r="G25" s="10"/>
      <c r="H25" s="10"/>
      <c r="I25" s="10"/>
      <c r="J25" s="10"/>
      <c r="K25" s="10"/>
      <c r="L25" s="10"/>
      <c r="M25" s="10"/>
      <c r="N25" s="10"/>
      <c r="O25" s="10"/>
      <c r="P25" s="10"/>
      <c r="Q25" s="10"/>
      <c r="R25" s="10"/>
      <c r="S25" s="10"/>
      <c r="T25" s="10"/>
      <c r="U25" s="10"/>
      <c r="V25" s="10"/>
      <c r="W25" s="10"/>
      <c r="X25" s="10"/>
      <c r="Y25" s="10"/>
      <c r="Z25" s="10"/>
      <c r="AA25" s="10"/>
      <c r="AB25" s="10" t="b">
        <v>0</v>
      </c>
      <c r="AC25" s="10" t="b">
        <v>0</v>
      </c>
      <c r="AD25" s="10" t="s">
        <v>506</v>
      </c>
      <c r="AE25" s="10" t="s">
        <v>518</v>
      </c>
      <c r="AF25" s="10" t="s">
        <v>507</v>
      </c>
      <c r="AG25" s="38" t="s">
        <v>520</v>
      </c>
      <c r="AH25" s="10" t="s">
        <v>530</v>
      </c>
      <c r="AI25" s="10" t="s">
        <v>540</v>
      </c>
      <c r="AJ25" s="10" t="s">
        <v>558</v>
      </c>
      <c r="AK25" s="10" t="s">
        <v>540</v>
      </c>
      <c r="AL25" s="10" t="s">
        <v>558</v>
      </c>
      <c r="AM25" s="10"/>
      <c r="AN25" s="10"/>
      <c r="AO25" s="10"/>
      <c r="AP25" s="10"/>
      <c r="AQ25" s="10"/>
      <c r="AR25" s="10"/>
      <c r="AS25" s="10"/>
      <c r="AT25" s="10"/>
      <c r="AU25" s="10"/>
      <c r="AV25" s="10"/>
      <c r="AW25" s="10"/>
      <c r="AX25" s="10"/>
      <c r="AY25" s="10"/>
      <c r="AZ25" s="10"/>
      <c r="BA25" s="10"/>
      <c r="BB25" s="10"/>
      <c r="BC25" s="10"/>
      <c r="BD25" s="10"/>
      <c r="BE25" s="10"/>
      <c r="BF25" s="10"/>
      <c r="BG25" s="10"/>
      <c r="BH25" s="10" t="b">
        <v>1</v>
      </c>
      <c r="BI25" s="10" t="b">
        <v>1</v>
      </c>
      <c r="BJ25" s="10"/>
      <c r="BK25" s="10"/>
      <c r="BL25" s="10"/>
      <c r="BM25" s="10"/>
      <c r="BN25" s="10"/>
      <c r="BO25" s="10"/>
    </row>
    <row r="26" spans="1:67" ht="32.1" customHeight="1">
      <c r="A26" s="10"/>
      <c r="B26" s="10">
        <v>1121834</v>
      </c>
      <c r="C26" s="11">
        <v>42353</v>
      </c>
      <c r="D26" s="10">
        <v>22</v>
      </c>
      <c r="E26" s="10" t="s">
        <v>319</v>
      </c>
      <c r="F26" s="10" t="b">
        <v>1</v>
      </c>
      <c r="G26" s="10" t="b">
        <v>1</v>
      </c>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0" t="b">
        <v>1</v>
      </c>
      <c r="BM26" s="10" t="b">
        <v>1</v>
      </c>
      <c r="BN26" s="10"/>
      <c r="BO26" s="10"/>
    </row>
    <row r="27" spans="1:67" ht="48" customHeight="1">
      <c r="A27" s="10"/>
      <c r="B27" s="10">
        <v>1121834</v>
      </c>
      <c r="C27" s="11">
        <v>42356</v>
      </c>
      <c r="D27" s="10">
        <v>22</v>
      </c>
      <c r="E27" s="10" t="s">
        <v>320</v>
      </c>
      <c r="F27" s="10" t="b">
        <v>1</v>
      </c>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t="s">
        <v>457</v>
      </c>
      <c r="BH27" s="10"/>
      <c r="BI27" s="10"/>
      <c r="BJ27" s="10"/>
      <c r="BK27" s="10"/>
      <c r="BL27" s="10"/>
      <c r="BM27" s="10"/>
      <c r="BN27" s="10"/>
      <c r="BO27" s="10"/>
    </row>
    <row r="28" spans="1:67" ht="48" customHeight="1">
      <c r="A28" s="10"/>
      <c r="B28" s="10">
        <v>1121834</v>
      </c>
      <c r="C28" s="11">
        <v>42383</v>
      </c>
      <c r="D28" s="10">
        <v>23</v>
      </c>
      <c r="E28" s="10" t="s">
        <v>321</v>
      </c>
      <c r="F28" s="10" t="b">
        <v>1</v>
      </c>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c r="BI28" s="10"/>
      <c r="BJ28" s="10"/>
      <c r="BK28" s="10"/>
      <c r="BL28" s="10"/>
      <c r="BM28" s="10"/>
      <c r="BN28" s="10" t="b">
        <v>1</v>
      </c>
      <c r="BO28" s="10"/>
    </row>
    <row r="29" spans="1:67" ht="48" customHeight="1">
      <c r="A29" s="10"/>
      <c r="B29" s="10">
        <v>1121834</v>
      </c>
      <c r="C29" s="11">
        <v>42401</v>
      </c>
      <c r="D29" s="10">
        <v>23</v>
      </c>
      <c r="E29" s="10" t="s">
        <v>322</v>
      </c>
      <c r="F29" s="10" t="b">
        <v>1</v>
      </c>
      <c r="G29" s="10" t="b">
        <v>1</v>
      </c>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10"/>
      <c r="BI29" s="10"/>
      <c r="BJ29" s="10"/>
      <c r="BK29" s="10"/>
      <c r="BL29" s="10"/>
      <c r="BM29" s="10"/>
      <c r="BN29" s="10"/>
      <c r="BO29" s="10"/>
    </row>
    <row r="30" spans="1:67" ht="48" customHeight="1">
      <c r="A30" s="10"/>
      <c r="B30" s="10">
        <v>1121834</v>
      </c>
      <c r="C30" s="11">
        <v>42409</v>
      </c>
      <c r="D30" s="10">
        <v>24</v>
      </c>
      <c r="E30" s="10" t="s">
        <v>323</v>
      </c>
      <c r="F30" s="10" t="b">
        <v>1</v>
      </c>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t="s">
        <v>457</v>
      </c>
      <c r="BH30" s="10"/>
      <c r="BI30" s="10"/>
      <c r="BJ30" s="10"/>
      <c r="BK30" s="10"/>
      <c r="BL30" s="10"/>
      <c r="BM30" s="10"/>
      <c r="BN30" s="10"/>
      <c r="BO30" s="10"/>
    </row>
    <row r="31" spans="1:67" ht="63.95" customHeight="1">
      <c r="A31" s="10"/>
      <c r="B31" s="10">
        <v>1121834</v>
      </c>
      <c r="C31" s="11">
        <v>42534</v>
      </c>
      <c r="D31" s="10">
        <v>28</v>
      </c>
      <c r="E31" s="10" t="s">
        <v>324</v>
      </c>
      <c r="F31" s="10" t="b">
        <v>1</v>
      </c>
      <c r="G31" s="10"/>
      <c r="H31" s="10"/>
      <c r="I31" s="10"/>
      <c r="J31" s="10"/>
      <c r="K31" s="10"/>
      <c r="L31" s="10"/>
      <c r="M31" s="10"/>
      <c r="N31" s="10"/>
      <c r="O31" s="10"/>
      <c r="P31" s="10"/>
      <c r="Q31" s="10"/>
      <c r="R31" s="10"/>
      <c r="S31" s="10"/>
      <c r="T31" s="10"/>
      <c r="U31" s="10"/>
      <c r="V31" s="10"/>
      <c r="W31" s="10"/>
      <c r="X31" s="10"/>
      <c r="Y31" s="10"/>
      <c r="Z31" s="10"/>
      <c r="AA31" s="10"/>
      <c r="AB31" s="10"/>
      <c r="AC31" s="10"/>
      <c r="AD31" s="10"/>
      <c r="AE31" s="10"/>
      <c r="AF31" s="10"/>
      <c r="AG31" s="10"/>
      <c r="AH31" s="10"/>
      <c r="AI31" s="10"/>
      <c r="AJ31" s="10"/>
      <c r="AK31" s="10"/>
      <c r="AL31" s="10"/>
      <c r="AM31" s="10"/>
      <c r="AN31" s="10"/>
      <c r="AO31" s="10"/>
      <c r="AP31" s="10"/>
      <c r="AQ31" s="10"/>
      <c r="AR31" s="10"/>
      <c r="AS31" s="10"/>
      <c r="AT31" s="10"/>
      <c r="AU31" s="10"/>
      <c r="AV31" s="10"/>
      <c r="AW31" s="10"/>
      <c r="AX31" s="10"/>
      <c r="AY31" s="10"/>
      <c r="AZ31" s="10"/>
      <c r="BA31" s="10"/>
      <c r="BB31" s="10"/>
      <c r="BC31" s="10"/>
      <c r="BD31" s="10"/>
      <c r="BE31" s="10"/>
      <c r="BF31" s="10"/>
      <c r="BG31" s="10"/>
      <c r="BH31" s="10"/>
      <c r="BI31" s="10"/>
      <c r="BJ31" s="10"/>
      <c r="BK31" s="10"/>
      <c r="BL31" s="10"/>
      <c r="BM31" s="10"/>
      <c r="BN31" s="10" t="b">
        <v>1</v>
      </c>
      <c r="BO31" s="10"/>
    </row>
    <row r="32" spans="1:67" ht="32.1" customHeight="1">
      <c r="A32" s="10"/>
      <c r="B32" s="10">
        <v>1121834</v>
      </c>
      <c r="C32" s="11">
        <v>42537</v>
      </c>
      <c r="D32" s="10">
        <v>28</v>
      </c>
      <c r="E32" s="10" t="s">
        <v>325</v>
      </c>
      <c r="F32" s="10" t="b">
        <v>1</v>
      </c>
      <c r="G32" s="10" t="b">
        <v>1</v>
      </c>
      <c r="H32" s="10"/>
      <c r="I32" s="10"/>
      <c r="J32" s="10"/>
      <c r="K32" s="10"/>
      <c r="L32" s="10"/>
      <c r="M32" s="10"/>
      <c r="N32" s="10"/>
      <c r="O32" s="10"/>
      <c r="P32" s="10"/>
      <c r="Q32" s="10"/>
      <c r="R32" s="10"/>
      <c r="S32" s="10"/>
      <c r="T32" s="10"/>
      <c r="U32" s="10"/>
      <c r="V32" s="10"/>
      <c r="W32" s="10"/>
      <c r="X32" s="10"/>
      <c r="Y32" s="10"/>
      <c r="Z32" s="10"/>
      <c r="AA32" s="10"/>
      <c r="AB32" s="10"/>
      <c r="AC32" s="10"/>
      <c r="AD32" s="10"/>
      <c r="AE32" s="10"/>
      <c r="AF32" s="10"/>
      <c r="AG32" s="10"/>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row>
    <row r="33" spans="1:67" ht="48" customHeight="1">
      <c r="A33" s="10"/>
      <c r="B33" s="10">
        <v>1121834</v>
      </c>
      <c r="C33" s="11">
        <v>42570</v>
      </c>
      <c r="D33" s="10">
        <v>29</v>
      </c>
      <c r="E33" s="10" t="s">
        <v>326</v>
      </c>
      <c r="F33" s="10" t="b">
        <v>1</v>
      </c>
      <c r="G33" s="10" t="b">
        <v>1</v>
      </c>
      <c r="H33" s="10"/>
      <c r="I33" s="10"/>
      <c r="J33" s="10"/>
      <c r="K33" s="10"/>
      <c r="L33" s="10"/>
      <c r="M33" s="10"/>
      <c r="N33" s="10"/>
      <c r="O33" s="10"/>
      <c r="P33" s="10"/>
      <c r="Q33" s="10"/>
      <c r="R33" s="10"/>
      <c r="S33" s="10"/>
      <c r="T33" s="10"/>
      <c r="U33" s="10"/>
      <c r="V33" s="10"/>
      <c r="W33" s="10"/>
      <c r="X33" s="10"/>
      <c r="Y33" s="10"/>
      <c r="Z33" s="10"/>
      <c r="AA33" s="10"/>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10" t="s">
        <v>457</v>
      </c>
      <c r="BH33" s="10"/>
      <c r="BI33" s="10"/>
      <c r="BJ33" s="10"/>
      <c r="BK33" s="10"/>
      <c r="BL33" s="10"/>
      <c r="BM33" s="10"/>
      <c r="BN33" s="10"/>
      <c r="BO33" s="10"/>
    </row>
    <row r="34" spans="1:67" ht="48" customHeight="1">
      <c r="A34" s="10"/>
      <c r="B34" s="10">
        <v>1121834</v>
      </c>
      <c r="C34" s="11">
        <v>42577</v>
      </c>
      <c r="D34" s="10">
        <v>29</v>
      </c>
      <c r="E34" s="10" t="s">
        <v>327</v>
      </c>
      <c r="F34" s="10" t="b">
        <v>1</v>
      </c>
      <c r="G34" s="10"/>
      <c r="H34" s="10"/>
      <c r="I34" s="10"/>
      <c r="J34" s="10"/>
      <c r="K34" s="10"/>
      <c r="L34" s="10"/>
      <c r="M34" s="10"/>
      <c r="N34" s="10"/>
      <c r="O34" s="10"/>
      <c r="P34" s="10"/>
      <c r="Q34" s="10"/>
      <c r="R34" s="10"/>
      <c r="S34" s="10"/>
      <c r="T34" s="10"/>
      <c r="U34" s="10"/>
      <c r="V34" s="10"/>
      <c r="W34" s="10"/>
      <c r="X34" s="10"/>
      <c r="Y34" s="10"/>
      <c r="Z34" s="10"/>
      <c r="AA34" s="10"/>
      <c r="AB34" s="10"/>
      <c r="AC34" s="10"/>
      <c r="AD34" s="10"/>
      <c r="AE34" s="10"/>
      <c r="AF34" s="10"/>
      <c r="AG34" s="10"/>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10" t="s">
        <v>457</v>
      </c>
      <c r="BH34" s="10"/>
      <c r="BI34" s="10"/>
      <c r="BJ34" s="10"/>
      <c r="BK34" s="10"/>
      <c r="BL34" s="10"/>
      <c r="BM34" s="10"/>
      <c r="BN34" s="10"/>
      <c r="BO34" s="10"/>
    </row>
    <row r="35" spans="1:67" ht="48" customHeight="1">
      <c r="A35" s="10"/>
      <c r="B35" s="10">
        <v>1121834</v>
      </c>
      <c r="C35" s="11">
        <v>42619</v>
      </c>
      <c r="D35" s="10">
        <v>31</v>
      </c>
      <c r="E35" s="10" t="s">
        <v>328</v>
      </c>
      <c r="F35" s="10" t="b">
        <v>1</v>
      </c>
      <c r="G35" s="10"/>
      <c r="H35" s="10"/>
      <c r="I35" s="10"/>
      <c r="J35" s="10"/>
      <c r="K35" s="10"/>
      <c r="L35" s="10"/>
      <c r="M35" s="10"/>
      <c r="N35" s="10"/>
      <c r="O35" s="10"/>
      <c r="P35" s="10"/>
      <c r="Q35" s="10"/>
      <c r="R35" s="10"/>
      <c r="S35" s="10"/>
      <c r="T35" s="10"/>
      <c r="U35" s="10"/>
      <c r="V35" s="10"/>
      <c r="W35" s="10"/>
      <c r="X35" s="10"/>
      <c r="Y35" s="10"/>
      <c r="Z35" s="10"/>
      <c r="AA35" s="10"/>
      <c r="AB35" s="10"/>
      <c r="AC35" s="10"/>
      <c r="AD35" s="10"/>
      <c r="AE35" s="10"/>
      <c r="AF35" s="10"/>
      <c r="AG35" s="10"/>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10"/>
      <c r="BH35" s="10"/>
      <c r="BI35" s="10"/>
      <c r="BJ35" s="10"/>
      <c r="BK35" s="10"/>
      <c r="BL35" s="10"/>
      <c r="BM35" s="10"/>
      <c r="BN35" s="10" t="b">
        <v>1</v>
      </c>
      <c r="BO35" s="10"/>
    </row>
  </sheetData>
  <dataValidations count="1">
    <dataValidation allowBlank="1" showInputMessage="1" showErrorMessage="1" sqref="X2 X13 W17:X17" xr:uid="{63DAAEF1-2608-46E2-9C59-9E2604D558B9}"/>
  </dataValidations>
  <pageMargins left="0.75" right="0.75" top="1" bottom="1" header="0.5" footer="0.5"/>
  <tableParts count="1">
    <tablePart r:id="rId1"/>
  </tableParts>
  <extLst>
    <ext xmlns:x14="http://schemas.microsoft.com/office/spreadsheetml/2009/9/main" uri="{CCE6A557-97BC-4b89-ADB6-D9C93CAAB3DF}">
      <x14:dataValidations xmlns:xm="http://schemas.microsoft.com/office/excel/2006/main" count="60">
        <x14:dataValidation type="list" allowBlank="1" showInputMessage="1" showErrorMessage="1" xr:uid="{00000000-0002-0000-0600-000000000000}">
          <x14:formula1>
            <xm:f>list!$B$2:$C$2</xm:f>
          </x14:formula1>
          <xm:sqref>G6:G1048576</xm:sqref>
        </x14:dataValidation>
        <x14:dataValidation type="list" allowBlank="1" showInputMessage="1" showErrorMessage="1" xr:uid="{00000000-0002-0000-0600-000001000000}">
          <x14:formula1>
            <xm:f>list!$B$6:$C$6</xm:f>
          </x14:formula1>
          <xm:sqref>H2:H1048576</xm:sqref>
        </x14:dataValidation>
        <x14:dataValidation type="list" allowBlank="1" showInputMessage="1" showErrorMessage="1" xr:uid="{00000000-0002-0000-0600-000002000000}">
          <x14:formula1>
            <xm:f>list!$B$7:$C$7</xm:f>
          </x14:formula1>
          <xm:sqref>I2:I1048576</xm:sqref>
        </x14:dataValidation>
        <x14:dataValidation type="list" allowBlank="1" showInputMessage="1" showErrorMessage="1" xr:uid="{00000000-0002-0000-0600-000003000000}">
          <x14:formula1>
            <xm:f>list!$B$8:$C$8</xm:f>
          </x14:formula1>
          <xm:sqref>J2:J1048576</xm:sqref>
        </x14:dataValidation>
        <x14:dataValidation type="list" allowBlank="1" showInputMessage="1" showErrorMessage="1" xr:uid="{00000000-0002-0000-0600-000004000000}">
          <x14:formula1>
            <xm:f>list!$B$9:$C$9</xm:f>
          </x14:formula1>
          <xm:sqref>K2:K1048576</xm:sqref>
        </x14:dataValidation>
        <x14:dataValidation type="list" allowBlank="1" showInputMessage="1" showErrorMessage="1" xr:uid="{00000000-0002-0000-0600-000005000000}">
          <x14:formula1>
            <xm:f>list!$B$33:$K$33</xm:f>
          </x14:formula1>
          <xm:sqref>L2:L1048576</xm:sqref>
        </x14:dataValidation>
        <x14:dataValidation type="list" allowBlank="1" showInputMessage="1" showErrorMessage="1" xr:uid="{00000000-0002-0000-0600-000006000000}">
          <x14:formula1>
            <xm:f>list!$B$10:$C$10</xm:f>
          </x14:formula1>
          <xm:sqref>M2:M1048576</xm:sqref>
        </x14:dataValidation>
        <x14:dataValidation type="list" allowBlank="1" showInputMessage="1" showErrorMessage="1" xr:uid="{00000000-0002-0000-0600-000007000000}">
          <x14:formula1>
            <xm:f>list!$B$12:$C$12</xm:f>
          </x14:formula1>
          <xm:sqref>N2:N1048576</xm:sqref>
        </x14:dataValidation>
        <x14:dataValidation type="list" allowBlank="1" showInputMessage="1" showErrorMessage="1" xr:uid="{00000000-0002-0000-0600-000008000000}">
          <x14:formula1>
            <xm:f>list!$B$13:$C$13</xm:f>
          </x14:formula1>
          <xm:sqref>O2:O1048576</xm:sqref>
        </x14:dataValidation>
        <x14:dataValidation type="list" allowBlank="1" showInputMessage="1" showErrorMessage="1" xr:uid="{00000000-0002-0000-0600-000009000000}">
          <x14:formula1>
            <xm:f>list!$B$15:$C$15</xm:f>
          </x14:formula1>
          <xm:sqref>P2:P1048576</xm:sqref>
        </x14:dataValidation>
        <x14:dataValidation type="list" allowBlank="1" showInputMessage="1" showErrorMessage="1" xr:uid="{00000000-0002-0000-0600-00000A000000}">
          <x14:formula1>
            <xm:f>list!$B$19:$D$19</xm:f>
          </x14:formula1>
          <xm:sqref>Q2:Q1048576</xm:sqref>
        </x14:dataValidation>
        <x14:dataValidation type="list" allowBlank="1" showInputMessage="1" showErrorMessage="1" xr:uid="{00000000-0002-0000-0600-00000B000000}">
          <x14:formula1>
            <xm:f>list!$B$20:$I$20</xm:f>
          </x14:formula1>
          <xm:sqref>R2:R1048576</xm:sqref>
        </x14:dataValidation>
        <x14:dataValidation type="list" allowBlank="1" showInputMessage="1" showErrorMessage="1" xr:uid="{00000000-0002-0000-0600-00000C000000}">
          <x14:formula1>
            <xm:f>list!$B$21:$M$21</xm:f>
          </x14:formula1>
          <xm:sqref>S2:S1048576 T2:V2</xm:sqref>
        </x14:dataValidation>
        <x14:dataValidation type="list" allowBlank="1" showInputMessage="1" showErrorMessage="1" xr:uid="{00000000-0002-0000-0600-00000D000000}">
          <x14:formula1>
            <xm:f>list!$B$22:$M$22</xm:f>
          </x14:formula1>
          <xm:sqref>T3:T1048576</xm:sqref>
        </x14:dataValidation>
        <x14:dataValidation type="list" allowBlank="1" showInputMessage="1" showErrorMessage="1" xr:uid="{00000000-0002-0000-0600-00000E000000}">
          <x14:formula1>
            <xm:f>list!$B$23:$M$23</xm:f>
          </x14:formula1>
          <xm:sqref>U3:U1048576</xm:sqref>
        </x14:dataValidation>
        <x14:dataValidation type="list" allowBlank="1" showInputMessage="1" showErrorMessage="1" xr:uid="{00000000-0002-0000-0600-00000F000000}">
          <x14:formula1>
            <xm:f>list!$B$24:$M$24</xm:f>
          </x14:formula1>
          <xm:sqref>V3:V1048576</xm:sqref>
        </x14:dataValidation>
        <x14:dataValidation type="list" allowBlank="1" showInputMessage="1" showErrorMessage="1" xr:uid="{00000000-0002-0000-0600-000010000000}">
          <x14:formula1>
            <xm:f>list!$B$25:$E$25</xm:f>
          </x14:formula1>
          <xm:sqref>W2:W16 W18:W1048576</xm:sqref>
        </x14:dataValidation>
        <x14:dataValidation type="list" allowBlank="1" showInputMessage="1" showErrorMessage="1" xr:uid="{00000000-0002-0000-0600-000011000000}">
          <x14:formula1>
            <xm:f>list!$B$26:$E$26</xm:f>
          </x14:formula1>
          <xm:sqref>X3:X12 X14:X16 X18:X1048576</xm:sqref>
        </x14:dataValidation>
        <x14:dataValidation type="list" allowBlank="1" showInputMessage="1" showErrorMessage="1" xr:uid="{00000000-0002-0000-0600-000012000000}">
          <x14:formula1>
            <xm:f>list!$B$29:$C$29</xm:f>
          </x14:formula1>
          <xm:sqref>Y2:Y1048576</xm:sqref>
        </x14:dataValidation>
        <x14:dataValidation type="list" allowBlank="1" showInputMessage="1" showErrorMessage="1" xr:uid="{00000000-0002-0000-0600-000013000000}">
          <x14:formula1>
            <xm:f>list!$B$27:$C$27</xm:f>
          </x14:formula1>
          <xm:sqref>Z2:Z1048576</xm:sqref>
        </x14:dataValidation>
        <x14:dataValidation type="list" allowBlank="1" showInputMessage="1" showErrorMessage="1" xr:uid="{00000000-0002-0000-0600-000014000000}">
          <x14:formula1>
            <xm:f>list!$B$32:$C$32</xm:f>
          </x14:formula1>
          <xm:sqref>AA2:AA1048576</xm:sqref>
        </x14:dataValidation>
        <x14:dataValidation type="list" allowBlank="1" showInputMessage="1" showErrorMessage="1" xr:uid="{00000000-0002-0000-0600-000015000000}">
          <x14:formula1>
            <xm:f>list!$B$34:$C$34</xm:f>
          </x14:formula1>
          <xm:sqref>AB2:AB8 AB15 AB21:AB1048576</xm:sqref>
        </x14:dataValidation>
        <x14:dataValidation type="list" allowBlank="1" showInputMessage="1" showErrorMessage="1" xr:uid="{00000000-0002-0000-0600-000016000000}">
          <x14:formula1>
            <xm:f>list!$B$35:$C$35</xm:f>
          </x14:formula1>
          <xm:sqref>AC2:AC8 AC15 AC21:AC1048576</xm:sqref>
        </x14:dataValidation>
        <x14:dataValidation type="list" allowBlank="1" showInputMessage="1" showErrorMessage="1" xr:uid="{00000000-0002-0000-0600-000017000000}">
          <x14:formula1>
            <xm:f>list!$B$36:$G$36</xm:f>
          </x14:formula1>
          <xm:sqref>AD2:AD3 AD14:AD22 AD26:AD1048576</xm:sqref>
        </x14:dataValidation>
        <x14:dataValidation type="list" allowBlank="1" showInputMessage="1" showErrorMessage="1" xr:uid="{00000000-0002-0000-0600-000018000000}">
          <x14:formula1>
            <xm:f>list!$B$37:$U$37</xm:f>
          </x14:formula1>
          <xm:sqref>AE2:AE3 AE14:AE22 AE26:AE1048576</xm:sqref>
        </x14:dataValidation>
        <x14:dataValidation type="list" allowBlank="1" showInputMessage="1" showErrorMessage="1" xr:uid="{00000000-0002-0000-0600-000019000000}">
          <x14:formula1>
            <xm:f>list!$B$38:$G$38</xm:f>
          </x14:formula1>
          <xm:sqref>AF2:AF7 AF14 AF16:AF17 AF21:AF22 AF26:AF1048576</xm:sqref>
        </x14:dataValidation>
        <x14:dataValidation type="list" allowBlank="1" showInputMessage="1" showErrorMessage="1" xr:uid="{00000000-0002-0000-0600-00001A000000}">
          <x14:formula1>
            <xm:f>list!$B$39:$U$39</xm:f>
          </x14:formula1>
          <xm:sqref>AG2:AG7 AG14 AF18:AG20 AG16:AG17 AG21:AG22 AG26:AG1048576</xm:sqref>
        </x14:dataValidation>
        <x14:dataValidation type="list" allowBlank="1" showInputMessage="1" showErrorMessage="1" xr:uid="{00000000-0002-0000-0600-00001B000000}">
          <x14:formula1>
            <xm:f>list!$B$40:$I$40</xm:f>
          </x14:formula1>
          <xm:sqref>AH2:AH11 AH14:AH22 AH26:AH1048576</xm:sqref>
        </x14:dataValidation>
        <x14:dataValidation type="list" allowBlank="1" showInputMessage="1" showErrorMessage="1" xr:uid="{00000000-0002-0000-0600-00001C000000}">
          <x14:formula1>
            <xm:f>list!$B$41:$H$41</xm:f>
          </x14:formula1>
          <xm:sqref>AK11:AK13 AI2:AI1048576</xm:sqref>
        </x14:dataValidation>
        <x14:dataValidation type="list" allowBlank="1" showInputMessage="1" showErrorMessage="1" xr:uid="{00000000-0002-0000-0600-00001D000000}">
          <x14:formula1>
            <xm:f>list!$B$42:$Z$42</xm:f>
          </x14:formula1>
          <xm:sqref>AL11:AL13 AJ2:AJ1048576</xm:sqref>
        </x14:dataValidation>
        <x14:dataValidation type="list" allowBlank="1" showInputMessage="1" showErrorMessage="1" xr:uid="{00000000-0002-0000-0600-00001E000000}">
          <x14:formula1>
            <xm:f>list!$B$43:$H$43</xm:f>
          </x14:formula1>
          <xm:sqref>AK2:AK10 AK14:AK1048576</xm:sqref>
        </x14:dataValidation>
        <x14:dataValidation type="list" allowBlank="1" showInputMessage="1" showErrorMessage="1" xr:uid="{00000000-0002-0000-0600-00001F000000}">
          <x14:formula1>
            <xm:f>list!$B$44:$Z$44</xm:f>
          </x14:formula1>
          <xm:sqref>AL2:AL10 AL14:AL1048576</xm:sqref>
        </x14:dataValidation>
        <x14:dataValidation type="list" allowBlank="1" showInputMessage="1" showErrorMessage="1" xr:uid="{00000000-0002-0000-0600-000020000000}">
          <x14:formula1>
            <xm:f>list!$B$49:$Q$49</xm:f>
          </x14:formula1>
          <xm:sqref>AM2:AM1048576</xm:sqref>
        </x14:dataValidation>
        <x14:dataValidation type="list" allowBlank="1" showInputMessage="1" showErrorMessage="1" xr:uid="{00000000-0002-0000-0600-000021000000}">
          <x14:formula1>
            <xm:f>list!$B$50:$C$50</xm:f>
          </x14:formula1>
          <xm:sqref>AN2:AN1048576</xm:sqref>
        </x14:dataValidation>
        <x14:dataValidation type="list" allowBlank="1" showInputMessage="1" showErrorMessage="1" xr:uid="{00000000-0002-0000-0600-000022000000}">
          <x14:formula1>
            <xm:f>list!$B$51:$C$51</xm:f>
          </x14:formula1>
          <xm:sqref>AO2:AO1048576</xm:sqref>
        </x14:dataValidation>
        <x14:dataValidation type="list" allowBlank="1" showInputMessage="1" showErrorMessage="1" xr:uid="{00000000-0002-0000-0600-000023000000}">
          <x14:formula1>
            <xm:f>list!$B$52:$C$52</xm:f>
          </x14:formula1>
          <xm:sqref>AP2:AP1048576</xm:sqref>
        </x14:dataValidation>
        <x14:dataValidation type="list" allowBlank="1" showInputMessage="1" showErrorMessage="1" xr:uid="{00000000-0002-0000-0600-000024000000}">
          <x14:formula1>
            <xm:f>list!$B$53:$C$53</xm:f>
          </x14:formula1>
          <xm:sqref>AQ2:AQ1048576</xm:sqref>
        </x14:dataValidation>
        <x14:dataValidation type="list" allowBlank="1" showInputMessage="1" showErrorMessage="1" xr:uid="{00000000-0002-0000-0600-000025000000}">
          <x14:formula1>
            <xm:f>list!$B$54:$C$54</xm:f>
          </x14:formula1>
          <xm:sqref>AR2:AR1048576</xm:sqref>
        </x14:dataValidation>
        <x14:dataValidation type="list" allowBlank="1" showInputMessage="1" showErrorMessage="1" xr:uid="{00000000-0002-0000-0600-000026000000}">
          <x14:formula1>
            <xm:f>list!$B$55:$C$55</xm:f>
          </x14:formula1>
          <xm:sqref>AS2:AS1048576</xm:sqref>
        </x14:dataValidation>
        <x14:dataValidation type="list" allowBlank="1" showInputMessage="1" showErrorMessage="1" xr:uid="{00000000-0002-0000-0600-000027000000}">
          <x14:formula1>
            <xm:f>list!$B$56:$C$56</xm:f>
          </x14:formula1>
          <xm:sqref>AT2:AT1048576</xm:sqref>
        </x14:dataValidation>
        <x14:dataValidation type="list" allowBlank="1" showInputMessage="1" showErrorMessage="1" xr:uid="{00000000-0002-0000-0600-000028000000}">
          <x14:formula1>
            <xm:f>list!$B$57:$C$57</xm:f>
          </x14:formula1>
          <xm:sqref>AU2:AU1048576</xm:sqref>
        </x14:dataValidation>
        <x14:dataValidation type="list" allowBlank="1" showInputMessage="1" showErrorMessage="1" xr:uid="{00000000-0002-0000-0600-000029000000}">
          <x14:formula1>
            <xm:f>list!$B$58:$C$58</xm:f>
          </x14:formula1>
          <xm:sqref>AV2:AV1048576</xm:sqref>
        </x14:dataValidation>
        <x14:dataValidation type="list" allowBlank="1" showInputMessage="1" showErrorMessage="1" xr:uid="{00000000-0002-0000-0600-00002A000000}">
          <x14:formula1>
            <xm:f>list!$B$59:$C$59</xm:f>
          </x14:formula1>
          <xm:sqref>AW2:AW1048576</xm:sqref>
        </x14:dataValidation>
        <x14:dataValidation type="list" allowBlank="1" showInputMessage="1" showErrorMessage="1" xr:uid="{00000000-0002-0000-0600-00002B000000}">
          <x14:formula1>
            <xm:f>list!$B$60:$C$60</xm:f>
          </x14:formula1>
          <xm:sqref>AX2:AX1048576</xm:sqref>
        </x14:dataValidation>
        <x14:dataValidation type="list" allowBlank="1" showInputMessage="1" showErrorMessage="1" xr:uid="{00000000-0002-0000-0600-00002C000000}">
          <x14:formula1>
            <xm:f>list!$B$61:$C$61</xm:f>
          </x14:formula1>
          <xm:sqref>AY2:AY1048576</xm:sqref>
        </x14:dataValidation>
        <x14:dataValidation type="list" allowBlank="1" showInputMessage="1" showErrorMessage="1" xr:uid="{00000000-0002-0000-0600-00002D000000}">
          <x14:formula1>
            <xm:f>list!$B$63:$C$63</xm:f>
          </x14:formula1>
          <xm:sqref>AZ2:AZ1048576</xm:sqref>
        </x14:dataValidation>
        <x14:dataValidation type="list" allowBlank="1" showInputMessage="1" showErrorMessage="1" xr:uid="{00000000-0002-0000-0600-00002E000000}">
          <x14:formula1>
            <xm:f>list!$B$64:$E$64</xm:f>
          </x14:formula1>
          <xm:sqref>BA2:BA1048576</xm:sqref>
        </x14:dataValidation>
        <x14:dataValidation type="list" allowBlank="1" showInputMessage="1" showErrorMessage="1" xr:uid="{00000000-0002-0000-0600-00002F000000}">
          <x14:formula1>
            <xm:f>list!$B$65:$F$65</xm:f>
          </x14:formula1>
          <xm:sqref>BB2:BB1048576</xm:sqref>
        </x14:dataValidation>
        <x14:dataValidation type="list" allowBlank="1" showInputMessage="1" showErrorMessage="1" xr:uid="{00000000-0002-0000-0600-000030000000}">
          <x14:formula1>
            <xm:f>list!$B$66:$C$66</xm:f>
          </x14:formula1>
          <xm:sqref>BC2:BC1048576</xm:sqref>
        </x14:dataValidation>
        <x14:dataValidation type="list" allowBlank="1" showInputMessage="1" showErrorMessage="1" xr:uid="{00000000-0002-0000-0600-000031000000}">
          <x14:formula1>
            <xm:f>list!$B$67:$C$67</xm:f>
          </x14:formula1>
          <xm:sqref>BD2:BD1048576</xm:sqref>
        </x14:dataValidation>
        <x14:dataValidation type="list" allowBlank="1" showInputMessage="1" showErrorMessage="1" xr:uid="{00000000-0002-0000-0600-000032000000}">
          <x14:formula1>
            <xm:f>list!$B$68:$G$68</xm:f>
          </x14:formula1>
          <xm:sqref>BE2:BE1048576</xm:sqref>
        </x14:dataValidation>
        <x14:dataValidation type="list" allowBlank="1" showInputMessage="1" showErrorMessage="1" xr:uid="{00000000-0002-0000-0600-000033000000}">
          <x14:formula1>
            <xm:f>list!$B$69:$C$69</xm:f>
          </x14:formula1>
          <xm:sqref>BF2:BF1048576</xm:sqref>
        </x14:dataValidation>
        <x14:dataValidation type="list" allowBlank="1" showInputMessage="1" showErrorMessage="1" xr:uid="{00000000-0002-0000-0600-000034000000}">
          <x14:formula1>
            <xm:f>list!$B$70:$G$70</xm:f>
          </x14:formula1>
          <xm:sqref>BG2:BG1048576</xm:sqref>
        </x14:dataValidation>
        <x14:dataValidation type="list" allowBlank="1" showInputMessage="1" showErrorMessage="1" xr:uid="{00000000-0002-0000-0600-000035000000}">
          <x14:formula1>
            <xm:f>list!$B$72:$C$72</xm:f>
          </x14:formula1>
          <xm:sqref>BH2:BH1048576</xm:sqref>
        </x14:dataValidation>
        <x14:dataValidation type="list" allowBlank="1" showInputMessage="1" showErrorMessage="1" xr:uid="{00000000-0002-0000-0600-000036000000}">
          <x14:formula1>
            <xm:f>list!$B$73:$C$73</xm:f>
          </x14:formula1>
          <xm:sqref>BI2:BI1048576</xm:sqref>
        </x14:dataValidation>
        <x14:dataValidation type="list" allowBlank="1" showInputMessage="1" showErrorMessage="1" xr:uid="{00000000-0002-0000-0600-000037000000}">
          <x14:formula1>
            <xm:f>list!$B$84:$D$84</xm:f>
          </x14:formula1>
          <xm:sqref>BJ2:BJ1048576</xm:sqref>
        </x14:dataValidation>
        <x14:dataValidation type="list" allowBlank="1" showInputMessage="1" showErrorMessage="1" xr:uid="{00000000-0002-0000-0600-000038000000}">
          <x14:formula1>
            <xm:f>list!$B$85:$D$85</xm:f>
          </x14:formula1>
          <xm:sqref>BK2:BK1048576</xm:sqref>
        </x14:dataValidation>
        <x14:dataValidation type="list" allowBlank="1" showInputMessage="1" showErrorMessage="1" xr:uid="{00000000-0002-0000-0600-000039000000}">
          <x14:formula1>
            <xm:f>list!$B$79:$C$79</xm:f>
          </x14:formula1>
          <xm:sqref>BL2:BL1048576</xm:sqref>
        </x14:dataValidation>
        <x14:dataValidation type="list" allowBlank="1" showInputMessage="1" showErrorMessage="1" xr:uid="{00000000-0002-0000-0600-00003A000000}">
          <x14:formula1>
            <xm:f>list!$B$80:$C$80</xm:f>
          </x14:formula1>
          <xm:sqref>BM2:BM1048576</xm:sqref>
        </x14:dataValidation>
        <x14:dataValidation type="list" allowBlank="1" showInputMessage="1" showErrorMessage="1" xr:uid="{00000000-0002-0000-0600-00003B000000}">
          <x14:formula1>
            <xm:f>list!$B$82:$C$82</xm:f>
          </x14:formula1>
          <xm:sqref>BO2:BO1048576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tabColor rgb="FF92D050"/>
  </sheetPr>
  <dimension ref="A1:BO40"/>
  <sheetViews>
    <sheetView zoomScale="43" zoomScaleNormal="43" workbookViewId="0">
      <pane xSplit="6" ySplit="1" topLeftCell="BA9" activePane="bottomRight" state="frozen"/>
      <selection pane="topRight"/>
      <selection pane="bottomLeft"/>
      <selection pane="bottomRight" activeCell="BP1" sqref="BP1:CI1048576"/>
    </sheetView>
  </sheetViews>
  <sheetFormatPr defaultColWidth="10.875" defaultRowHeight="15.75"/>
  <cols>
    <col min="1" max="1" width="3.25" style="1" customWidth="1"/>
    <col min="2" max="2" width="4.5" style="1" customWidth="1"/>
    <col min="3" max="4" width="3.25" style="1" customWidth="1"/>
    <col min="5" max="5" width="44.25" style="1" customWidth="1"/>
    <col min="6" max="6" width="20.375" style="1" bestFit="1" customWidth="1"/>
    <col min="7" max="7" width="23.5" style="1" bestFit="1" customWidth="1"/>
    <col min="8" max="8" width="25.875" style="1" bestFit="1" customWidth="1"/>
    <col min="9" max="9" width="40.875" style="1" bestFit="1" customWidth="1"/>
    <col min="10" max="10" width="28.5" style="1" bestFit="1" customWidth="1"/>
    <col min="11" max="11" width="28.125" style="1" bestFit="1" customWidth="1"/>
    <col min="12" max="12" width="28" style="1" bestFit="1" customWidth="1"/>
    <col min="13" max="13" width="28.125" style="1" bestFit="1" customWidth="1"/>
    <col min="14" max="14" width="28" style="1" bestFit="1" customWidth="1"/>
    <col min="15" max="15" width="46" style="1" bestFit="1" customWidth="1"/>
    <col min="16" max="16" width="49.625" style="1" bestFit="1" customWidth="1"/>
    <col min="17" max="17" width="47" style="1" bestFit="1" customWidth="1"/>
    <col min="18" max="18" width="13.625" style="1" bestFit="1" customWidth="1"/>
    <col min="19" max="19" width="27.625" style="1" bestFit="1" customWidth="1"/>
    <col min="20" max="20" width="23.125" style="1" bestFit="1" customWidth="1"/>
    <col min="21" max="21" width="22.625" style="1" bestFit="1" customWidth="1"/>
    <col min="22" max="23" width="40.625" style="1" bestFit="1" customWidth="1"/>
    <col min="24" max="24" width="28" style="1" bestFit="1" customWidth="1"/>
    <col min="25" max="25" width="19.5" style="1" bestFit="1" customWidth="1"/>
    <col min="26" max="26" width="31.875" style="1" bestFit="1" customWidth="1"/>
    <col min="27" max="27" width="30.625" style="1" bestFit="1" customWidth="1"/>
    <col min="28" max="28" width="30" style="1" bestFit="1" customWidth="1"/>
    <col min="29" max="29" width="29" style="1" customWidth="1"/>
    <col min="30" max="30" width="27.625" style="1" bestFit="1" customWidth="1"/>
    <col min="31" max="31" width="26.125" style="1" bestFit="1" customWidth="1"/>
    <col min="32" max="32" width="46.625" style="1" bestFit="1" customWidth="1"/>
    <col min="33" max="33" width="44.875" style="1" bestFit="1" customWidth="1"/>
    <col min="34" max="34" width="32.625" style="1" bestFit="1" customWidth="1"/>
    <col min="35" max="35" width="36.375" style="1" bestFit="1" customWidth="1"/>
    <col min="36" max="36" width="32.625" style="1" bestFit="1" customWidth="1"/>
    <col min="37" max="37" width="34.875" style="1" bestFit="1" customWidth="1"/>
    <col min="38" max="39" width="42.5" style="1" bestFit="1" customWidth="1"/>
    <col min="40" max="40" width="35.625" style="1" bestFit="1" customWidth="1"/>
    <col min="41" max="41" width="29.5" style="1" bestFit="1" customWidth="1"/>
    <col min="42" max="42" width="35.625" style="1" bestFit="1" customWidth="1"/>
    <col min="43" max="43" width="29.5" style="1" bestFit="1" customWidth="1"/>
    <col min="44" max="44" width="30.625" style="1" bestFit="1" customWidth="1"/>
    <col min="45" max="45" width="34.5" style="1" bestFit="1" customWidth="1"/>
    <col min="46" max="46" width="30.875" style="1" bestFit="1" customWidth="1"/>
    <col min="47" max="47" width="33" style="1" bestFit="1" customWidth="1"/>
    <col min="48" max="48" width="29.375" style="1" bestFit="1" customWidth="1"/>
    <col min="49" max="49" width="25.375" style="1" bestFit="1" customWidth="1"/>
    <col min="50" max="50" width="26.375" style="1" bestFit="1" customWidth="1"/>
    <col min="51" max="51" width="27.125" style="1" bestFit="1" customWidth="1"/>
    <col min="52" max="52" width="24.125" style="1" bestFit="1" customWidth="1"/>
    <col min="53" max="53" width="22.125" style="1" bestFit="1" customWidth="1"/>
    <col min="54" max="54" width="32.5" style="1" bestFit="1" customWidth="1"/>
    <col min="55" max="55" width="24.5" style="1" bestFit="1" customWidth="1"/>
    <col min="56" max="56" width="26.375" style="1" bestFit="1" customWidth="1"/>
    <col min="57" max="57" width="35.125" style="1" bestFit="1" customWidth="1"/>
    <col min="58" max="58" width="35.875" style="1" bestFit="1" customWidth="1"/>
    <col min="59" max="59" width="22.375" style="1" bestFit="1" customWidth="1"/>
    <col min="60" max="60" width="18.125" style="1" bestFit="1" customWidth="1"/>
    <col min="61" max="61" width="15.875" style="1" bestFit="1" customWidth="1"/>
    <col min="62" max="62" width="56.375" style="1" bestFit="1" customWidth="1"/>
    <col min="63" max="63" width="33.5" style="1" bestFit="1" customWidth="1"/>
    <col min="64" max="64" width="14.5" style="1" bestFit="1" customWidth="1"/>
    <col min="65" max="65" width="16" style="1" bestFit="1" customWidth="1"/>
    <col min="66" max="66" width="24.125" style="1" bestFit="1" customWidth="1"/>
    <col min="67" max="67" width="27.375" style="1" bestFit="1" customWidth="1"/>
    <col min="68" max="68" width="10.875" style="1" customWidth="1"/>
    <col min="69" max="16384" width="10.875" style="1"/>
  </cols>
  <sheetData>
    <row r="1" spans="1:67" s="17" customFormat="1" ht="50.1" customHeight="1">
      <c r="A1" s="12" t="s">
        <v>0</v>
      </c>
      <c r="B1" s="12" t="s">
        <v>1</v>
      </c>
      <c r="C1" s="12" t="s">
        <v>2</v>
      </c>
      <c r="D1" s="13" t="s">
        <v>3</v>
      </c>
      <c r="E1" s="13" t="s">
        <v>4</v>
      </c>
      <c r="F1" s="13" t="s">
        <v>5</v>
      </c>
      <c r="G1" s="14" t="s">
        <v>6</v>
      </c>
      <c r="H1" s="14" t="s">
        <v>7</v>
      </c>
      <c r="I1" s="14" t="s">
        <v>8</v>
      </c>
      <c r="J1" s="14" t="s">
        <v>9</v>
      </c>
      <c r="K1" s="14" t="s">
        <v>10</v>
      </c>
      <c r="L1" s="14" t="s">
        <v>11</v>
      </c>
      <c r="M1" s="14" t="s">
        <v>102</v>
      </c>
      <c r="N1" s="14" t="s">
        <v>13</v>
      </c>
      <c r="O1" s="14" t="s">
        <v>14</v>
      </c>
      <c r="P1" s="14" t="s">
        <v>15</v>
      </c>
      <c r="Q1" s="14" t="s">
        <v>16</v>
      </c>
      <c r="R1" s="14" t="s">
        <v>17</v>
      </c>
      <c r="S1" s="14" t="s">
        <v>18</v>
      </c>
      <c r="T1" s="14" t="s">
        <v>19</v>
      </c>
      <c r="U1" s="14" t="s">
        <v>20</v>
      </c>
      <c r="V1" s="14" t="s">
        <v>21</v>
      </c>
      <c r="W1" s="14" t="s">
        <v>22</v>
      </c>
      <c r="X1" s="14" t="s">
        <v>23</v>
      </c>
      <c r="Y1" s="14" t="s">
        <v>24</v>
      </c>
      <c r="Z1" s="14" t="s">
        <v>25</v>
      </c>
      <c r="AA1" s="14" t="s">
        <v>26</v>
      </c>
      <c r="AB1" s="14" t="s">
        <v>27</v>
      </c>
      <c r="AC1" s="14" t="s">
        <v>28</v>
      </c>
      <c r="AD1" s="14" t="s">
        <v>29</v>
      </c>
      <c r="AE1" s="14" t="s">
        <v>30</v>
      </c>
      <c r="AF1" s="14" t="s">
        <v>31</v>
      </c>
      <c r="AG1" s="14" t="s">
        <v>32</v>
      </c>
      <c r="AH1" s="15" t="s">
        <v>33</v>
      </c>
      <c r="AI1" s="14" t="s">
        <v>34</v>
      </c>
      <c r="AJ1" s="14" t="s">
        <v>35</v>
      </c>
      <c r="AK1" s="14" t="s">
        <v>36</v>
      </c>
      <c r="AL1" s="14" t="s">
        <v>37</v>
      </c>
      <c r="AM1" s="14" t="s">
        <v>38</v>
      </c>
      <c r="AN1" s="14" t="s">
        <v>39</v>
      </c>
      <c r="AO1" s="14" t="s">
        <v>40</v>
      </c>
      <c r="AP1" s="14" t="s">
        <v>41</v>
      </c>
      <c r="AQ1" s="14" t="s">
        <v>42</v>
      </c>
      <c r="AR1" s="14" t="s">
        <v>43</v>
      </c>
      <c r="AS1" s="14" t="s">
        <v>44</v>
      </c>
      <c r="AT1" s="14" t="s">
        <v>45</v>
      </c>
      <c r="AU1" s="14" t="s">
        <v>46</v>
      </c>
      <c r="AV1" s="14" t="s">
        <v>47</v>
      </c>
      <c r="AW1" s="14" t="s">
        <v>48</v>
      </c>
      <c r="AX1" s="14" t="s">
        <v>49</v>
      </c>
      <c r="AY1" s="14" t="s">
        <v>50</v>
      </c>
      <c r="AZ1" s="14" t="s">
        <v>51</v>
      </c>
      <c r="BA1" s="14" t="s">
        <v>52</v>
      </c>
      <c r="BB1" s="14" t="s">
        <v>53</v>
      </c>
      <c r="BC1" s="14" t="s">
        <v>54</v>
      </c>
      <c r="BD1" s="14" t="s">
        <v>55</v>
      </c>
      <c r="BE1" s="14" t="s">
        <v>56</v>
      </c>
      <c r="BF1" s="14" t="s">
        <v>57</v>
      </c>
      <c r="BG1" s="14" t="s">
        <v>58</v>
      </c>
      <c r="BH1" s="14" t="s">
        <v>59</v>
      </c>
      <c r="BI1" s="14" t="s">
        <v>60</v>
      </c>
      <c r="BJ1" s="16" t="s">
        <v>61</v>
      </c>
      <c r="BK1" s="16" t="s">
        <v>62</v>
      </c>
      <c r="BL1" s="16" t="s">
        <v>63</v>
      </c>
      <c r="BM1" s="16" t="s">
        <v>64</v>
      </c>
      <c r="BN1" s="16" t="s">
        <v>65</v>
      </c>
      <c r="BO1" s="16" t="s">
        <v>66</v>
      </c>
    </row>
    <row r="2" spans="1:67" ht="119.1" customHeight="1">
      <c r="B2" s="1">
        <v>1157544</v>
      </c>
      <c r="C2" s="2">
        <v>42830</v>
      </c>
      <c r="D2" s="1">
        <f t="shared" ref="D2:D40" si="0">DATEDIF($C$2, C2, "M")</f>
        <v>0</v>
      </c>
      <c r="E2" s="1" t="s">
        <v>355</v>
      </c>
      <c r="G2" s="1" t="b">
        <v>1</v>
      </c>
      <c r="Q2" s="1" t="b">
        <v>0</v>
      </c>
      <c r="T2" s="1" t="s">
        <v>482</v>
      </c>
      <c r="V2" s="1" t="s">
        <v>482</v>
      </c>
    </row>
    <row r="3" spans="1:67" ht="128.25" customHeight="1">
      <c r="B3" s="1">
        <v>1157544</v>
      </c>
      <c r="C3" s="2">
        <v>42873</v>
      </c>
      <c r="D3" s="1">
        <f t="shared" si="0"/>
        <v>1</v>
      </c>
      <c r="E3" s="1" t="s">
        <v>356</v>
      </c>
      <c r="H3" s="1" t="b">
        <v>1</v>
      </c>
      <c r="J3" s="1" t="b">
        <v>1</v>
      </c>
      <c r="L3" s="1" t="s">
        <v>495</v>
      </c>
      <c r="R3" s="1" t="s">
        <v>471</v>
      </c>
      <c r="AD3" s="1" t="s">
        <v>504</v>
      </c>
      <c r="AE3" s="1" t="s">
        <v>512</v>
      </c>
      <c r="AF3" s="1" t="s">
        <v>504</v>
      </c>
      <c r="AG3" s="1" t="s">
        <v>512</v>
      </c>
      <c r="AN3" s="1" t="b">
        <v>1</v>
      </c>
    </row>
    <row r="4" spans="1:67" ht="68.099999999999994" customHeight="1">
      <c r="B4" s="1">
        <v>1157544</v>
      </c>
      <c r="C4" s="2">
        <v>42880</v>
      </c>
      <c r="D4" s="1">
        <f t="shared" si="0"/>
        <v>1</v>
      </c>
      <c r="E4" s="1" t="s">
        <v>357</v>
      </c>
      <c r="I4" s="1" t="b">
        <v>1</v>
      </c>
    </row>
    <row r="5" spans="1:67" ht="33.950000000000003" customHeight="1">
      <c r="B5" s="1">
        <v>1157544</v>
      </c>
      <c r="C5" s="2">
        <v>42912</v>
      </c>
      <c r="D5" s="1">
        <f t="shared" si="0"/>
        <v>2</v>
      </c>
      <c r="E5" s="1" t="s">
        <v>358</v>
      </c>
    </row>
    <row r="6" spans="1:67" ht="51" customHeight="1">
      <c r="B6" s="1">
        <v>1157544</v>
      </c>
      <c r="C6" s="2">
        <v>42915</v>
      </c>
      <c r="D6" s="1">
        <f t="shared" si="0"/>
        <v>2</v>
      </c>
      <c r="E6" s="3" t="s">
        <v>359</v>
      </c>
      <c r="AA6" s="1" t="b">
        <v>1</v>
      </c>
      <c r="AB6" s="1" t="b">
        <v>0</v>
      </c>
      <c r="AC6" s="1" t="b">
        <v>0</v>
      </c>
      <c r="AD6" s="1" t="s">
        <v>504</v>
      </c>
      <c r="AE6" s="1" t="s">
        <v>512</v>
      </c>
      <c r="AF6" s="1" t="s">
        <v>504</v>
      </c>
      <c r="AG6" s="1" t="s">
        <v>512</v>
      </c>
    </row>
    <row r="7" spans="1:67" ht="102" customHeight="1">
      <c r="B7" s="1">
        <v>1157544</v>
      </c>
      <c r="C7" s="2">
        <v>42937</v>
      </c>
      <c r="D7" s="1">
        <f t="shared" si="0"/>
        <v>3</v>
      </c>
      <c r="E7" s="1" t="s">
        <v>360</v>
      </c>
      <c r="T7" s="1" t="s">
        <v>482</v>
      </c>
      <c r="U7" s="1" t="s">
        <v>482</v>
      </c>
      <c r="V7" s="1" t="s">
        <v>482</v>
      </c>
      <c r="W7" s="1" t="s">
        <v>482</v>
      </c>
      <c r="AB7" s="1" t="b">
        <v>0</v>
      </c>
      <c r="AC7" s="1" t="b">
        <v>0</v>
      </c>
      <c r="AD7" s="1" t="s">
        <v>504</v>
      </c>
      <c r="AE7" s="1" t="s">
        <v>512</v>
      </c>
      <c r="AF7" s="1" t="s">
        <v>504</v>
      </c>
      <c r="AG7" s="1" t="s">
        <v>512</v>
      </c>
      <c r="AN7" s="1" t="b">
        <v>1</v>
      </c>
      <c r="BA7" s="1" t="s">
        <v>259</v>
      </c>
      <c r="BB7" s="1" t="s">
        <v>259</v>
      </c>
    </row>
    <row r="8" spans="1:67" ht="102" customHeight="1">
      <c r="B8" s="1">
        <v>1157544</v>
      </c>
      <c r="C8" s="2">
        <v>42943</v>
      </c>
      <c r="D8" s="1">
        <f t="shared" si="0"/>
        <v>3</v>
      </c>
      <c r="E8" s="3" t="s">
        <v>361</v>
      </c>
      <c r="T8" s="1" t="s">
        <v>482</v>
      </c>
      <c r="U8" s="1" t="s">
        <v>482</v>
      </c>
      <c r="V8" s="1" t="s">
        <v>482</v>
      </c>
      <c r="W8" s="1" t="s">
        <v>482</v>
      </c>
      <c r="AB8" s="1" t="b">
        <v>0</v>
      </c>
      <c r="AC8" s="1" t="b">
        <v>0</v>
      </c>
      <c r="AD8" s="1" t="s">
        <v>504</v>
      </c>
      <c r="AE8" s="1" t="s">
        <v>512</v>
      </c>
      <c r="AF8" s="1" t="s">
        <v>504</v>
      </c>
      <c r="AG8" s="1" t="s">
        <v>512</v>
      </c>
      <c r="AN8" s="1" t="b">
        <v>1</v>
      </c>
      <c r="BA8" s="1" t="s">
        <v>259</v>
      </c>
      <c r="BB8" s="1" t="s">
        <v>259</v>
      </c>
    </row>
    <row r="9" spans="1:67" ht="119.1" customHeight="1">
      <c r="B9" s="1">
        <v>1157544</v>
      </c>
      <c r="C9" s="2">
        <v>42978</v>
      </c>
      <c r="D9" s="1">
        <f t="shared" si="0"/>
        <v>4</v>
      </c>
      <c r="E9" s="1" t="s">
        <v>362</v>
      </c>
      <c r="T9" s="1" t="s">
        <v>482</v>
      </c>
      <c r="U9" s="1" t="s">
        <v>482</v>
      </c>
      <c r="V9" s="1" t="s">
        <v>482</v>
      </c>
      <c r="W9" s="1" t="s">
        <v>482</v>
      </c>
      <c r="AB9" s="1" t="b">
        <v>0</v>
      </c>
      <c r="AC9" s="1" t="b">
        <v>0</v>
      </c>
      <c r="AD9" s="1" t="s">
        <v>504</v>
      </c>
      <c r="AE9" s="1" t="s">
        <v>512</v>
      </c>
      <c r="AF9" s="1" t="s">
        <v>504</v>
      </c>
      <c r="AG9" s="1" t="s">
        <v>512</v>
      </c>
      <c r="AQ9" s="1" t="b">
        <v>1</v>
      </c>
      <c r="BA9" s="1" t="s">
        <v>583</v>
      </c>
      <c r="BB9" s="1" t="s">
        <v>259</v>
      </c>
    </row>
    <row r="10" spans="1:67" ht="119.1" customHeight="1">
      <c r="B10" s="1">
        <v>1157544</v>
      </c>
      <c r="C10" s="2">
        <v>42975</v>
      </c>
      <c r="D10" s="1">
        <f t="shared" si="0"/>
        <v>4</v>
      </c>
      <c r="E10" s="3" t="s">
        <v>363</v>
      </c>
      <c r="T10" s="1" t="s">
        <v>482</v>
      </c>
      <c r="U10" s="1" t="s">
        <v>482</v>
      </c>
      <c r="V10" s="1" t="s">
        <v>482</v>
      </c>
      <c r="W10" s="1" t="s">
        <v>482</v>
      </c>
      <c r="BA10" s="1" t="s">
        <v>259</v>
      </c>
      <c r="BB10" s="1" t="s">
        <v>259</v>
      </c>
    </row>
    <row r="11" spans="1:67" ht="84.95" customHeight="1">
      <c r="B11" s="1">
        <v>1157544</v>
      </c>
      <c r="C11" s="2">
        <v>42976</v>
      </c>
      <c r="D11" s="1">
        <f t="shared" si="0"/>
        <v>4</v>
      </c>
      <c r="E11" s="1" t="s">
        <v>364</v>
      </c>
      <c r="AB11" s="1" t="b">
        <v>1</v>
      </c>
      <c r="AC11" s="1" t="b">
        <v>1</v>
      </c>
      <c r="AD11" s="1" t="s">
        <v>504</v>
      </c>
      <c r="AE11" s="1" t="s">
        <v>514</v>
      </c>
      <c r="AF11" s="1" t="s">
        <v>504</v>
      </c>
      <c r="AG11" s="1" t="s">
        <v>514</v>
      </c>
    </row>
    <row r="12" spans="1:67" ht="119.1" customHeight="1">
      <c r="B12" s="1">
        <v>1157544</v>
      </c>
      <c r="C12" s="2">
        <v>43034</v>
      </c>
      <c r="D12" s="1">
        <f t="shared" si="0"/>
        <v>6</v>
      </c>
      <c r="E12" s="1" t="s">
        <v>365</v>
      </c>
      <c r="S12" s="1" t="s">
        <v>482</v>
      </c>
      <c r="T12" s="1" t="s">
        <v>482</v>
      </c>
      <c r="U12" s="1" t="s">
        <v>482</v>
      </c>
      <c r="V12" s="1" t="s">
        <v>482</v>
      </c>
      <c r="AB12" s="1" t="b">
        <v>0</v>
      </c>
      <c r="AC12" s="1" t="b">
        <v>1</v>
      </c>
      <c r="AD12" s="1" t="s">
        <v>504</v>
      </c>
      <c r="AE12" s="1" t="s">
        <v>514</v>
      </c>
      <c r="AF12" s="1" t="s">
        <v>504</v>
      </c>
      <c r="AG12" s="1" t="s">
        <v>517</v>
      </c>
      <c r="BA12" s="1" t="s">
        <v>259</v>
      </c>
      <c r="BB12" s="1" t="s">
        <v>259</v>
      </c>
    </row>
    <row r="13" spans="1:67" ht="119.1" customHeight="1">
      <c r="B13" s="1">
        <v>1157544</v>
      </c>
      <c r="C13" s="2">
        <v>43061</v>
      </c>
      <c r="D13" s="1">
        <f t="shared" si="0"/>
        <v>7</v>
      </c>
      <c r="E13" s="3" t="s">
        <v>366</v>
      </c>
      <c r="S13" s="1" t="s">
        <v>482</v>
      </c>
      <c r="T13" s="1" t="s">
        <v>482</v>
      </c>
      <c r="U13" s="1" t="s">
        <v>482</v>
      </c>
      <c r="V13" s="1" t="s">
        <v>482</v>
      </c>
      <c r="AB13" s="1" t="b">
        <v>1</v>
      </c>
      <c r="AC13" s="1" t="b">
        <v>1</v>
      </c>
      <c r="AD13" s="1" t="s">
        <v>504</v>
      </c>
      <c r="AE13" s="1" t="s">
        <v>520</v>
      </c>
      <c r="AF13" s="1" t="s">
        <v>504</v>
      </c>
      <c r="AG13" s="1" t="s">
        <v>520</v>
      </c>
      <c r="AM13" s="1" t="s">
        <v>574</v>
      </c>
      <c r="BA13" s="1" t="s">
        <v>259</v>
      </c>
      <c r="BB13" s="1" t="s">
        <v>259</v>
      </c>
    </row>
    <row r="14" spans="1:67" ht="119.1" customHeight="1">
      <c r="B14" s="1">
        <v>1157544</v>
      </c>
      <c r="C14" s="2">
        <v>43083</v>
      </c>
      <c r="D14" s="1">
        <f t="shared" si="0"/>
        <v>8</v>
      </c>
      <c r="E14" s="3" t="s">
        <v>367</v>
      </c>
      <c r="S14" s="1" t="s">
        <v>478</v>
      </c>
      <c r="T14" s="1" t="s">
        <v>478</v>
      </c>
      <c r="U14" s="1" t="s">
        <v>481</v>
      </c>
      <c r="V14" s="1" t="s">
        <v>481</v>
      </c>
      <c r="AB14" s="1" t="b">
        <v>1</v>
      </c>
      <c r="AC14" s="1" t="b">
        <v>1</v>
      </c>
      <c r="AD14" s="1" t="s">
        <v>507</v>
      </c>
      <c r="AE14" s="1" t="s">
        <v>520</v>
      </c>
      <c r="AF14" s="1" t="s">
        <v>506</v>
      </c>
      <c r="AG14" s="1" t="s">
        <v>520</v>
      </c>
      <c r="AM14" s="1" t="s">
        <v>574</v>
      </c>
      <c r="BA14" s="1" t="s">
        <v>259</v>
      </c>
      <c r="BB14" s="1" t="s">
        <v>259</v>
      </c>
      <c r="BF14" s="1" t="b">
        <v>1</v>
      </c>
    </row>
    <row r="15" spans="1:67" s="3" customFormat="1" ht="119.1" customHeight="1">
      <c r="B15" s="3">
        <v>1157544</v>
      </c>
      <c r="C15" s="4">
        <v>43111</v>
      </c>
      <c r="D15" s="1">
        <f t="shared" si="0"/>
        <v>9</v>
      </c>
      <c r="E15" s="3" t="s">
        <v>368</v>
      </c>
      <c r="G15" s="1"/>
      <c r="H15" s="1"/>
      <c r="I15" s="1"/>
      <c r="J15" s="1"/>
      <c r="K15" s="1"/>
      <c r="L15" s="1"/>
      <c r="M15" s="1"/>
      <c r="N15" s="1"/>
      <c r="O15" s="1"/>
      <c r="P15" s="1"/>
      <c r="Q15" s="1"/>
      <c r="R15" s="1"/>
      <c r="S15" s="1" t="s">
        <v>478</v>
      </c>
      <c r="T15" s="1" t="s">
        <v>478</v>
      </c>
      <c r="U15" s="1" t="s">
        <v>481</v>
      </c>
      <c r="V15" s="1" t="s">
        <v>481</v>
      </c>
      <c r="W15" s="1"/>
      <c r="X15" s="1"/>
      <c r="Y15" s="1"/>
      <c r="Z15" s="1"/>
      <c r="AA15" s="1"/>
      <c r="AB15" s="1" t="b">
        <v>1</v>
      </c>
      <c r="AC15" s="1" t="b">
        <v>0</v>
      </c>
      <c r="AD15" s="1" t="s">
        <v>504</v>
      </c>
      <c r="AE15" s="1" t="s">
        <v>520</v>
      </c>
      <c r="AF15" s="1" t="s">
        <v>506</v>
      </c>
      <c r="AG15" s="1" t="s">
        <v>520</v>
      </c>
      <c r="AH15" s="1"/>
      <c r="AI15" s="3" t="s">
        <v>540</v>
      </c>
      <c r="AJ15" s="3" t="s">
        <v>562</v>
      </c>
      <c r="AK15" s="3" t="s">
        <v>540</v>
      </c>
      <c r="AL15" s="3" t="s">
        <v>562</v>
      </c>
      <c r="AM15" s="1" t="s">
        <v>574</v>
      </c>
      <c r="AN15" s="1"/>
      <c r="AO15" s="1"/>
      <c r="AP15" s="1"/>
      <c r="AQ15" s="1"/>
      <c r="AR15" s="1"/>
      <c r="AS15" s="1"/>
      <c r="AT15" s="1"/>
      <c r="AU15" s="1"/>
      <c r="AV15" s="1"/>
      <c r="AW15" s="1"/>
      <c r="AX15" s="1"/>
      <c r="AY15" s="1"/>
      <c r="AZ15" s="1"/>
      <c r="BA15" s="1" t="s">
        <v>259</v>
      </c>
      <c r="BB15" s="1" t="s">
        <v>259</v>
      </c>
      <c r="BC15" s="1"/>
      <c r="BD15" s="1"/>
      <c r="BE15" s="1"/>
      <c r="BF15" s="1" t="b">
        <v>1</v>
      </c>
      <c r="BG15" s="1"/>
      <c r="BH15" s="1"/>
      <c r="BI15" s="1"/>
      <c r="BJ15" s="1"/>
      <c r="BK15" s="1"/>
      <c r="BL15" s="1"/>
      <c r="BM15" s="1"/>
      <c r="BN15" s="1"/>
      <c r="BO15" s="1"/>
    </row>
    <row r="16" spans="1:67" s="3" customFormat="1" ht="119.1" customHeight="1">
      <c r="B16" s="3">
        <v>1157544</v>
      </c>
      <c r="C16" s="4">
        <v>43139</v>
      </c>
      <c r="D16" s="1">
        <f t="shared" si="0"/>
        <v>10</v>
      </c>
      <c r="E16" s="3" t="s">
        <v>369</v>
      </c>
      <c r="G16" s="1"/>
      <c r="H16" s="1"/>
      <c r="I16" s="1"/>
      <c r="J16" s="1"/>
      <c r="K16" s="1"/>
      <c r="L16" s="1"/>
      <c r="M16" s="1"/>
      <c r="N16" s="1"/>
      <c r="O16" s="1"/>
      <c r="P16" s="1"/>
      <c r="Q16" s="1"/>
      <c r="R16" s="1"/>
      <c r="S16" s="1"/>
      <c r="T16" s="1"/>
      <c r="U16" s="1"/>
      <c r="V16" s="1"/>
      <c r="W16" s="1"/>
      <c r="X16" s="1"/>
      <c r="Y16" s="1"/>
      <c r="Z16" s="1"/>
      <c r="AA16" s="1"/>
      <c r="AB16" s="1" t="b">
        <v>0</v>
      </c>
      <c r="AC16" s="1" t="b">
        <v>0</v>
      </c>
      <c r="AD16" s="1" t="s">
        <v>504</v>
      </c>
      <c r="AE16" s="1" t="s">
        <v>520</v>
      </c>
      <c r="AF16" s="1" t="s">
        <v>506</v>
      </c>
      <c r="AG16" s="1" t="s">
        <v>520</v>
      </c>
      <c r="AH16" s="1"/>
      <c r="AI16" s="3" t="s">
        <v>540</v>
      </c>
      <c r="AJ16" s="3" t="s">
        <v>562</v>
      </c>
      <c r="AK16" s="3" t="s">
        <v>540</v>
      </c>
      <c r="AL16" s="3" t="s">
        <v>562</v>
      </c>
      <c r="AM16" s="1" t="s">
        <v>574</v>
      </c>
      <c r="AN16" s="1"/>
      <c r="AO16" s="1"/>
      <c r="AP16" s="1"/>
      <c r="AQ16" s="1"/>
      <c r="AR16" s="1"/>
      <c r="AS16" s="1"/>
      <c r="AT16" s="1"/>
      <c r="AU16" s="1"/>
      <c r="AV16" s="1"/>
      <c r="AW16" s="1"/>
      <c r="AX16" s="1"/>
      <c r="AY16" s="1"/>
      <c r="AZ16" s="1"/>
      <c r="BA16" s="1" t="s">
        <v>259</v>
      </c>
      <c r="BB16" s="1" t="s">
        <v>259</v>
      </c>
      <c r="BC16" s="1"/>
      <c r="BD16" s="1"/>
      <c r="BE16" s="1"/>
      <c r="BF16" s="1"/>
      <c r="BG16" s="1"/>
      <c r="BH16" s="1"/>
      <c r="BI16" s="1"/>
      <c r="BJ16" s="1"/>
      <c r="BK16" s="1"/>
      <c r="BL16" s="1"/>
      <c r="BM16" s="1"/>
      <c r="BN16" s="1"/>
      <c r="BO16" s="1"/>
    </row>
    <row r="17" spans="2:67" ht="33.950000000000003" customHeight="1">
      <c r="B17" s="1">
        <v>1157544</v>
      </c>
      <c r="C17" s="2">
        <v>43166</v>
      </c>
      <c r="D17" s="1">
        <f t="shared" si="0"/>
        <v>11</v>
      </c>
      <c r="E17" s="1" t="s">
        <v>370</v>
      </c>
    </row>
    <row r="18" spans="2:67" s="3" customFormat="1" ht="135.94999999999999" customHeight="1">
      <c r="B18" s="3">
        <v>1157544</v>
      </c>
      <c r="C18" s="4">
        <v>43181</v>
      </c>
      <c r="D18" s="1">
        <f t="shared" si="0"/>
        <v>11</v>
      </c>
      <c r="E18" s="3" t="s">
        <v>371</v>
      </c>
      <c r="G18" s="1"/>
      <c r="H18" s="1"/>
      <c r="I18" s="1"/>
      <c r="J18" s="1"/>
      <c r="K18" s="1"/>
      <c r="L18" s="1"/>
      <c r="M18" s="1"/>
      <c r="N18" s="1"/>
      <c r="O18" s="1"/>
      <c r="P18" s="1"/>
      <c r="Q18" s="1"/>
      <c r="R18" s="1"/>
      <c r="S18" s="1"/>
      <c r="T18" s="1"/>
      <c r="U18" s="1"/>
      <c r="V18" s="1"/>
      <c r="W18" s="1"/>
      <c r="X18" s="1"/>
      <c r="Y18" s="1"/>
      <c r="Z18" s="1"/>
      <c r="AA18" s="1"/>
      <c r="AB18" s="1" t="b">
        <v>0</v>
      </c>
      <c r="AC18" s="1" t="b">
        <v>0</v>
      </c>
      <c r="AD18" s="1" t="s">
        <v>504</v>
      </c>
      <c r="AE18" s="1" t="s">
        <v>520</v>
      </c>
      <c r="AF18" s="1" t="s">
        <v>506</v>
      </c>
      <c r="AG18" s="1" t="s">
        <v>520</v>
      </c>
      <c r="AH18" s="1" t="s">
        <v>531</v>
      </c>
      <c r="AI18" s="1"/>
      <c r="AJ18" s="1" t="s">
        <v>561</v>
      </c>
      <c r="AK18" s="1"/>
      <c r="AL18" s="1" t="s">
        <v>561</v>
      </c>
      <c r="AM18" s="1" t="s">
        <v>574</v>
      </c>
      <c r="AN18" s="1"/>
      <c r="AO18" s="1"/>
      <c r="AP18" s="1"/>
      <c r="AQ18" s="1"/>
      <c r="AR18" s="1"/>
      <c r="AS18" s="1"/>
      <c r="AT18" s="1"/>
      <c r="AU18" s="1"/>
      <c r="AV18" s="1"/>
      <c r="AW18" s="1"/>
      <c r="AX18" s="1"/>
      <c r="AY18" s="1"/>
      <c r="AZ18" s="1"/>
      <c r="BA18" s="1" t="s">
        <v>259</v>
      </c>
      <c r="BB18" s="1" t="s">
        <v>259</v>
      </c>
      <c r="BC18" s="1"/>
      <c r="BD18" s="1"/>
      <c r="BE18" s="1"/>
      <c r="BF18" s="1" t="b">
        <v>1</v>
      </c>
      <c r="BG18" s="1"/>
      <c r="BH18" s="1"/>
      <c r="BI18" s="1"/>
      <c r="BJ18" s="1"/>
      <c r="BK18" s="1"/>
      <c r="BL18" s="1"/>
      <c r="BM18" s="1"/>
      <c r="BN18" s="1"/>
      <c r="BO18" s="1"/>
    </row>
    <row r="19" spans="2:67" ht="33.950000000000003" customHeight="1">
      <c r="B19" s="1">
        <v>1157544</v>
      </c>
      <c r="C19" s="2">
        <v>43188</v>
      </c>
      <c r="D19" s="1">
        <f t="shared" si="0"/>
        <v>11</v>
      </c>
      <c r="E19" s="1" t="s">
        <v>372</v>
      </c>
    </row>
    <row r="20" spans="2:67" ht="51" customHeight="1">
      <c r="B20" s="1">
        <v>1157544</v>
      </c>
      <c r="C20" s="2">
        <v>43192</v>
      </c>
      <c r="D20" s="1">
        <f t="shared" si="0"/>
        <v>11</v>
      </c>
      <c r="E20" s="3" t="s">
        <v>373</v>
      </c>
    </row>
    <row r="21" spans="2:67" ht="102" customHeight="1">
      <c r="B21" s="1">
        <v>1157544</v>
      </c>
      <c r="C21" s="2">
        <v>43216</v>
      </c>
      <c r="D21" s="1">
        <f t="shared" si="0"/>
        <v>12</v>
      </c>
      <c r="E21" s="3" t="s">
        <v>374</v>
      </c>
      <c r="U21" s="1" t="s">
        <v>483</v>
      </c>
      <c r="V21" s="1" t="s">
        <v>483</v>
      </c>
      <c r="AB21" s="1" t="b">
        <v>0</v>
      </c>
      <c r="AC21" s="1" t="b">
        <v>0</v>
      </c>
      <c r="AD21" s="1" t="s">
        <v>504</v>
      </c>
      <c r="AE21" s="1" t="s">
        <v>520</v>
      </c>
      <c r="AF21" s="1" t="s">
        <v>506</v>
      </c>
      <c r="AG21" s="1" t="s">
        <v>520</v>
      </c>
      <c r="AH21" s="1" t="s">
        <v>537</v>
      </c>
      <c r="AJ21" s="1" t="s">
        <v>562</v>
      </c>
      <c r="AL21" s="1" t="s">
        <v>562</v>
      </c>
      <c r="AM21" s="1" t="s">
        <v>574</v>
      </c>
      <c r="BB21" s="1" t="s">
        <v>259</v>
      </c>
    </row>
    <row r="22" spans="2:67" ht="119.1" customHeight="1">
      <c r="B22" s="1">
        <v>1157544</v>
      </c>
      <c r="C22" s="2">
        <v>43251</v>
      </c>
      <c r="D22" s="1">
        <f t="shared" si="0"/>
        <v>13</v>
      </c>
      <c r="E22" s="1" t="s">
        <v>375</v>
      </c>
      <c r="N22" s="1" t="b">
        <v>1</v>
      </c>
      <c r="S22" s="1" t="s">
        <v>483</v>
      </c>
      <c r="T22" s="1" t="s">
        <v>483</v>
      </c>
      <c r="U22" s="1" t="s">
        <v>482</v>
      </c>
      <c r="V22" s="1" t="s">
        <v>482</v>
      </c>
      <c r="AA22" s="1" t="b">
        <v>1</v>
      </c>
      <c r="AB22" s="1" t="b">
        <v>0</v>
      </c>
      <c r="AC22" s="1" t="b">
        <v>0</v>
      </c>
      <c r="AD22" s="1" t="s">
        <v>504</v>
      </c>
      <c r="AE22" s="1" t="s">
        <v>520</v>
      </c>
      <c r="AF22" s="1" t="s">
        <v>506</v>
      </c>
      <c r="AG22" s="1" t="s">
        <v>520</v>
      </c>
      <c r="AJ22" s="1" t="s">
        <v>562</v>
      </c>
      <c r="AL22" s="1" t="s">
        <v>562</v>
      </c>
      <c r="BA22" s="1" t="s">
        <v>259</v>
      </c>
      <c r="BB22" s="1" t="s">
        <v>259</v>
      </c>
    </row>
    <row r="23" spans="2:67" ht="135.75" customHeight="1">
      <c r="B23" s="1">
        <v>1157544</v>
      </c>
      <c r="C23" s="2">
        <v>43279</v>
      </c>
      <c r="D23" s="1">
        <f t="shared" si="0"/>
        <v>14</v>
      </c>
      <c r="E23" s="1" t="s">
        <v>376</v>
      </c>
      <c r="G23" s="1" t="b">
        <v>1</v>
      </c>
      <c r="S23" s="1" t="s">
        <v>482</v>
      </c>
      <c r="T23" s="1" t="s">
        <v>482</v>
      </c>
      <c r="U23" s="1" t="s">
        <v>482</v>
      </c>
      <c r="V23" s="1" t="s">
        <v>482</v>
      </c>
      <c r="AA23" s="1" t="b">
        <v>1</v>
      </c>
      <c r="AB23" s="1" t="b">
        <v>0</v>
      </c>
      <c r="AC23" s="1" t="b">
        <v>0</v>
      </c>
      <c r="AD23" s="1" t="s">
        <v>504</v>
      </c>
      <c r="AE23" s="1" t="s">
        <v>520</v>
      </c>
      <c r="AF23" s="1" t="s">
        <v>506</v>
      </c>
      <c r="AG23" s="1" t="s">
        <v>520</v>
      </c>
      <c r="AJ23" s="1" t="s">
        <v>561</v>
      </c>
      <c r="AL23" s="1" t="s">
        <v>561</v>
      </c>
      <c r="AM23" s="1" t="s">
        <v>574</v>
      </c>
      <c r="BA23" s="1" t="s">
        <v>259</v>
      </c>
      <c r="BB23" s="1" t="s">
        <v>259</v>
      </c>
    </row>
    <row r="24" spans="2:67" ht="118.5" customHeight="1">
      <c r="B24" s="1">
        <v>1157544</v>
      </c>
      <c r="C24" s="2">
        <v>43321</v>
      </c>
      <c r="D24" s="1">
        <f t="shared" si="0"/>
        <v>16</v>
      </c>
      <c r="E24" s="3" t="s">
        <v>377</v>
      </c>
      <c r="S24" s="1" t="s">
        <v>487</v>
      </c>
      <c r="T24" s="1" t="s">
        <v>487</v>
      </c>
      <c r="AB24" s="1" t="b">
        <v>1</v>
      </c>
      <c r="AC24" s="1" t="b">
        <v>0</v>
      </c>
      <c r="AD24" s="1" t="s">
        <v>507</v>
      </c>
      <c r="AE24" s="1" t="s">
        <v>520</v>
      </c>
      <c r="AF24" s="1" t="s">
        <v>506</v>
      </c>
      <c r="AG24" s="1" t="s">
        <v>520</v>
      </c>
      <c r="AI24" s="1" t="s">
        <v>538</v>
      </c>
      <c r="AK24" s="1" t="s">
        <v>538</v>
      </c>
      <c r="BA24" s="1" t="s">
        <v>259</v>
      </c>
      <c r="BB24" s="1" t="s">
        <v>259</v>
      </c>
    </row>
    <row r="25" spans="2:67" ht="33.950000000000003" customHeight="1">
      <c r="B25" s="1">
        <v>1157544</v>
      </c>
      <c r="C25" s="2">
        <v>43329</v>
      </c>
      <c r="D25" s="1">
        <f t="shared" si="0"/>
        <v>16</v>
      </c>
      <c r="E25" s="1" t="s">
        <v>378</v>
      </c>
    </row>
    <row r="26" spans="2:67" ht="102" customHeight="1">
      <c r="B26" s="1">
        <v>1157544</v>
      </c>
      <c r="C26" s="2">
        <v>43356</v>
      </c>
      <c r="D26" s="1">
        <f t="shared" si="0"/>
        <v>17</v>
      </c>
      <c r="E26" s="1" t="s">
        <v>379</v>
      </c>
      <c r="S26" s="1" t="s">
        <v>487</v>
      </c>
      <c r="T26" s="1" t="s">
        <v>487</v>
      </c>
      <c r="U26" s="1" t="s">
        <v>487</v>
      </c>
      <c r="V26" s="1" t="s">
        <v>487</v>
      </c>
      <c r="AB26" s="1" t="b">
        <v>0</v>
      </c>
      <c r="AC26" s="1" t="b">
        <v>0</v>
      </c>
      <c r="AD26" s="1" t="s">
        <v>507</v>
      </c>
      <c r="AE26" s="1" t="s">
        <v>520</v>
      </c>
      <c r="AF26" s="1" t="s">
        <v>506</v>
      </c>
      <c r="AG26" s="1" t="s">
        <v>520</v>
      </c>
      <c r="AI26" s="1" t="s">
        <v>540</v>
      </c>
      <c r="AJ26" s="1" t="s">
        <v>562</v>
      </c>
      <c r="AK26" s="1" t="s">
        <v>540</v>
      </c>
      <c r="AL26" s="1" t="s">
        <v>562</v>
      </c>
      <c r="BA26" s="1" t="s">
        <v>259</v>
      </c>
      <c r="BB26" s="1" t="s">
        <v>259</v>
      </c>
    </row>
    <row r="27" spans="2:67" ht="33.950000000000003" customHeight="1">
      <c r="B27" s="1">
        <v>1157544</v>
      </c>
      <c r="C27" s="2">
        <v>43397</v>
      </c>
      <c r="D27" s="1">
        <f t="shared" si="0"/>
        <v>18</v>
      </c>
      <c r="E27" s="1" t="s">
        <v>380</v>
      </c>
    </row>
    <row r="28" spans="2:67" ht="102" customHeight="1">
      <c r="B28" s="1">
        <v>1157544</v>
      </c>
      <c r="C28" s="2">
        <v>43405</v>
      </c>
      <c r="D28" s="1">
        <f t="shared" si="0"/>
        <v>18</v>
      </c>
      <c r="E28" s="1" t="s">
        <v>381</v>
      </c>
      <c r="S28" s="1" t="s">
        <v>482</v>
      </c>
      <c r="T28" s="1" t="s">
        <v>482</v>
      </c>
      <c r="U28" s="1" t="s">
        <v>482</v>
      </c>
      <c r="V28" s="1" t="s">
        <v>482</v>
      </c>
      <c r="AB28" s="1" t="b">
        <v>0</v>
      </c>
      <c r="AC28" s="1" t="b">
        <v>0</v>
      </c>
      <c r="AD28" s="1" t="s">
        <v>507</v>
      </c>
      <c r="AE28" s="1" t="s">
        <v>520</v>
      </c>
      <c r="AF28" s="1" t="s">
        <v>506</v>
      </c>
      <c r="AG28" s="1" t="s">
        <v>520</v>
      </c>
      <c r="AI28" s="1" t="s">
        <v>540</v>
      </c>
      <c r="AJ28" s="1" t="s">
        <v>562</v>
      </c>
      <c r="AM28" s="1" t="s">
        <v>574</v>
      </c>
      <c r="BA28" s="1" t="s">
        <v>259</v>
      </c>
      <c r="BB28" s="1" t="s">
        <v>259</v>
      </c>
    </row>
    <row r="29" spans="2:67" ht="102" customHeight="1">
      <c r="B29" s="1">
        <v>1157544</v>
      </c>
      <c r="C29" s="2">
        <v>43447</v>
      </c>
      <c r="D29" s="1">
        <f t="shared" si="0"/>
        <v>20</v>
      </c>
      <c r="E29" s="1" t="s">
        <v>382</v>
      </c>
      <c r="T29" s="1" t="s">
        <v>483</v>
      </c>
      <c r="V29" s="1" t="s">
        <v>482</v>
      </c>
      <c r="AB29" s="1" t="b">
        <v>0</v>
      </c>
      <c r="AC29" s="1" t="b">
        <v>0</v>
      </c>
      <c r="AD29" s="1" t="s">
        <v>507</v>
      </c>
      <c r="AE29" s="1" t="s">
        <v>520</v>
      </c>
      <c r="AF29" s="1" t="s">
        <v>506</v>
      </c>
      <c r="AG29" s="1" t="s">
        <v>520</v>
      </c>
      <c r="AH29" s="1" t="s">
        <v>530</v>
      </c>
      <c r="AI29" s="1" t="s">
        <v>540</v>
      </c>
      <c r="AJ29" s="1" t="s">
        <v>561</v>
      </c>
      <c r="AK29" s="1" t="s">
        <v>540</v>
      </c>
      <c r="AL29" s="1" t="s">
        <v>561</v>
      </c>
      <c r="BA29" s="1" t="s">
        <v>259</v>
      </c>
      <c r="BB29" s="1" t="s">
        <v>259</v>
      </c>
    </row>
    <row r="30" spans="2:67" ht="84.95" customHeight="1">
      <c r="B30" s="1">
        <v>1157544</v>
      </c>
      <c r="C30" s="2">
        <v>43475</v>
      </c>
      <c r="D30" s="1">
        <f t="shared" si="0"/>
        <v>21</v>
      </c>
      <c r="E30" s="1" t="s">
        <v>383</v>
      </c>
      <c r="AA30" s="1" t="b">
        <v>1</v>
      </c>
      <c r="AB30" s="1" t="b">
        <v>0</v>
      </c>
      <c r="AC30" s="1" t="b">
        <v>0</v>
      </c>
      <c r="AD30" s="1" t="s">
        <v>507</v>
      </c>
      <c r="AE30" s="1" t="s">
        <v>520</v>
      </c>
      <c r="AF30" s="1" t="s">
        <v>506</v>
      </c>
      <c r="AG30" s="1" t="s">
        <v>520</v>
      </c>
      <c r="AI30" s="1" t="s">
        <v>540</v>
      </c>
      <c r="AJ30" s="1" t="s">
        <v>561</v>
      </c>
      <c r="AK30" s="1" t="s">
        <v>538</v>
      </c>
      <c r="AM30" s="1" t="s">
        <v>574</v>
      </c>
      <c r="AQ30" s="1" t="b">
        <v>0</v>
      </c>
    </row>
    <row r="31" spans="2:67" ht="102" customHeight="1">
      <c r="B31" s="1">
        <v>1157544</v>
      </c>
      <c r="C31" s="2">
        <v>43517</v>
      </c>
      <c r="D31" s="1">
        <f t="shared" si="0"/>
        <v>22</v>
      </c>
      <c r="E31" s="1" t="s">
        <v>384</v>
      </c>
      <c r="AB31" s="1" t="b">
        <v>0</v>
      </c>
      <c r="AC31" s="1" t="b">
        <v>0</v>
      </c>
      <c r="AD31" s="1" t="s">
        <v>507</v>
      </c>
      <c r="AE31" s="1" t="s">
        <v>520</v>
      </c>
      <c r="AF31" s="1" t="s">
        <v>506</v>
      </c>
      <c r="AG31" s="1" t="s">
        <v>520</v>
      </c>
      <c r="AI31" s="1" t="s">
        <v>538</v>
      </c>
      <c r="AK31" s="1" t="s">
        <v>540</v>
      </c>
      <c r="AL31" s="1" t="s">
        <v>562</v>
      </c>
    </row>
    <row r="32" spans="2:67" ht="51" customHeight="1">
      <c r="B32" s="1">
        <v>1157544</v>
      </c>
      <c r="C32" s="2">
        <v>43567</v>
      </c>
      <c r="D32" s="1">
        <f t="shared" si="0"/>
        <v>24</v>
      </c>
      <c r="E32" s="3" t="s">
        <v>385</v>
      </c>
      <c r="G32" s="1" t="b">
        <v>1</v>
      </c>
    </row>
    <row r="33" spans="2:67" ht="57.75" customHeight="1">
      <c r="B33" s="1">
        <v>1157544</v>
      </c>
      <c r="C33" s="2">
        <v>43574</v>
      </c>
      <c r="D33" s="1">
        <f t="shared" si="0"/>
        <v>24</v>
      </c>
      <c r="E33" s="1" t="s">
        <v>386</v>
      </c>
      <c r="BG33" s="1" t="s">
        <v>592</v>
      </c>
    </row>
    <row r="34" spans="2:67" ht="84.95" customHeight="1">
      <c r="B34" s="1">
        <v>1157544</v>
      </c>
      <c r="C34" s="2">
        <v>43685</v>
      </c>
      <c r="D34" s="1">
        <f t="shared" si="0"/>
        <v>28</v>
      </c>
      <c r="E34" s="1" t="s">
        <v>387</v>
      </c>
      <c r="BO34" s="1" t="b">
        <v>1</v>
      </c>
    </row>
    <row r="35" spans="2:67" ht="102" customHeight="1">
      <c r="B35" s="1">
        <v>1157544</v>
      </c>
      <c r="C35" s="2">
        <v>43787</v>
      </c>
      <c r="D35" s="1">
        <f t="shared" si="0"/>
        <v>31</v>
      </c>
      <c r="E35" s="1" t="s">
        <v>388</v>
      </c>
      <c r="BA35" s="1" t="s">
        <v>259</v>
      </c>
      <c r="BB35" s="1" t="s">
        <v>259</v>
      </c>
      <c r="BO35" s="1" t="b">
        <v>1</v>
      </c>
    </row>
    <row r="36" spans="2:67" ht="51" customHeight="1">
      <c r="B36" s="1">
        <v>1157544</v>
      </c>
      <c r="C36" s="2">
        <v>43811</v>
      </c>
      <c r="D36" s="1">
        <f t="shared" si="0"/>
        <v>32</v>
      </c>
      <c r="E36" s="1" t="s">
        <v>389</v>
      </c>
      <c r="BG36" s="1" t="s">
        <v>592</v>
      </c>
    </row>
    <row r="37" spans="2:67" ht="102" customHeight="1">
      <c r="B37" s="1">
        <v>1157544</v>
      </c>
      <c r="C37" s="2">
        <v>44237</v>
      </c>
      <c r="D37" s="1">
        <f t="shared" si="0"/>
        <v>46</v>
      </c>
      <c r="E37" s="1" t="s">
        <v>390</v>
      </c>
      <c r="BA37" s="1" t="s">
        <v>259</v>
      </c>
      <c r="BB37" s="1" t="s">
        <v>259</v>
      </c>
      <c r="BO37" s="1" t="b">
        <v>1</v>
      </c>
    </row>
    <row r="38" spans="2:67" ht="102" customHeight="1">
      <c r="B38" s="1">
        <v>1157544</v>
      </c>
      <c r="C38" s="2">
        <v>44615</v>
      </c>
      <c r="D38" s="1">
        <f t="shared" si="0"/>
        <v>58</v>
      </c>
      <c r="E38" s="1" t="s">
        <v>391</v>
      </c>
      <c r="BA38" s="1" t="s">
        <v>259</v>
      </c>
      <c r="BB38" s="1" t="s">
        <v>259</v>
      </c>
      <c r="BO38" s="1" t="b">
        <v>1</v>
      </c>
    </row>
    <row r="39" spans="2:67" s="3" customFormat="1" ht="33.950000000000003" customHeight="1">
      <c r="B39" s="3">
        <v>1157544</v>
      </c>
      <c r="C39" s="4">
        <v>45139</v>
      </c>
      <c r="D39" s="1">
        <f t="shared" si="0"/>
        <v>75</v>
      </c>
      <c r="E39" s="3" t="s">
        <v>392</v>
      </c>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row>
    <row r="40" spans="2:67" s="3" customFormat="1" ht="84.95" customHeight="1">
      <c r="B40" s="3">
        <v>1157544</v>
      </c>
      <c r="C40" s="4">
        <v>45152</v>
      </c>
      <c r="D40" s="1">
        <f t="shared" si="0"/>
        <v>76</v>
      </c>
      <c r="E40" s="3" t="s">
        <v>393</v>
      </c>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t="s">
        <v>259</v>
      </c>
      <c r="BB40" s="1"/>
      <c r="BC40" s="1"/>
      <c r="BD40" s="1"/>
      <c r="BE40" s="1"/>
      <c r="BF40" s="1"/>
      <c r="BG40" s="1" t="s">
        <v>592</v>
      </c>
      <c r="BH40" s="1"/>
      <c r="BI40" s="1"/>
      <c r="BJ40" s="1"/>
      <c r="BK40" s="1"/>
      <c r="BL40" s="1"/>
      <c r="BM40" s="1"/>
      <c r="BN40" s="1"/>
      <c r="BO40" s="1"/>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68">
        <x14:dataValidation type="list" allowBlank="1" showInputMessage="1" showErrorMessage="1" xr:uid="{00000000-0002-0000-0700-000000000000}">
          <x14:formula1>
            <xm:f>list!$B$84:$D$84</xm:f>
          </x14:formula1>
          <xm:sqref>BJ2:BJ40 BJ41:BK83</xm:sqref>
        </x14:dataValidation>
        <x14:dataValidation type="list" allowBlank="1" showInputMessage="1" showErrorMessage="1" xr:uid="{00000000-0002-0000-0700-000001000000}">
          <x14:formula1>
            <xm:f>list!$B$27:$C$27</xm:f>
          </x14:formula1>
          <xm:sqref>Z2:Z40 Y41:AA1048576</xm:sqref>
        </x14:dataValidation>
        <x14:dataValidation type="list" allowBlank="1" showInputMessage="1" showErrorMessage="1" xr:uid="{00000000-0002-0000-0700-000002000000}">
          <x14:formula1>
            <xm:f>list!$B$21:$M$21</xm:f>
          </x14:formula1>
          <xm:sqref>S41:V1048576 S2:S11 S16:S21 U26 S24:S27 S29:S40</xm:sqref>
        </x14:dataValidation>
        <x14:dataValidation type="list" allowBlank="1" showInputMessage="1" showErrorMessage="1" xr:uid="{00000000-0002-0000-0700-000003000000}">
          <x14:formula1>
            <xm:f>list!$B$34:$C$34</xm:f>
          </x14:formula1>
          <xm:sqref>AB41:AC1048576 AB2:AB40</xm:sqref>
        </x14:dataValidation>
        <x14:dataValidation type="list" allowBlank="1" showInputMessage="1" showErrorMessage="1" xr:uid="{00000000-0002-0000-0700-000004000000}">
          <x14:formula1>
            <xm:f>list!$B$41:$F$41</xm:f>
          </x14:formula1>
          <xm:sqref>AI41:AI1048576 AK41:AK1048576</xm:sqref>
        </x14:dataValidation>
        <x14:dataValidation type="list" allowBlank="1" showInputMessage="1" showErrorMessage="1" xr:uid="{00000000-0002-0000-0700-000005000000}">
          <x14:formula1>
            <xm:f>list!$B$42:$Z$42</xm:f>
          </x14:formula1>
          <xm:sqref>AL41:AL1048576 AJ2:AJ14 AL26 AJ17:AJ1048576 AL29</xm:sqref>
        </x14:dataValidation>
        <x14:dataValidation type="list" allowBlank="1" showInputMessage="1" showErrorMessage="1" xr:uid="{00000000-0002-0000-0700-000006000000}">
          <x14:formula1>
            <xm:f>list!$B$50:$C$50</xm:f>
          </x14:formula1>
          <xm:sqref>BC41:BD1048576 AN2:AN40 AN41:AZ1048576</xm:sqref>
        </x14:dataValidation>
        <x14:dataValidation type="list" allowBlank="1" showInputMessage="1" showErrorMessage="1" xr:uid="{00000000-0002-0000-0700-000007000000}">
          <x14:formula1>
            <xm:f>list!$B$64:$E$64</xm:f>
          </x14:formula1>
          <xm:sqref>BA2:BA11 BA17 BA19:BA21 BA25 BA27 BA30:BA1048576</xm:sqref>
        </x14:dataValidation>
        <x14:dataValidation type="list" allowBlank="1" showInputMessage="1" showErrorMessage="1" xr:uid="{00000000-0002-0000-0700-000008000000}">
          <x14:formula1>
            <xm:f>list!$B$65:$F$65</xm:f>
          </x14:formula1>
          <xm:sqref>BB2:BB11 BB17 BB19:BB21 BB25 BB27 BB30:BB1048576</xm:sqref>
        </x14:dataValidation>
        <x14:dataValidation type="list" allowBlank="1" showInputMessage="1" showErrorMessage="1" xr:uid="{00000000-0002-0000-0700-000009000000}">
          <x14:formula1>
            <xm:f>list!$B$68:$G$68</xm:f>
          </x14:formula1>
          <xm:sqref>BE2:BE1048576</xm:sqref>
        </x14:dataValidation>
        <x14:dataValidation type="list" allowBlank="1" showInputMessage="1" showErrorMessage="1" xr:uid="{00000000-0002-0000-0700-00000A000000}">
          <x14:formula1>
            <xm:f>list!$B$69:$C$69</xm:f>
          </x14:formula1>
          <xm:sqref>BF2:BF1048576</xm:sqref>
        </x14:dataValidation>
        <x14:dataValidation type="list" allowBlank="1" showInputMessage="1" showErrorMessage="1" xr:uid="{00000000-0002-0000-0700-00000B000000}">
          <x14:formula1>
            <xm:f>list!$B$19:$D$19</xm:f>
          </x14:formula1>
          <xm:sqref>Q2:Q100</xm:sqref>
        </x14:dataValidation>
        <x14:dataValidation type="list" allowBlank="1" showInputMessage="1" showErrorMessage="1" xr:uid="{00000000-0002-0000-0700-00000C000000}">
          <x14:formula1>
            <xm:f>list!$B$2:$C$2</xm:f>
          </x14:formula1>
          <xm:sqref>G41:K1048576 G2:G40 M41:P1048576</xm:sqref>
        </x14:dataValidation>
        <x14:dataValidation type="list" allowBlank="1" showInputMessage="1" showErrorMessage="1" xr:uid="{00000000-0002-0000-0700-00000D000000}">
          <x14:formula1>
            <xm:f>list!$B$37:$XFD$37</xm:f>
          </x14:formula1>
          <xm:sqref>AE41:AE1048576 AG41:AG1048576</xm:sqref>
        </x14:dataValidation>
        <x14:dataValidation type="list" allowBlank="1" showInputMessage="1" showErrorMessage="1" xr:uid="{00000000-0002-0000-0700-00000E000000}">
          <x14:formula1>
            <xm:f>list!$B$33:$XFD$33</xm:f>
          </x14:formula1>
          <xm:sqref>L41:L101</xm:sqref>
        </x14:dataValidation>
        <x14:dataValidation type="list" allowBlank="1" showInputMessage="1" showErrorMessage="1" xr:uid="{00000000-0002-0000-0700-00000F000000}">
          <x14:formula1>
            <xm:f>list!$B$36:$XFD$36</xm:f>
          </x14:formula1>
          <xm:sqref>AF41:AF99 AD41:AD99</xm:sqref>
        </x14:dataValidation>
        <x14:dataValidation type="list" allowBlank="1" showInputMessage="1" showErrorMessage="1" xr:uid="{00000000-0002-0000-0700-000010000000}">
          <x14:formula1>
            <xm:f>list!$B$49:$XFD$49</xm:f>
          </x14:formula1>
          <xm:sqref>AM41:AM110</xm:sqref>
        </x14:dataValidation>
        <x14:dataValidation type="list" allowBlank="1" showInputMessage="1" showErrorMessage="1" xr:uid="{00000000-0002-0000-0700-000011000000}">
          <x14:formula1>
            <xm:f>list!$B$20:$I$20</xm:f>
          </x14:formula1>
          <xm:sqref>R2:R101</xm:sqref>
        </x14:dataValidation>
        <x14:dataValidation type="list" allowBlank="1" showInputMessage="1" showErrorMessage="1" xr:uid="{00000000-0002-0000-0700-000012000000}">
          <x14:formula1>
            <xm:f>list!$B$40:$I$40</xm:f>
          </x14:formula1>
          <xm:sqref>AH2:AH101</xm:sqref>
        </x14:dataValidation>
        <x14:dataValidation type="list" allowBlank="1" showInputMessage="1" showErrorMessage="1" xr:uid="{00000000-0002-0000-0700-000013000000}">
          <x14:formula1>
            <xm:f>list!$B$19:$C$19</xm:f>
          </x14:formula1>
          <xm:sqref>Q101:Q1048576</xm:sqref>
        </x14:dataValidation>
        <x14:dataValidation type="list" allowBlank="1" showInputMessage="1" showErrorMessage="1" xr:uid="{00000000-0002-0000-0700-000014000000}">
          <x14:formula1>
            <xm:f>list!$B$26:$E$26</xm:f>
          </x14:formula1>
          <xm:sqref>X52:X1048576 X2:X40</xm:sqref>
        </x14:dataValidation>
        <x14:dataValidation type="list" allowBlank="1" showInputMessage="1" showErrorMessage="1" xr:uid="{00000000-0002-0000-0700-000015000000}">
          <x14:formula1>
            <xm:f>list!$B$36:$G$36</xm:f>
          </x14:formula1>
          <xm:sqref>AD100:AD1048576 AF100:AF1048576 AD2 AD4:AD5 AD10 AD17:AD40</xm:sqref>
        </x14:dataValidation>
        <x14:dataValidation type="list" allowBlank="1" showInputMessage="1" showErrorMessage="1" xr:uid="{00000000-0002-0000-0700-000016000000}">
          <x14:formula1>
            <xm:f>list!$B$49:$P$49</xm:f>
          </x14:formula1>
          <xm:sqref>AM111:AM1048576</xm:sqref>
        </x14:dataValidation>
        <x14:dataValidation type="list" allowBlank="1" showInputMessage="1" showErrorMessage="1" xr:uid="{00000000-0002-0000-0700-000017000000}">
          <x14:formula1>
            <xm:f>list!$B$70:$F$70</xm:f>
          </x14:formula1>
          <xm:sqref>BG98:BG1048576</xm:sqref>
        </x14:dataValidation>
        <x14:dataValidation type="list" allowBlank="1" showInputMessage="1" showErrorMessage="1" xr:uid="{00000000-0002-0000-0700-000018000000}">
          <x14:formula1>
            <xm:f>list!$B$72:$C$72</xm:f>
          </x14:formula1>
          <xm:sqref>BJ84:BK1048576 BL41:BO1048576 BG41:BG97 BH2:BH40 BH41:BI1048576</xm:sqref>
        </x14:dataValidation>
        <x14:dataValidation type="list" allowBlank="1" showInputMessage="1" showErrorMessage="1" xr:uid="{00000000-0002-0000-0700-000019000000}">
          <x14:formula1>
            <xm:f>list!$B$25:$E$25</xm:f>
          </x14:formula1>
          <xm:sqref>W52:W1048576 W2:W6 W11:W40</xm:sqref>
        </x14:dataValidation>
        <x14:dataValidation type="list" allowBlank="1" showInputMessage="1" showErrorMessage="1" xr:uid="{EDF7E85F-6395-45F1-B446-F96A7CE2B35C}">
          <x14:formula1>
            <xm:f>list!$B$82:$C$82</xm:f>
          </x14:formula1>
          <xm:sqref>BO2:BO40</xm:sqref>
        </x14:dataValidation>
        <x14:dataValidation type="list" allowBlank="1" showInputMessage="1" showErrorMessage="1" xr:uid="{7BCA7C42-7BCE-440F-968D-E407D2DC74FD}">
          <x14:formula1>
            <xm:f>list!$B$80:$C$80</xm:f>
          </x14:formula1>
          <xm:sqref>BM2:BM40</xm:sqref>
        </x14:dataValidation>
        <x14:dataValidation type="list" allowBlank="1" showInputMessage="1" showErrorMessage="1" xr:uid="{BE6B060C-C2CE-48E7-BEF6-D2FF51480E4A}">
          <x14:formula1>
            <xm:f>list!$B$79:$C$79</xm:f>
          </x14:formula1>
          <xm:sqref>BL2:BL40</xm:sqref>
        </x14:dataValidation>
        <x14:dataValidation type="list" allowBlank="1" showInputMessage="1" showErrorMessage="1" xr:uid="{6D1ACD60-8523-4D24-92FE-726F6124B2D3}">
          <x14:formula1>
            <xm:f>list!$B$85:$D$85</xm:f>
          </x14:formula1>
          <xm:sqref>BK2:BK40</xm:sqref>
        </x14:dataValidation>
        <x14:dataValidation type="list" allowBlank="1" showInputMessage="1" showErrorMessage="1" xr:uid="{AAB9FA9D-D9B6-453A-91F7-40C49E8DEB78}">
          <x14:formula1>
            <xm:f>list!$B$73:$C$73</xm:f>
          </x14:formula1>
          <xm:sqref>BI2:BI40</xm:sqref>
        </x14:dataValidation>
        <x14:dataValidation type="list" allowBlank="1" showInputMessage="1" showErrorMessage="1" xr:uid="{F0FC83BB-8120-477B-B795-D1CEF351E1CB}">
          <x14:formula1>
            <xm:f>list!$B$70:$G$70</xm:f>
          </x14:formula1>
          <xm:sqref>BG2:BG40</xm:sqref>
        </x14:dataValidation>
        <x14:dataValidation type="list" allowBlank="1" showInputMessage="1" showErrorMessage="1" xr:uid="{E929DF45-64F6-46B7-A5AC-3B7485E6EE6A}">
          <x14:formula1>
            <xm:f>list!$B$67:$C$67</xm:f>
          </x14:formula1>
          <xm:sqref>BD2:BD40</xm:sqref>
        </x14:dataValidation>
        <x14:dataValidation type="list" allowBlank="1" showInputMessage="1" showErrorMessage="1" xr:uid="{3ED0F28F-0B12-4D8E-ADFA-C993E413F7B3}">
          <x14:formula1>
            <xm:f>list!$B$66:$C$66</xm:f>
          </x14:formula1>
          <xm:sqref>BC2:BC40</xm:sqref>
        </x14:dataValidation>
        <x14:dataValidation type="list" allowBlank="1" showInputMessage="1" showErrorMessage="1" xr:uid="{D9248E15-90D3-47D5-B854-D97AAF95200C}">
          <x14:formula1>
            <xm:f>list!$B$63:$C$63</xm:f>
          </x14:formula1>
          <xm:sqref>AZ2:AZ40</xm:sqref>
        </x14:dataValidation>
        <x14:dataValidation type="list" allowBlank="1" showInputMessage="1" showErrorMessage="1" xr:uid="{4D693CF1-2755-4CD8-B825-BA6C3F4872E0}">
          <x14:formula1>
            <xm:f>list!$B$61:$C$61</xm:f>
          </x14:formula1>
          <xm:sqref>AY2:AY40</xm:sqref>
        </x14:dataValidation>
        <x14:dataValidation type="list" allowBlank="1" showInputMessage="1" showErrorMessage="1" xr:uid="{7016287C-436B-4CA1-9212-3010ED24E4FD}">
          <x14:formula1>
            <xm:f>list!$B$60:$C$60</xm:f>
          </x14:formula1>
          <xm:sqref>AX2:AX40</xm:sqref>
        </x14:dataValidation>
        <x14:dataValidation type="list" allowBlank="1" showInputMessage="1" showErrorMessage="1" xr:uid="{CEF38C29-989C-4B2B-8116-A8F964F72787}">
          <x14:formula1>
            <xm:f>list!$B$59:$C$59</xm:f>
          </x14:formula1>
          <xm:sqref>AW2:AW40</xm:sqref>
        </x14:dataValidation>
        <x14:dataValidation type="list" allowBlank="1" showInputMessage="1" showErrorMessage="1" xr:uid="{E4643B42-16A7-4EA6-AE0F-3DCDBC570041}">
          <x14:formula1>
            <xm:f>list!$B$58:$C$58</xm:f>
          </x14:formula1>
          <xm:sqref>AV2:AV40</xm:sqref>
        </x14:dataValidation>
        <x14:dataValidation type="list" allowBlank="1" showInputMessage="1" showErrorMessage="1" xr:uid="{9D6138C0-43F5-4EEA-9549-06AAA3BCCED5}">
          <x14:formula1>
            <xm:f>list!$B$57:$C$57</xm:f>
          </x14:formula1>
          <xm:sqref>AU2:AU40</xm:sqref>
        </x14:dataValidation>
        <x14:dataValidation type="list" allowBlank="1" showInputMessage="1" showErrorMessage="1" xr:uid="{32E774ED-DE46-4410-BD6F-2DA6A9E9356E}">
          <x14:formula1>
            <xm:f>list!$B$56:$C$56</xm:f>
          </x14:formula1>
          <xm:sqref>AT2:AT40</xm:sqref>
        </x14:dataValidation>
        <x14:dataValidation type="list" allowBlank="1" showInputMessage="1" showErrorMessage="1" xr:uid="{8D9ADBD3-F6DB-41CE-8A80-C8FFDDBB82FA}">
          <x14:formula1>
            <xm:f>list!$B$55:$C$55</xm:f>
          </x14:formula1>
          <xm:sqref>AS2:AS40</xm:sqref>
        </x14:dataValidation>
        <x14:dataValidation type="list" allowBlank="1" showInputMessage="1" showErrorMessage="1" xr:uid="{36E7E867-60D0-4F36-8F41-B6A4E86A13C0}">
          <x14:formula1>
            <xm:f>list!$B$54:$C$54</xm:f>
          </x14:formula1>
          <xm:sqref>AR2:AR40</xm:sqref>
        </x14:dataValidation>
        <x14:dataValidation type="list" allowBlank="1" showInputMessage="1" showErrorMessage="1" xr:uid="{F5DFC7E4-7FDE-4C2B-9F74-B5667C1D23BC}">
          <x14:formula1>
            <xm:f>list!$B$53:$C$53</xm:f>
          </x14:formula1>
          <xm:sqref>AQ2:AQ40</xm:sqref>
        </x14:dataValidation>
        <x14:dataValidation type="list" allowBlank="1" showInputMessage="1" showErrorMessage="1" xr:uid="{FAE323D7-124B-4641-8CB0-568434410395}">
          <x14:formula1>
            <xm:f>list!$B$52:$C$52</xm:f>
          </x14:formula1>
          <xm:sqref>AP2:AP40</xm:sqref>
        </x14:dataValidation>
        <x14:dataValidation type="list" allowBlank="1" showInputMessage="1" showErrorMessage="1" xr:uid="{862B75FF-BC70-43EE-AA51-6F80A3630464}">
          <x14:formula1>
            <xm:f>list!$B$51:$C$51</xm:f>
          </x14:formula1>
          <xm:sqref>AO2:AO40</xm:sqref>
        </x14:dataValidation>
        <x14:dataValidation type="list" allowBlank="1" showInputMessage="1" showErrorMessage="1" xr:uid="{91353295-2727-4ECB-9653-507FDF3F59E8}">
          <x14:formula1>
            <xm:f>list!$B$49:$Q$49</xm:f>
          </x14:formula1>
          <xm:sqref>AM2:AM40</xm:sqref>
        </x14:dataValidation>
        <x14:dataValidation type="list" allowBlank="1" showInputMessage="1" showErrorMessage="1" xr:uid="{BE5EA184-CF63-4236-A11B-4992F1CAD307}">
          <x14:formula1>
            <xm:f>list!$B$44:$Z$44</xm:f>
          </x14:formula1>
          <xm:sqref>AL2:AL14 AL17:AL25 AL27:AL28 AL30:AL40</xm:sqref>
        </x14:dataValidation>
        <x14:dataValidation type="list" allowBlank="1" showInputMessage="1" showErrorMessage="1" xr:uid="{5D1B6F7A-51B2-4016-AA05-E2E40A6176A6}">
          <x14:formula1>
            <xm:f>list!$B$43:$H$43</xm:f>
          </x14:formula1>
          <xm:sqref>AK2:AK14 AK17:AK25 AK27:AK28 AK30:AK40</xm:sqref>
        </x14:dataValidation>
        <x14:dataValidation type="list" allowBlank="1" showInputMessage="1" showErrorMessage="1" xr:uid="{B4335D4E-27E1-4507-B858-3F94CACCE66D}">
          <x14:formula1>
            <xm:f>list!$B$41:$H$41</xm:f>
          </x14:formula1>
          <xm:sqref>AI2:AI14 AK26 AI17:AI40 AK29</xm:sqref>
        </x14:dataValidation>
        <x14:dataValidation type="list" allowBlank="1" showInputMessage="1" showErrorMessage="1" xr:uid="{3C85E86F-1C0E-4DFA-A118-0D6066FC619C}">
          <x14:formula1>
            <xm:f>list!$B$39:$U$39</xm:f>
          </x14:formula1>
          <xm:sqref>AG2 AG4:AG5 AG10 AG17:AG40</xm:sqref>
        </x14:dataValidation>
        <x14:dataValidation type="list" allowBlank="1" showInputMessage="1" showErrorMessage="1" xr:uid="{2F93E5F4-3B44-46DB-BC65-C2FAD544F27D}">
          <x14:formula1>
            <xm:f>list!$B$38:$G$38</xm:f>
          </x14:formula1>
          <xm:sqref>AF2 AF4:AF5 AF10 AF17:AF40</xm:sqref>
        </x14:dataValidation>
        <x14:dataValidation type="list" allowBlank="1" showInputMessage="1" showErrorMessage="1" xr:uid="{34DE99E2-2FE3-443C-A2F4-710E80102E6C}">
          <x14:formula1>
            <xm:f>list!$B$37:$U$37</xm:f>
          </x14:formula1>
          <xm:sqref>AE2 AE4:AE5 AE10 AE17:AE40</xm:sqref>
        </x14:dataValidation>
        <x14:dataValidation type="list" allowBlank="1" showInputMessage="1" showErrorMessage="1" xr:uid="{2CED6C2A-B470-454D-B23E-B226FA184C07}">
          <x14:formula1>
            <xm:f>list!$B$35:$C$35</xm:f>
          </x14:formula1>
          <xm:sqref>AC2:AC40</xm:sqref>
        </x14:dataValidation>
        <x14:dataValidation type="list" allowBlank="1" showInputMessage="1" showErrorMessage="1" xr:uid="{0056E4E2-BBF8-4E02-B5E9-AD4EB53069B3}">
          <x14:formula1>
            <xm:f>list!$B$32:$C$32</xm:f>
          </x14:formula1>
          <xm:sqref>AA2:AA40</xm:sqref>
        </x14:dataValidation>
        <x14:dataValidation type="list" allowBlank="1" showInputMessage="1" showErrorMessage="1" xr:uid="{F19BADB0-5810-4787-A2B4-7FF61552058D}">
          <x14:formula1>
            <xm:f>list!$B$29:$C$29</xm:f>
          </x14:formula1>
          <xm:sqref>Y2:Y40</xm:sqref>
        </x14:dataValidation>
        <x14:dataValidation type="list" allowBlank="1" showInputMessage="1" showErrorMessage="1" xr:uid="{0D9DAEF5-575D-414D-BFB9-041A09488A34}">
          <x14:formula1>
            <xm:f>list!$B$24:$M$24</xm:f>
          </x14:formula1>
          <xm:sqref>V2:V6 V11 T22:T23 V16:V25 V27:V40 T28</xm:sqref>
        </x14:dataValidation>
        <x14:dataValidation type="list" allowBlank="1" showInputMessage="1" showErrorMessage="1" xr:uid="{DE9F7568-E568-46BC-A0F5-1EBC17E7C316}">
          <x14:formula1>
            <xm:f>list!$B$23:$M$23</xm:f>
          </x14:formula1>
          <xm:sqref>U2:U6 U11 S22:S23 U16:U25 U27:U40 S28</xm:sqref>
        </x14:dataValidation>
        <x14:dataValidation type="list" allowBlank="1" showInputMessage="1" showErrorMessage="1" xr:uid="{27B385A9-F5D0-4D02-9CAB-8F5DB209F48C}">
          <x14:formula1>
            <xm:f>list!$B$22:$M$22</xm:f>
          </x14:formula1>
          <xm:sqref>T2:T6 T11 T16:T21 V26 T24:T27 T29:T40</xm:sqref>
        </x14:dataValidation>
        <x14:dataValidation type="list" allowBlank="1" showInputMessage="1" showErrorMessage="1" xr:uid="{F8D6FE5E-9BB9-4BDA-9679-B6A3EA4B50D2}">
          <x14:formula1>
            <xm:f>list!$B$15:$C$15</xm:f>
          </x14:formula1>
          <xm:sqref>P2:P40</xm:sqref>
        </x14:dataValidation>
        <x14:dataValidation type="list" allowBlank="1" showInputMessage="1" showErrorMessage="1" xr:uid="{F3A5BA86-C8A6-4A78-9B92-E0493136D3CC}">
          <x14:formula1>
            <xm:f>list!$B$13:$C$13</xm:f>
          </x14:formula1>
          <xm:sqref>O2:O40</xm:sqref>
        </x14:dataValidation>
        <x14:dataValidation type="list" allowBlank="1" showInputMessage="1" showErrorMessage="1" xr:uid="{AA13CAF3-999D-48ED-9E1F-18EA3FA76C1E}">
          <x14:formula1>
            <xm:f>list!$B$12:$C$12</xm:f>
          </x14:formula1>
          <xm:sqref>N2:N40</xm:sqref>
        </x14:dataValidation>
        <x14:dataValidation type="list" allowBlank="1" showInputMessage="1" showErrorMessage="1" xr:uid="{BEC23EF1-8368-4D18-BF62-F559BA1E2BD2}">
          <x14:formula1>
            <xm:f>list!$B$10:$C$10</xm:f>
          </x14:formula1>
          <xm:sqref>M2:M40</xm:sqref>
        </x14:dataValidation>
        <x14:dataValidation type="list" allowBlank="1" showInputMessage="1" showErrorMessage="1" xr:uid="{EA3EB3B8-824B-4256-9A5F-0ECD35ECC93A}">
          <x14:formula1>
            <xm:f>list!$B$33:$K$33</xm:f>
          </x14:formula1>
          <xm:sqref>L2:L40</xm:sqref>
        </x14:dataValidation>
        <x14:dataValidation type="list" allowBlank="1" showInputMessage="1" showErrorMessage="1" xr:uid="{B5E05E7B-8207-410A-BB92-D12257C65519}">
          <x14:formula1>
            <xm:f>list!$B$9:$C$9</xm:f>
          </x14:formula1>
          <xm:sqref>K2:K40</xm:sqref>
        </x14:dataValidation>
        <x14:dataValidation type="list" allowBlank="1" showInputMessage="1" showErrorMessage="1" xr:uid="{A927AC72-8BC1-4141-8559-E904BE0F19B1}">
          <x14:formula1>
            <xm:f>list!$B$8:$C$8</xm:f>
          </x14:formula1>
          <xm:sqref>J2:J40</xm:sqref>
        </x14:dataValidation>
        <x14:dataValidation type="list" allowBlank="1" showInputMessage="1" showErrorMessage="1" xr:uid="{C5336D58-C21F-4943-8862-489FEC721FA5}">
          <x14:formula1>
            <xm:f>list!$B$7:$C$7</xm:f>
          </x14:formula1>
          <xm:sqref>I2:I40</xm:sqref>
        </x14:dataValidation>
        <x14:dataValidation type="list" allowBlank="1" showInputMessage="1" showErrorMessage="1" xr:uid="{1C46EE12-D37F-41A6-818F-C5A9DEDAB315}">
          <x14:formula1>
            <xm:f>list!$B$6:$C$6</xm:f>
          </x14:formula1>
          <xm:sqref>H2:H40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7">
    <tabColor rgb="FF92D050"/>
  </sheetPr>
  <dimension ref="A1:BO32"/>
  <sheetViews>
    <sheetView tabSelected="1" zoomScale="50" zoomScaleNormal="50" workbookViewId="0">
      <pane xSplit="6" ySplit="1" topLeftCell="BA18" activePane="bottomRight" state="frozen"/>
      <selection pane="topRight"/>
      <selection pane="bottomLeft"/>
      <selection pane="bottomRight" activeCell="F2" sqref="F2:F32"/>
    </sheetView>
  </sheetViews>
  <sheetFormatPr defaultColWidth="10.875" defaultRowHeight="15.75"/>
  <cols>
    <col min="1" max="1" width="5.875" style="1" customWidth="1"/>
    <col min="2" max="2" width="4.5" style="1" customWidth="1"/>
    <col min="3" max="3" width="5" style="1" customWidth="1"/>
    <col min="4" max="4" width="4" style="1" customWidth="1"/>
    <col min="5" max="5" width="78.875" style="1" customWidth="1"/>
    <col min="6" max="6" width="14.375" style="1" customWidth="1"/>
    <col min="7" max="7" width="63.5" style="1" customWidth="1"/>
    <col min="8" max="8" width="22" style="1" customWidth="1"/>
    <col min="9" max="9" width="21.625" style="1" customWidth="1"/>
    <col min="10" max="10" width="22" style="1" customWidth="1"/>
    <col min="11" max="11" width="21.625" style="1" customWidth="1"/>
    <col min="12" max="12" width="38.875" style="1" customWidth="1"/>
    <col min="13" max="13" width="23.875" style="1" bestFit="1" customWidth="1"/>
    <col min="14" max="14" width="7.625" style="1" customWidth="1"/>
    <col min="15" max="15" width="21.5" style="1" customWidth="1"/>
    <col min="16" max="16" width="17.125" style="1" customWidth="1"/>
    <col min="17" max="17" width="21.625" style="1" customWidth="1"/>
    <col min="18" max="18" width="13.5" style="1" customWidth="1"/>
    <col min="19" max="19" width="25.375" style="1" customWidth="1"/>
    <col min="20" max="20" width="24.375" style="1" customWidth="1"/>
    <col min="21" max="21" width="23.875" style="1" customWidth="1"/>
    <col min="22" max="22" width="22.875" style="1" customWidth="1"/>
    <col min="23" max="23" width="21.5" style="1" customWidth="1"/>
    <col min="24" max="24" width="19.875" style="1" customWidth="1"/>
    <col min="25" max="25" width="32" style="1" customWidth="1"/>
    <col min="26" max="26" width="35.875" style="1" bestFit="1" customWidth="1"/>
    <col min="27" max="27" width="28.375" style="1" customWidth="1"/>
    <col min="28" max="29" width="35.5" style="1" customWidth="1"/>
    <col min="30" max="30" width="29.125" style="1" customWidth="1"/>
    <col min="31" max="31" width="23.375" style="1" customWidth="1"/>
    <col min="32" max="32" width="29.125" style="1" customWidth="1"/>
    <col min="33" max="33" width="23.375" style="1" customWidth="1"/>
    <col min="34" max="34" width="24.375" style="1" customWidth="1"/>
    <col min="35" max="35" width="28" style="1" customWidth="1"/>
    <col min="36" max="36" width="24.625" style="1" customWidth="1"/>
    <col min="37" max="37" width="26.5" style="1" customWidth="1"/>
    <col min="38" max="38" width="23" style="1" customWidth="1"/>
    <col min="39" max="39" width="16.125" style="1" customWidth="1"/>
    <col min="40" max="40" width="18.5" style="1" customWidth="1"/>
    <col min="41" max="41" width="20.125" style="1" customWidth="1"/>
    <col min="42" max="42" width="28.5" style="1" customWidth="1"/>
    <col min="43" max="43" width="29.375" style="1" customWidth="1"/>
    <col min="44" max="44" width="16.5" style="1" customWidth="1"/>
    <col min="45" max="45" width="12.125" style="1" customWidth="1"/>
    <col min="46" max="46" width="9.875" style="1" customWidth="1"/>
    <col min="47" max="47" width="48.625" style="1" customWidth="1"/>
    <col min="48" max="48" width="27" style="1" customWidth="1"/>
    <col min="49" max="49" width="8.5" style="1" customWidth="1"/>
    <col min="50" max="50" width="10.875" style="1" customWidth="1"/>
    <col min="51" max="51" width="18.375" style="1" customWidth="1"/>
    <col min="52" max="52" width="15.625" style="1" customWidth="1"/>
    <col min="53" max="53" width="19.375" style="1" customWidth="1"/>
    <col min="54" max="54" width="20.125" style="1" customWidth="1"/>
    <col min="55" max="55" width="42" style="1" customWidth="1"/>
    <col min="56" max="56" width="18.875" style="1" customWidth="1"/>
    <col min="57" max="57" width="23.5" style="1" customWidth="1"/>
    <col min="58" max="58" width="26.5" style="1" customWidth="1"/>
    <col min="59" max="59" width="15.875" style="1" customWidth="1"/>
    <col min="60" max="61" width="25.625" style="1" customWidth="1"/>
    <col min="62" max="62" width="20.875" style="1" customWidth="1"/>
    <col min="63" max="63" width="20.375" style="1" customWidth="1"/>
    <col min="64" max="65" width="21.625" style="1" customWidth="1"/>
    <col min="66" max="66" width="22.125" style="1" customWidth="1"/>
    <col min="67" max="67" width="16.5" style="1" customWidth="1"/>
    <col min="68" max="68" width="10.875" style="1" customWidth="1"/>
    <col min="69" max="16384" width="10.875" style="1"/>
  </cols>
  <sheetData>
    <row r="1" spans="1:67" s="17" customFormat="1" ht="75" customHeight="1">
      <c r="A1" s="12" t="s">
        <v>0</v>
      </c>
      <c r="B1" s="12" t="s">
        <v>1</v>
      </c>
      <c r="C1" s="12" t="s">
        <v>2</v>
      </c>
      <c r="D1" s="13" t="s">
        <v>3</v>
      </c>
      <c r="E1" s="13" t="s">
        <v>4</v>
      </c>
      <c r="F1" s="13" t="s">
        <v>5</v>
      </c>
      <c r="G1" s="14" t="s">
        <v>6</v>
      </c>
      <c r="H1" s="14" t="s">
        <v>7</v>
      </c>
      <c r="I1" s="14" t="s">
        <v>8</v>
      </c>
      <c r="J1" s="14" t="s">
        <v>9</v>
      </c>
      <c r="K1" s="14" t="s">
        <v>10</v>
      </c>
      <c r="L1" s="14" t="s">
        <v>11</v>
      </c>
      <c r="M1" s="14" t="s">
        <v>102</v>
      </c>
      <c r="N1" s="14" t="s">
        <v>13</v>
      </c>
      <c r="O1" s="14" t="s">
        <v>14</v>
      </c>
      <c r="P1" s="14" t="s">
        <v>15</v>
      </c>
      <c r="Q1" s="14" t="s">
        <v>16</v>
      </c>
      <c r="R1" s="14" t="s">
        <v>17</v>
      </c>
      <c r="S1" s="14" t="s">
        <v>18</v>
      </c>
      <c r="T1" s="14" t="s">
        <v>19</v>
      </c>
      <c r="U1" s="14" t="s">
        <v>20</v>
      </c>
      <c r="V1" s="14" t="s">
        <v>21</v>
      </c>
      <c r="W1" s="14" t="s">
        <v>22</v>
      </c>
      <c r="X1" s="14" t="s">
        <v>23</v>
      </c>
      <c r="Y1" s="14" t="s">
        <v>24</v>
      </c>
      <c r="Z1" s="14" t="s">
        <v>25</v>
      </c>
      <c r="AA1" s="14" t="s">
        <v>26</v>
      </c>
      <c r="AB1" s="14" t="s">
        <v>27</v>
      </c>
      <c r="AC1" s="14" t="s">
        <v>28</v>
      </c>
      <c r="AD1" s="14" t="s">
        <v>29</v>
      </c>
      <c r="AE1" s="14" t="s">
        <v>30</v>
      </c>
      <c r="AF1" s="14" t="s">
        <v>31</v>
      </c>
      <c r="AG1" s="14" t="s">
        <v>32</v>
      </c>
      <c r="AH1" s="15" t="s">
        <v>33</v>
      </c>
      <c r="AI1" s="14" t="s">
        <v>34</v>
      </c>
      <c r="AJ1" s="14" t="s">
        <v>35</v>
      </c>
      <c r="AK1" s="14" t="s">
        <v>36</v>
      </c>
      <c r="AL1" s="14" t="s">
        <v>37</v>
      </c>
      <c r="AM1" s="14" t="s">
        <v>38</v>
      </c>
      <c r="AN1" s="14" t="s">
        <v>39</v>
      </c>
      <c r="AO1" s="14" t="s">
        <v>40</v>
      </c>
      <c r="AP1" s="14" t="s">
        <v>41</v>
      </c>
      <c r="AQ1" s="14" t="s">
        <v>42</v>
      </c>
      <c r="AR1" s="14" t="s">
        <v>43</v>
      </c>
      <c r="AS1" s="14" t="s">
        <v>44</v>
      </c>
      <c r="AT1" s="14" t="s">
        <v>45</v>
      </c>
      <c r="AU1" s="14" t="s">
        <v>46</v>
      </c>
      <c r="AV1" s="14" t="s">
        <v>47</v>
      </c>
      <c r="AW1" s="14" t="s">
        <v>48</v>
      </c>
      <c r="AX1" s="14" t="s">
        <v>49</v>
      </c>
      <c r="AY1" s="14" t="s">
        <v>50</v>
      </c>
      <c r="AZ1" s="14" t="s">
        <v>51</v>
      </c>
      <c r="BA1" s="14" t="s">
        <v>52</v>
      </c>
      <c r="BB1" s="14" t="s">
        <v>53</v>
      </c>
      <c r="BC1" s="14" t="s">
        <v>54</v>
      </c>
      <c r="BD1" s="14" t="s">
        <v>55</v>
      </c>
      <c r="BE1" s="14" t="s">
        <v>56</v>
      </c>
      <c r="BF1" s="14" t="s">
        <v>57</v>
      </c>
      <c r="BG1" s="14" t="s">
        <v>58</v>
      </c>
      <c r="BH1" s="14" t="s">
        <v>59</v>
      </c>
      <c r="BI1" s="14" t="s">
        <v>60</v>
      </c>
      <c r="BJ1" s="16" t="s">
        <v>61</v>
      </c>
      <c r="BK1" s="16" t="s">
        <v>62</v>
      </c>
      <c r="BL1" s="16" t="s">
        <v>63</v>
      </c>
      <c r="BM1" s="16" t="s">
        <v>64</v>
      </c>
      <c r="BN1" s="16" t="s">
        <v>65</v>
      </c>
      <c r="BO1" s="16" t="s">
        <v>66</v>
      </c>
    </row>
    <row r="2" spans="1:67" ht="186.95" customHeight="1">
      <c r="B2" s="1">
        <v>1143964</v>
      </c>
      <c r="C2" s="2">
        <v>42591</v>
      </c>
      <c r="D2" s="1">
        <f t="shared" ref="D2:D32" si="0">DATEDIF($C$2, C2, "M")</f>
        <v>0</v>
      </c>
      <c r="E2" s="1" t="s">
        <v>394</v>
      </c>
      <c r="F2" s="1" t="b">
        <v>1</v>
      </c>
      <c r="G2" s="1" t="b">
        <v>1</v>
      </c>
      <c r="H2" s="1" t="b">
        <v>1</v>
      </c>
      <c r="J2" s="1" t="b">
        <v>1</v>
      </c>
      <c r="L2" s="1" t="s">
        <v>495</v>
      </c>
    </row>
    <row r="3" spans="1:67" ht="51" customHeight="1">
      <c r="B3" s="1">
        <v>1143964</v>
      </c>
      <c r="C3" s="2">
        <v>42592</v>
      </c>
      <c r="D3" s="1">
        <f t="shared" si="0"/>
        <v>0</v>
      </c>
      <c r="E3" s="1" t="s">
        <v>395</v>
      </c>
      <c r="F3" s="1" t="b">
        <v>1</v>
      </c>
      <c r="AQ3" s="1" t="b">
        <v>1</v>
      </c>
      <c r="BC3" s="1" t="b">
        <v>1</v>
      </c>
    </row>
    <row r="4" spans="1:67" ht="68.099999999999994" customHeight="1">
      <c r="B4" s="1">
        <v>1143964</v>
      </c>
      <c r="C4" s="2">
        <v>42607</v>
      </c>
      <c r="D4" s="1">
        <f t="shared" si="0"/>
        <v>0</v>
      </c>
      <c r="E4" s="1" t="s">
        <v>396</v>
      </c>
      <c r="F4" s="1" t="b">
        <v>1</v>
      </c>
      <c r="AH4" s="1" t="s">
        <v>534</v>
      </c>
      <c r="AQ4" s="1" t="b">
        <v>1</v>
      </c>
      <c r="BF4" s="1" t="b">
        <v>1</v>
      </c>
    </row>
    <row r="5" spans="1:67" ht="33.950000000000003" customHeight="1">
      <c r="B5" s="1">
        <v>1143964</v>
      </c>
      <c r="C5" s="2">
        <v>42621</v>
      </c>
      <c r="D5" s="1">
        <f t="shared" si="0"/>
        <v>0</v>
      </c>
      <c r="E5" s="1" t="s">
        <v>397</v>
      </c>
      <c r="F5" s="1" t="b">
        <v>1</v>
      </c>
      <c r="BD5" s="1" t="b">
        <v>1</v>
      </c>
      <c r="BE5" s="1" t="s">
        <v>588</v>
      </c>
    </row>
    <row r="6" spans="1:67" ht="84.95" customHeight="1">
      <c r="B6" s="1">
        <v>1143964</v>
      </c>
      <c r="C6" s="2">
        <v>42667</v>
      </c>
      <c r="D6" s="1">
        <f t="shared" si="0"/>
        <v>2</v>
      </c>
      <c r="E6" s="1" t="s">
        <v>398</v>
      </c>
      <c r="F6" s="1" t="b">
        <v>1</v>
      </c>
      <c r="AE6" s="1" t="s">
        <v>526</v>
      </c>
      <c r="AG6" s="1" t="s">
        <v>514</v>
      </c>
      <c r="AH6" s="1" t="s">
        <v>534</v>
      </c>
      <c r="BF6" s="1" t="b">
        <v>1</v>
      </c>
    </row>
    <row r="7" spans="1:67" ht="84.95" customHeight="1">
      <c r="B7" s="1">
        <v>1143964</v>
      </c>
      <c r="C7" s="2">
        <v>42695</v>
      </c>
      <c r="D7" s="1">
        <f t="shared" si="0"/>
        <v>3</v>
      </c>
      <c r="E7" s="1" t="s">
        <v>399</v>
      </c>
      <c r="F7" s="1" t="b">
        <v>1</v>
      </c>
      <c r="G7" s="1" t="b">
        <v>1</v>
      </c>
      <c r="H7" s="1" t="b">
        <v>1</v>
      </c>
      <c r="J7" s="1" t="b">
        <v>1</v>
      </c>
      <c r="AB7" s="1" t="b">
        <v>0</v>
      </c>
      <c r="AC7" s="1" t="b">
        <v>1</v>
      </c>
      <c r="AD7" s="1" t="s">
        <v>504</v>
      </c>
      <c r="AE7" s="1" t="s">
        <v>526</v>
      </c>
      <c r="AF7" s="1" t="s">
        <v>504</v>
      </c>
      <c r="AG7" s="1" t="s">
        <v>526</v>
      </c>
      <c r="AH7" s="1" t="s">
        <v>534</v>
      </c>
      <c r="AQ7" s="1" t="b">
        <v>1</v>
      </c>
    </row>
    <row r="8" spans="1:67" ht="84.95" customHeight="1">
      <c r="B8" s="1">
        <v>1143964</v>
      </c>
      <c r="C8" s="2">
        <v>42744</v>
      </c>
      <c r="D8" s="1">
        <f t="shared" si="0"/>
        <v>5</v>
      </c>
      <c r="E8" s="1" t="s">
        <v>400</v>
      </c>
      <c r="F8" s="1" t="b">
        <v>1</v>
      </c>
      <c r="AB8" s="1" t="b">
        <v>1</v>
      </c>
      <c r="AC8" s="1" t="b">
        <v>1</v>
      </c>
      <c r="AD8" s="1" t="s">
        <v>504</v>
      </c>
      <c r="AE8" s="1" t="s">
        <v>519</v>
      </c>
      <c r="AF8" s="1" t="s">
        <v>504</v>
      </c>
      <c r="AG8" s="1" t="s">
        <v>519</v>
      </c>
      <c r="AH8" s="1" t="s">
        <v>628</v>
      </c>
      <c r="AI8" s="1" t="s">
        <v>540</v>
      </c>
      <c r="AJ8" s="1" t="s">
        <v>562</v>
      </c>
    </row>
    <row r="9" spans="1:67" ht="68.099999999999994" customHeight="1">
      <c r="B9" s="1">
        <v>1143964</v>
      </c>
      <c r="C9" s="2">
        <v>42772</v>
      </c>
      <c r="D9" s="1">
        <f t="shared" si="0"/>
        <v>5</v>
      </c>
      <c r="E9" s="1" t="s">
        <v>401</v>
      </c>
      <c r="F9" s="1" t="b">
        <v>1</v>
      </c>
      <c r="AB9" s="1" t="b">
        <v>1</v>
      </c>
      <c r="AC9" s="1" t="b">
        <v>1</v>
      </c>
      <c r="AD9" s="1" t="s">
        <v>506</v>
      </c>
      <c r="AE9" s="1" t="s">
        <v>519</v>
      </c>
      <c r="AF9" s="1" t="s">
        <v>506</v>
      </c>
      <c r="AG9" s="1" t="s">
        <v>518</v>
      </c>
      <c r="AH9" s="1" t="s">
        <v>537</v>
      </c>
      <c r="AI9" s="1" t="s">
        <v>540</v>
      </c>
      <c r="AJ9" s="1" t="s">
        <v>562</v>
      </c>
      <c r="AK9" s="1" t="s">
        <v>540</v>
      </c>
      <c r="AL9" s="1" t="s">
        <v>562</v>
      </c>
      <c r="BJ9" s="1" t="s">
        <v>596</v>
      </c>
    </row>
    <row r="10" spans="1:67" ht="84.95" customHeight="1">
      <c r="B10" s="1">
        <v>1143964</v>
      </c>
      <c r="C10" s="2">
        <v>42800</v>
      </c>
      <c r="D10" s="1">
        <f t="shared" si="0"/>
        <v>6</v>
      </c>
      <c r="E10" s="1" t="s">
        <v>402</v>
      </c>
      <c r="F10" s="1" t="b">
        <v>1</v>
      </c>
      <c r="S10" s="1" t="s">
        <v>483</v>
      </c>
      <c r="T10" s="1" t="s">
        <v>483</v>
      </c>
      <c r="U10" s="1" t="s">
        <v>478</v>
      </c>
      <c r="V10" s="1" t="s">
        <v>478</v>
      </c>
      <c r="AB10" s="1" t="b">
        <v>0</v>
      </c>
      <c r="AC10" s="1" t="b">
        <v>1</v>
      </c>
      <c r="AD10" s="1" t="s">
        <v>506</v>
      </c>
      <c r="AE10" s="1" t="s">
        <v>519</v>
      </c>
      <c r="AF10" s="1" t="s">
        <v>504</v>
      </c>
      <c r="AG10" s="1" t="s">
        <v>518</v>
      </c>
      <c r="AH10" s="1" t="s">
        <v>629</v>
      </c>
      <c r="AI10" s="1" t="s">
        <v>540</v>
      </c>
      <c r="AJ10" s="1" t="s">
        <v>562</v>
      </c>
      <c r="AK10" s="1" t="s">
        <v>540</v>
      </c>
      <c r="AL10" s="1" t="s">
        <v>562</v>
      </c>
      <c r="BJ10" s="1" t="s">
        <v>596</v>
      </c>
    </row>
    <row r="11" spans="1:67" ht="102" customHeight="1">
      <c r="B11" s="1">
        <v>1143964</v>
      </c>
      <c r="C11" s="2">
        <v>42852</v>
      </c>
      <c r="D11" s="1">
        <f t="shared" si="0"/>
        <v>8</v>
      </c>
      <c r="E11" s="1" t="s">
        <v>403</v>
      </c>
      <c r="F11" s="1" t="b">
        <v>1</v>
      </c>
      <c r="S11" s="1" t="s">
        <v>483</v>
      </c>
      <c r="T11" s="1" t="s">
        <v>483</v>
      </c>
      <c r="U11" s="1" t="s">
        <v>478</v>
      </c>
      <c r="V11" s="1" t="s">
        <v>478</v>
      </c>
      <c r="AB11" s="1" t="b">
        <v>0</v>
      </c>
      <c r="AC11" s="1" t="b">
        <v>1</v>
      </c>
      <c r="AD11" s="1" t="s">
        <v>506</v>
      </c>
      <c r="AE11" s="1" t="s">
        <v>519</v>
      </c>
      <c r="AF11" s="1" t="s">
        <v>506</v>
      </c>
      <c r="AG11" s="1" t="s">
        <v>518</v>
      </c>
      <c r="AH11" s="1" t="s">
        <v>630</v>
      </c>
      <c r="AI11" s="1" t="s">
        <v>540</v>
      </c>
      <c r="AJ11" s="1" t="s">
        <v>562</v>
      </c>
      <c r="AK11" s="1" t="s">
        <v>540</v>
      </c>
      <c r="AL11" s="1" t="s">
        <v>562</v>
      </c>
      <c r="BJ11" s="1" t="s">
        <v>596</v>
      </c>
      <c r="BK11" s="1" t="s">
        <v>597</v>
      </c>
    </row>
    <row r="12" spans="1:67" ht="119.1" customHeight="1">
      <c r="B12" s="1">
        <v>1143964</v>
      </c>
      <c r="C12" s="2">
        <v>42891</v>
      </c>
      <c r="D12" s="1">
        <f t="shared" si="0"/>
        <v>9</v>
      </c>
      <c r="E12" s="1" t="s">
        <v>404</v>
      </c>
      <c r="F12" s="1" t="b">
        <v>1</v>
      </c>
      <c r="T12" s="1" t="s">
        <v>483</v>
      </c>
      <c r="V12" s="1" t="s">
        <v>483</v>
      </c>
      <c r="AB12" s="1" t="b">
        <v>0</v>
      </c>
      <c r="AC12" s="1" t="b">
        <v>1</v>
      </c>
      <c r="AD12" s="1" t="s">
        <v>506</v>
      </c>
      <c r="AE12" s="1" t="s">
        <v>519</v>
      </c>
      <c r="AF12" s="1" t="s">
        <v>506</v>
      </c>
      <c r="AG12" s="1" t="s">
        <v>518</v>
      </c>
      <c r="AI12" s="1" t="s">
        <v>540</v>
      </c>
      <c r="AJ12" s="1" t="s">
        <v>562</v>
      </c>
      <c r="AK12" s="1" t="s">
        <v>540</v>
      </c>
      <c r="AL12" s="1" t="s">
        <v>562</v>
      </c>
      <c r="BJ12" s="1" t="s">
        <v>596</v>
      </c>
      <c r="BK12" s="1" t="s">
        <v>597</v>
      </c>
    </row>
    <row r="13" spans="1:67" ht="51" customHeight="1">
      <c r="B13" s="1">
        <v>1143964</v>
      </c>
      <c r="C13" s="2">
        <v>42935</v>
      </c>
      <c r="D13" s="1">
        <f t="shared" si="0"/>
        <v>11</v>
      </c>
      <c r="E13" s="1" t="s">
        <v>405</v>
      </c>
      <c r="F13" s="1" t="b">
        <v>1</v>
      </c>
      <c r="AA13" s="1" t="b">
        <v>1</v>
      </c>
      <c r="AH13" s="1" t="s">
        <v>532</v>
      </c>
    </row>
    <row r="14" spans="1:67" ht="170.1" customHeight="1">
      <c r="B14" s="1">
        <v>1143964</v>
      </c>
      <c r="C14" s="2">
        <v>42968</v>
      </c>
      <c r="D14" s="1">
        <f t="shared" si="0"/>
        <v>12</v>
      </c>
      <c r="E14" s="1" t="s">
        <v>406</v>
      </c>
      <c r="F14" s="1" t="b">
        <v>1</v>
      </c>
      <c r="G14" s="1" t="b">
        <v>1</v>
      </c>
      <c r="S14" s="1" t="s">
        <v>483</v>
      </c>
      <c r="T14" s="1" t="s">
        <v>483</v>
      </c>
      <c r="U14" s="1" t="s">
        <v>483</v>
      </c>
      <c r="V14" s="1" t="s">
        <v>483</v>
      </c>
      <c r="W14" s="1">
        <v>2</v>
      </c>
      <c r="X14" s="1">
        <v>2</v>
      </c>
      <c r="AB14" s="1" t="b">
        <v>0</v>
      </c>
      <c r="AC14" s="1" t="b">
        <v>0</v>
      </c>
      <c r="AD14" s="1" t="s">
        <v>506</v>
      </c>
      <c r="AE14" s="1" t="s">
        <v>519</v>
      </c>
      <c r="AF14" s="1" t="s">
        <v>506</v>
      </c>
      <c r="AG14" s="1" t="s">
        <v>518</v>
      </c>
      <c r="AI14" s="1" t="s">
        <v>540</v>
      </c>
      <c r="AJ14" s="1" t="s">
        <v>562</v>
      </c>
      <c r="AK14" s="1" t="s">
        <v>540</v>
      </c>
      <c r="AL14" s="1" t="s">
        <v>562</v>
      </c>
      <c r="BA14" s="1" t="s">
        <v>259</v>
      </c>
      <c r="BB14" s="1" t="s">
        <v>259</v>
      </c>
      <c r="BJ14" s="1" t="s">
        <v>596</v>
      </c>
      <c r="BK14" s="1" t="s">
        <v>597</v>
      </c>
    </row>
    <row r="15" spans="1:67" ht="153" customHeight="1">
      <c r="B15" s="1">
        <v>1143964</v>
      </c>
      <c r="C15" s="2">
        <v>42991</v>
      </c>
      <c r="D15" s="1">
        <f t="shared" si="0"/>
        <v>13</v>
      </c>
      <c r="E15" s="1" t="s">
        <v>407</v>
      </c>
      <c r="F15" s="1" t="b">
        <v>1</v>
      </c>
      <c r="T15" s="1" t="s">
        <v>483</v>
      </c>
      <c r="V15" s="1" t="s">
        <v>483</v>
      </c>
      <c r="W15" s="1">
        <v>2</v>
      </c>
      <c r="X15" s="1">
        <v>2</v>
      </c>
      <c r="AB15" s="1" t="b">
        <v>1</v>
      </c>
      <c r="AC15" s="1" t="b">
        <v>1</v>
      </c>
      <c r="AD15" s="1" t="s">
        <v>504</v>
      </c>
      <c r="AE15" s="1" t="s">
        <v>514</v>
      </c>
      <c r="AF15" s="1" t="s">
        <v>504</v>
      </c>
      <c r="AG15" s="1" t="s">
        <v>514</v>
      </c>
      <c r="AH15" s="1" t="s">
        <v>532</v>
      </c>
      <c r="AI15" s="1" t="s">
        <v>538</v>
      </c>
      <c r="AK15" s="1" t="s">
        <v>538</v>
      </c>
      <c r="BA15" s="1" t="s">
        <v>259</v>
      </c>
      <c r="BB15" s="1" t="s">
        <v>259</v>
      </c>
      <c r="BC15" s="1" t="b">
        <v>1</v>
      </c>
    </row>
    <row r="16" spans="1:67" ht="119.1" customHeight="1">
      <c r="B16" s="1">
        <v>1143964</v>
      </c>
      <c r="C16" s="2">
        <v>43024</v>
      </c>
      <c r="D16" s="1">
        <f t="shared" si="0"/>
        <v>14</v>
      </c>
      <c r="E16" s="1" t="s">
        <v>408</v>
      </c>
      <c r="F16" s="1" t="b">
        <v>1</v>
      </c>
      <c r="T16" s="1" t="s">
        <v>483</v>
      </c>
      <c r="V16" s="1" t="s">
        <v>483</v>
      </c>
      <c r="W16" s="1">
        <v>2</v>
      </c>
      <c r="X16" s="1">
        <v>2</v>
      </c>
      <c r="AB16" s="1" t="b">
        <v>1</v>
      </c>
      <c r="AC16" s="1" t="b">
        <v>1</v>
      </c>
      <c r="AD16" s="1" t="s">
        <v>504</v>
      </c>
      <c r="AE16" s="1" t="s">
        <v>520</v>
      </c>
      <c r="AF16" s="1" t="s">
        <v>504</v>
      </c>
      <c r="AG16" s="1" t="s">
        <v>520</v>
      </c>
      <c r="AH16" s="1" t="s">
        <v>537</v>
      </c>
      <c r="AI16" s="3" t="s">
        <v>540</v>
      </c>
      <c r="AJ16" s="3" t="s">
        <v>631</v>
      </c>
      <c r="AK16" s="1" t="s">
        <v>540</v>
      </c>
      <c r="AL16" s="1" t="s">
        <v>562</v>
      </c>
      <c r="BA16" s="1" t="s">
        <v>259</v>
      </c>
    </row>
    <row r="17" spans="2:67" ht="51" customHeight="1">
      <c r="B17" s="1">
        <v>1143964</v>
      </c>
      <c r="C17" s="2">
        <v>43059</v>
      </c>
      <c r="D17" s="1">
        <f t="shared" si="0"/>
        <v>15</v>
      </c>
      <c r="E17" s="1" t="s">
        <v>409</v>
      </c>
      <c r="F17" s="1" t="b">
        <v>1</v>
      </c>
    </row>
    <row r="18" spans="2:67" ht="170.1" customHeight="1">
      <c r="B18" s="1">
        <v>1143964</v>
      </c>
      <c r="C18" s="2">
        <v>43066</v>
      </c>
      <c r="D18" s="1">
        <f t="shared" si="0"/>
        <v>15</v>
      </c>
      <c r="E18" s="1" t="s">
        <v>410</v>
      </c>
      <c r="F18" s="1" t="b">
        <v>1</v>
      </c>
      <c r="I18" s="1" t="b">
        <v>1</v>
      </c>
      <c r="T18" s="1" t="s">
        <v>482</v>
      </c>
      <c r="V18" s="1" t="s">
        <v>482</v>
      </c>
      <c r="W18" s="1">
        <v>2</v>
      </c>
      <c r="X18" s="1">
        <v>2</v>
      </c>
      <c r="AB18" s="1" t="b">
        <v>0</v>
      </c>
      <c r="AC18" s="1" t="b">
        <v>0</v>
      </c>
      <c r="AD18" s="1" t="s">
        <v>504</v>
      </c>
      <c r="AE18" s="1" t="s">
        <v>520</v>
      </c>
      <c r="AF18" s="1" t="s">
        <v>504</v>
      </c>
      <c r="AG18" s="1" t="s">
        <v>520</v>
      </c>
      <c r="AI18" s="3" t="s">
        <v>540</v>
      </c>
      <c r="AJ18" s="3" t="s">
        <v>631</v>
      </c>
      <c r="AK18" s="3" t="s">
        <v>540</v>
      </c>
      <c r="AL18" s="3" t="s">
        <v>631</v>
      </c>
      <c r="BA18" s="1" t="s">
        <v>583</v>
      </c>
      <c r="BB18" s="1" t="s">
        <v>259</v>
      </c>
      <c r="BC18" s="1" t="b">
        <v>1</v>
      </c>
    </row>
    <row r="19" spans="2:67" ht="255" customHeight="1">
      <c r="B19" s="1">
        <v>1143964</v>
      </c>
      <c r="C19" s="2">
        <v>43129</v>
      </c>
      <c r="D19" s="1">
        <f t="shared" si="0"/>
        <v>17</v>
      </c>
      <c r="E19" s="1" t="s">
        <v>411</v>
      </c>
      <c r="F19" s="1" t="b">
        <v>1</v>
      </c>
      <c r="T19" s="1" t="s">
        <v>482</v>
      </c>
      <c r="W19" s="1">
        <v>2</v>
      </c>
      <c r="X19" s="1">
        <v>2</v>
      </c>
      <c r="AB19" s="1" t="b">
        <v>1</v>
      </c>
      <c r="AC19" s="1" t="b">
        <v>1</v>
      </c>
      <c r="AD19" s="1" t="s">
        <v>507</v>
      </c>
      <c r="AE19" s="1" t="s">
        <v>518</v>
      </c>
      <c r="AF19" s="1" t="s">
        <v>507</v>
      </c>
      <c r="AG19" s="1" t="s">
        <v>518</v>
      </c>
      <c r="AI19" s="3" t="s">
        <v>540</v>
      </c>
      <c r="AJ19" s="3" t="s">
        <v>631</v>
      </c>
      <c r="AK19" s="3" t="s">
        <v>540</v>
      </c>
      <c r="AL19" s="3" t="s">
        <v>631</v>
      </c>
      <c r="BA19" s="1" t="s">
        <v>583</v>
      </c>
      <c r="BB19" s="1" t="s">
        <v>259</v>
      </c>
      <c r="BC19" s="1" t="b">
        <v>1</v>
      </c>
    </row>
    <row r="20" spans="2:67" ht="204" customHeight="1">
      <c r="B20" s="1">
        <v>1143964</v>
      </c>
      <c r="C20" s="2">
        <v>43171</v>
      </c>
      <c r="D20" s="1">
        <f t="shared" si="0"/>
        <v>19</v>
      </c>
      <c r="E20" s="1" t="s">
        <v>412</v>
      </c>
      <c r="F20" s="1" t="b">
        <v>1</v>
      </c>
      <c r="S20" s="1" t="s">
        <v>482</v>
      </c>
      <c r="T20" s="1" t="s">
        <v>482</v>
      </c>
      <c r="U20" s="1" t="s">
        <v>482</v>
      </c>
      <c r="V20" s="1" t="s">
        <v>482</v>
      </c>
      <c r="W20" s="1">
        <v>2</v>
      </c>
      <c r="X20" s="1">
        <v>2</v>
      </c>
      <c r="AB20" s="1" t="b">
        <v>1</v>
      </c>
      <c r="AC20" s="1" t="b">
        <v>1</v>
      </c>
      <c r="AD20" s="1" t="s">
        <v>506</v>
      </c>
      <c r="AE20" s="1" t="s">
        <v>520</v>
      </c>
      <c r="AF20" s="1" t="s">
        <v>506</v>
      </c>
      <c r="AG20" s="1" t="s">
        <v>520</v>
      </c>
      <c r="AH20" s="1" t="s">
        <v>531</v>
      </c>
      <c r="AI20" s="3" t="s">
        <v>540</v>
      </c>
      <c r="AJ20" s="3" t="s">
        <v>631</v>
      </c>
      <c r="AK20" s="3" t="s">
        <v>540</v>
      </c>
      <c r="AL20" s="3" t="s">
        <v>631</v>
      </c>
      <c r="BA20" s="1" t="s">
        <v>256</v>
      </c>
      <c r="BB20" s="1" t="s">
        <v>259</v>
      </c>
    </row>
    <row r="21" spans="2:67" ht="204" customHeight="1">
      <c r="B21" s="1">
        <v>1143964</v>
      </c>
      <c r="C21" s="2">
        <v>43213</v>
      </c>
      <c r="D21" s="1">
        <f t="shared" si="0"/>
        <v>20</v>
      </c>
      <c r="E21" s="1" t="s">
        <v>413</v>
      </c>
      <c r="F21" s="1" t="b">
        <v>1</v>
      </c>
      <c r="S21" s="1" t="s">
        <v>482</v>
      </c>
      <c r="T21" s="1" t="s">
        <v>482</v>
      </c>
      <c r="U21" s="1" t="s">
        <v>482</v>
      </c>
      <c r="V21" s="1" t="s">
        <v>482</v>
      </c>
      <c r="W21" s="1">
        <v>2</v>
      </c>
      <c r="X21" s="1">
        <v>2</v>
      </c>
      <c r="AB21" s="1" t="b">
        <v>0</v>
      </c>
      <c r="AC21" s="1" t="b">
        <v>0</v>
      </c>
      <c r="AD21" s="1" t="s">
        <v>506</v>
      </c>
      <c r="AE21" s="1" t="s">
        <v>520</v>
      </c>
      <c r="AF21" s="1" t="s">
        <v>506</v>
      </c>
      <c r="AG21" s="1" t="s">
        <v>520</v>
      </c>
      <c r="AH21" s="1" t="s">
        <v>537</v>
      </c>
      <c r="AI21" s="1" t="s">
        <v>540</v>
      </c>
      <c r="AJ21" s="1" t="s">
        <v>632</v>
      </c>
      <c r="AK21" s="1" t="s">
        <v>540</v>
      </c>
      <c r="AL21" s="1" t="s">
        <v>632</v>
      </c>
      <c r="BA21" s="1" t="s">
        <v>256</v>
      </c>
      <c r="BB21" s="1" t="s">
        <v>259</v>
      </c>
    </row>
    <row r="22" spans="2:67" ht="186.95" customHeight="1">
      <c r="B22" s="1">
        <v>1143964</v>
      </c>
      <c r="C22" s="2">
        <v>43241</v>
      </c>
      <c r="D22" s="1">
        <f t="shared" si="0"/>
        <v>21</v>
      </c>
      <c r="E22" s="1" t="s">
        <v>414</v>
      </c>
      <c r="F22" s="1" t="b">
        <v>1</v>
      </c>
      <c r="S22" s="1" t="s">
        <v>482</v>
      </c>
      <c r="T22" s="1" t="s">
        <v>482</v>
      </c>
      <c r="U22" s="1" t="s">
        <v>482</v>
      </c>
      <c r="V22" s="1" t="s">
        <v>482</v>
      </c>
      <c r="W22" s="1">
        <v>2</v>
      </c>
      <c r="X22" s="1">
        <v>2</v>
      </c>
      <c r="AB22" s="1" t="b">
        <v>0</v>
      </c>
      <c r="AC22" s="1" t="b">
        <v>0</v>
      </c>
      <c r="AD22" s="1" t="s">
        <v>506</v>
      </c>
      <c r="AE22" s="1" t="s">
        <v>520</v>
      </c>
      <c r="AF22" s="1" t="s">
        <v>506</v>
      </c>
      <c r="AG22" s="1" t="s">
        <v>520</v>
      </c>
      <c r="AH22" s="1" t="s">
        <v>629</v>
      </c>
      <c r="AI22" s="1" t="s">
        <v>540</v>
      </c>
      <c r="AJ22" s="1" t="s">
        <v>561</v>
      </c>
      <c r="AK22" s="1" t="s">
        <v>540</v>
      </c>
      <c r="AL22" s="1" t="s">
        <v>561</v>
      </c>
      <c r="BA22" s="1" t="s">
        <v>256</v>
      </c>
      <c r="BB22" s="1" t="s">
        <v>259</v>
      </c>
    </row>
    <row r="23" spans="2:67" ht="153" customHeight="1">
      <c r="B23" s="1">
        <v>1143964</v>
      </c>
      <c r="C23" s="2">
        <v>43276</v>
      </c>
      <c r="D23" s="1">
        <f t="shared" si="0"/>
        <v>22</v>
      </c>
      <c r="E23" s="1" t="s">
        <v>415</v>
      </c>
      <c r="F23" s="1" t="b">
        <v>1</v>
      </c>
      <c r="S23" s="1" t="s">
        <v>482</v>
      </c>
      <c r="T23" s="1" t="s">
        <v>482</v>
      </c>
      <c r="U23" s="1" t="s">
        <v>482</v>
      </c>
      <c r="V23" s="1" t="s">
        <v>482</v>
      </c>
      <c r="W23" s="1">
        <v>2</v>
      </c>
      <c r="X23" s="1">
        <v>2</v>
      </c>
      <c r="AB23" s="1" t="b">
        <v>0</v>
      </c>
      <c r="AC23" s="1" t="b">
        <v>0</v>
      </c>
      <c r="AD23" s="1" t="s">
        <v>506</v>
      </c>
      <c r="AE23" s="1" t="s">
        <v>520</v>
      </c>
      <c r="AF23" s="1" t="s">
        <v>506</v>
      </c>
      <c r="AG23" s="1" t="s">
        <v>520</v>
      </c>
      <c r="AH23" s="1" t="s">
        <v>537</v>
      </c>
      <c r="AI23" s="1" t="s">
        <v>540</v>
      </c>
      <c r="AJ23" s="1" t="s">
        <v>561</v>
      </c>
      <c r="AK23" s="1" t="s">
        <v>540</v>
      </c>
      <c r="AL23" s="1" t="s">
        <v>561</v>
      </c>
      <c r="BA23" s="1" t="s">
        <v>256</v>
      </c>
      <c r="BB23" s="1" t="s">
        <v>259</v>
      </c>
    </row>
    <row r="24" spans="2:67" ht="153" customHeight="1">
      <c r="B24" s="1">
        <v>1143964</v>
      </c>
      <c r="C24" s="2">
        <v>43311</v>
      </c>
      <c r="D24" s="1">
        <f t="shared" si="0"/>
        <v>23</v>
      </c>
      <c r="E24" s="1" t="s">
        <v>416</v>
      </c>
      <c r="F24" s="1" t="b">
        <v>1</v>
      </c>
      <c r="S24" s="1" t="s">
        <v>483</v>
      </c>
      <c r="T24" s="1" t="s">
        <v>483</v>
      </c>
      <c r="U24" s="1" t="s">
        <v>483</v>
      </c>
      <c r="V24" s="1" t="s">
        <v>483</v>
      </c>
      <c r="W24" s="1">
        <v>2</v>
      </c>
      <c r="X24" s="1">
        <v>2</v>
      </c>
      <c r="AB24" s="1" t="b">
        <v>0</v>
      </c>
      <c r="AC24" s="1" t="b">
        <v>0</v>
      </c>
      <c r="AD24" s="1" t="s">
        <v>506</v>
      </c>
      <c r="AE24" s="1" t="s">
        <v>520</v>
      </c>
      <c r="AF24" s="1" t="s">
        <v>506</v>
      </c>
      <c r="AG24" s="1" t="s">
        <v>520</v>
      </c>
      <c r="AH24" s="1" t="s">
        <v>537</v>
      </c>
      <c r="AI24" s="1" t="s">
        <v>540</v>
      </c>
      <c r="AJ24" s="1" t="s">
        <v>561</v>
      </c>
      <c r="AK24" s="1" t="s">
        <v>540</v>
      </c>
      <c r="AL24" s="1" t="s">
        <v>561</v>
      </c>
      <c r="BA24" s="1" t="s">
        <v>256</v>
      </c>
      <c r="BB24" s="1" t="s">
        <v>259</v>
      </c>
    </row>
    <row r="25" spans="2:67" ht="33.950000000000003" customHeight="1">
      <c r="B25" s="1">
        <v>1143964</v>
      </c>
      <c r="C25" s="2">
        <v>43313</v>
      </c>
      <c r="D25" s="1">
        <f t="shared" si="0"/>
        <v>23</v>
      </c>
      <c r="E25" s="1" t="s">
        <v>417</v>
      </c>
      <c r="F25" s="1" t="b">
        <v>1</v>
      </c>
      <c r="BD25" s="1" t="b">
        <v>1</v>
      </c>
      <c r="BE25" s="1" t="s">
        <v>588</v>
      </c>
    </row>
    <row r="26" spans="2:67" ht="204" customHeight="1">
      <c r="B26" s="1">
        <v>1143964</v>
      </c>
      <c r="C26" s="2">
        <v>43348</v>
      </c>
      <c r="D26" s="1">
        <f t="shared" si="0"/>
        <v>24</v>
      </c>
      <c r="E26" s="1" t="s">
        <v>418</v>
      </c>
      <c r="F26" s="1" t="b">
        <v>1</v>
      </c>
      <c r="G26" s="1" t="b">
        <v>1</v>
      </c>
      <c r="BA26" s="1" t="s">
        <v>583</v>
      </c>
      <c r="BB26" s="1" t="s">
        <v>259</v>
      </c>
      <c r="BL26" s="1" t="b">
        <v>1</v>
      </c>
      <c r="BM26" s="1" t="b">
        <v>1</v>
      </c>
    </row>
    <row r="27" spans="2:67" ht="170.1" customHeight="1">
      <c r="B27" s="1">
        <v>1143964</v>
      </c>
      <c r="C27" s="2">
        <v>43355</v>
      </c>
      <c r="D27" s="1">
        <f t="shared" si="0"/>
        <v>25</v>
      </c>
      <c r="E27" s="1" t="s">
        <v>419</v>
      </c>
      <c r="F27" s="1" t="b">
        <v>1</v>
      </c>
      <c r="BA27" s="1" t="s">
        <v>256</v>
      </c>
      <c r="BG27" s="1" t="s">
        <v>457</v>
      </c>
    </row>
    <row r="28" spans="2:67" ht="153" customHeight="1">
      <c r="B28" s="1">
        <v>1143964</v>
      </c>
      <c r="C28" s="2">
        <v>43383</v>
      </c>
      <c r="D28" s="1">
        <f t="shared" si="0"/>
        <v>26</v>
      </c>
      <c r="E28" s="1" t="s">
        <v>420</v>
      </c>
      <c r="F28" s="1" t="b">
        <v>1</v>
      </c>
      <c r="BA28" s="1" t="s">
        <v>259</v>
      </c>
      <c r="BB28" s="1" t="s">
        <v>259</v>
      </c>
      <c r="BN28" s="1" t="b">
        <v>1</v>
      </c>
      <c r="BO28" s="1" t="b">
        <v>0</v>
      </c>
    </row>
    <row r="29" spans="2:67" ht="135.94999999999999" customHeight="1">
      <c r="B29" s="1">
        <v>1143964</v>
      </c>
      <c r="C29" s="2">
        <v>43444</v>
      </c>
      <c r="D29" s="1">
        <f t="shared" si="0"/>
        <v>28</v>
      </c>
      <c r="E29" s="1" t="s">
        <v>421</v>
      </c>
      <c r="F29" s="1" t="b">
        <v>1</v>
      </c>
      <c r="BA29" s="1" t="s">
        <v>259</v>
      </c>
      <c r="BB29" s="1" t="s">
        <v>259</v>
      </c>
      <c r="BN29" s="1" t="b">
        <v>1</v>
      </c>
    </row>
    <row r="30" spans="2:67" ht="135.94999999999999" customHeight="1">
      <c r="B30" s="1">
        <v>1143964</v>
      </c>
      <c r="C30" s="2">
        <v>43528</v>
      </c>
      <c r="D30" s="1">
        <f t="shared" si="0"/>
        <v>30</v>
      </c>
      <c r="E30" s="1" t="s">
        <v>422</v>
      </c>
      <c r="F30" s="1" t="b">
        <v>1</v>
      </c>
      <c r="BA30" s="1" t="s">
        <v>259</v>
      </c>
      <c r="BB30" s="1" t="s">
        <v>259</v>
      </c>
      <c r="BN30" s="1" t="b">
        <v>1</v>
      </c>
      <c r="BO30" s="1" t="b">
        <v>0</v>
      </c>
    </row>
    <row r="31" spans="2:67" ht="84.95" customHeight="1">
      <c r="B31" s="1">
        <v>1143964</v>
      </c>
      <c r="C31" s="2">
        <v>43682</v>
      </c>
      <c r="D31" s="1">
        <f t="shared" si="0"/>
        <v>35</v>
      </c>
      <c r="E31" s="1" t="s">
        <v>423</v>
      </c>
      <c r="F31" s="1" t="b">
        <v>1</v>
      </c>
      <c r="BN31" s="1" t="b">
        <v>1</v>
      </c>
      <c r="BO31" s="1" t="b">
        <v>0</v>
      </c>
    </row>
    <row r="32" spans="2:67" ht="135.94999999999999" customHeight="1">
      <c r="B32" s="1">
        <v>1143964</v>
      </c>
      <c r="C32" s="2">
        <v>45163</v>
      </c>
      <c r="D32" s="1">
        <f t="shared" si="0"/>
        <v>84</v>
      </c>
      <c r="E32" s="1" t="s">
        <v>424</v>
      </c>
      <c r="F32" s="1" t="b">
        <v>1</v>
      </c>
      <c r="BN32" s="1" t="b">
        <v>1</v>
      </c>
      <c r="BO32" s="1" t="b">
        <v>0</v>
      </c>
    </row>
  </sheetData>
  <dataValidations count="1">
    <dataValidation allowBlank="1" showInputMessage="1" showErrorMessage="1" sqref="W14:X16 W18:X24" xr:uid="{B41E49F2-C87F-4B0E-B30D-6BA14CBEF387}"/>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60">
        <x14:dataValidation type="list" allowBlank="1" showInputMessage="1" showErrorMessage="1" xr:uid="{00000000-0002-0000-0800-000000000000}">
          <x14:formula1>
            <xm:f>list!$B$2:$C$2</xm:f>
          </x14:formula1>
          <xm:sqref>G2:G1048576</xm:sqref>
        </x14:dataValidation>
        <x14:dataValidation type="list" allowBlank="1" showInputMessage="1" showErrorMessage="1" xr:uid="{00000000-0002-0000-0800-000001000000}">
          <x14:formula1>
            <xm:f>list!$B$6:$C$6</xm:f>
          </x14:formula1>
          <xm:sqref>H2:H1048576</xm:sqref>
        </x14:dataValidation>
        <x14:dataValidation type="list" allowBlank="1" showInputMessage="1" showErrorMessage="1" xr:uid="{00000000-0002-0000-0800-000002000000}">
          <x14:formula1>
            <xm:f>list!$B$7:$C$7</xm:f>
          </x14:formula1>
          <xm:sqref>I2:I1048576</xm:sqref>
        </x14:dataValidation>
        <x14:dataValidation type="list" allowBlank="1" showInputMessage="1" showErrorMessage="1" xr:uid="{00000000-0002-0000-0800-000003000000}">
          <x14:formula1>
            <xm:f>list!$B$8:$C$8</xm:f>
          </x14:formula1>
          <xm:sqref>J2:J1048576</xm:sqref>
        </x14:dataValidation>
        <x14:dataValidation type="list" allowBlank="1" showInputMessage="1" showErrorMessage="1" xr:uid="{00000000-0002-0000-0800-000004000000}">
          <x14:formula1>
            <xm:f>list!$B$9:$C$9</xm:f>
          </x14:formula1>
          <xm:sqref>K2:K1048576</xm:sqref>
        </x14:dataValidation>
        <x14:dataValidation type="list" allowBlank="1" showInputMessage="1" showErrorMessage="1" xr:uid="{00000000-0002-0000-0800-000005000000}">
          <x14:formula1>
            <xm:f>list!$B$33:$K$33</xm:f>
          </x14:formula1>
          <xm:sqref>L2:L1048576</xm:sqref>
        </x14:dataValidation>
        <x14:dataValidation type="list" allowBlank="1" showInputMessage="1" showErrorMessage="1" xr:uid="{00000000-0002-0000-0800-000006000000}">
          <x14:formula1>
            <xm:f>list!$B$10:$C$10</xm:f>
          </x14:formula1>
          <xm:sqref>M2:M1048576</xm:sqref>
        </x14:dataValidation>
        <x14:dataValidation type="list" allowBlank="1" showInputMessage="1" showErrorMessage="1" xr:uid="{00000000-0002-0000-0800-000007000000}">
          <x14:formula1>
            <xm:f>list!$B$12:$C$12</xm:f>
          </x14:formula1>
          <xm:sqref>N2:N1048576</xm:sqref>
        </x14:dataValidation>
        <x14:dataValidation type="list" allowBlank="1" showInputMessage="1" showErrorMessage="1" xr:uid="{00000000-0002-0000-0800-000008000000}">
          <x14:formula1>
            <xm:f>list!$B$13:$C$13</xm:f>
          </x14:formula1>
          <xm:sqref>O2:O1048576</xm:sqref>
        </x14:dataValidation>
        <x14:dataValidation type="list" allowBlank="1" showInputMessage="1" showErrorMessage="1" xr:uid="{00000000-0002-0000-0800-000009000000}">
          <x14:formula1>
            <xm:f>list!$B$15:$C$15</xm:f>
          </x14:formula1>
          <xm:sqref>P2:P1048576</xm:sqref>
        </x14:dataValidation>
        <x14:dataValidation type="list" allowBlank="1" showInputMessage="1" showErrorMessage="1" xr:uid="{00000000-0002-0000-0800-00000A000000}">
          <x14:formula1>
            <xm:f>list!$B$19:$D$19</xm:f>
          </x14:formula1>
          <xm:sqref>Q2:Q1048576</xm:sqref>
        </x14:dataValidation>
        <x14:dataValidation type="list" allowBlank="1" showInputMessage="1" showErrorMessage="1" xr:uid="{00000000-0002-0000-0800-00000B000000}">
          <x14:formula1>
            <xm:f>list!$B$20:$I$20</xm:f>
          </x14:formula1>
          <xm:sqref>R2:R1048576</xm:sqref>
        </x14:dataValidation>
        <x14:dataValidation type="list" allowBlank="1" showInputMessage="1" showErrorMessage="1" xr:uid="{00000000-0002-0000-0800-00000C000000}">
          <x14:formula1>
            <xm:f>list!$B$21:$M$21</xm:f>
          </x14:formula1>
          <xm:sqref>U14 S2:S1048576</xm:sqref>
        </x14:dataValidation>
        <x14:dataValidation type="list" allowBlank="1" showInputMessage="1" showErrorMessage="1" xr:uid="{00000000-0002-0000-0800-00000D000000}">
          <x14:formula1>
            <xm:f>list!$B$22:$M$22</xm:f>
          </x14:formula1>
          <xm:sqref>V14 T2:T1048576</xm:sqref>
        </x14:dataValidation>
        <x14:dataValidation type="list" allowBlank="1" showInputMessage="1" showErrorMessage="1" xr:uid="{00000000-0002-0000-0800-00000E000000}">
          <x14:formula1>
            <xm:f>list!$B$23:$M$23</xm:f>
          </x14:formula1>
          <xm:sqref>U2:U13 U15:U1048576</xm:sqref>
        </x14:dataValidation>
        <x14:dataValidation type="list" allowBlank="1" showInputMessage="1" showErrorMessage="1" xr:uid="{00000000-0002-0000-0800-00000F000000}">
          <x14:formula1>
            <xm:f>list!$B$24:$M$24</xm:f>
          </x14:formula1>
          <xm:sqref>V2:V13 V15:V1048576</xm:sqref>
        </x14:dataValidation>
        <x14:dataValidation type="list" allowBlank="1" showInputMessage="1" showErrorMessage="1" xr:uid="{00000000-0002-0000-0800-000010000000}">
          <x14:formula1>
            <xm:f>list!$B$25:$E$25</xm:f>
          </x14:formula1>
          <xm:sqref>W2:W13 W17 W25:W1048576</xm:sqref>
        </x14:dataValidation>
        <x14:dataValidation type="list" allowBlank="1" showInputMessage="1" showErrorMessage="1" xr:uid="{00000000-0002-0000-0800-000011000000}">
          <x14:formula1>
            <xm:f>list!$B$26:$E$26</xm:f>
          </x14:formula1>
          <xm:sqref>X2:X13 X17 X25:X1048576</xm:sqref>
        </x14:dataValidation>
        <x14:dataValidation type="list" allowBlank="1" showInputMessage="1" showErrorMessage="1" xr:uid="{00000000-0002-0000-0800-000012000000}">
          <x14:formula1>
            <xm:f>list!$B$29:$C$29</xm:f>
          </x14:formula1>
          <xm:sqref>Y2:Y1048576</xm:sqref>
        </x14:dataValidation>
        <x14:dataValidation type="list" allowBlank="1" showInputMessage="1" showErrorMessage="1" xr:uid="{00000000-0002-0000-0800-000013000000}">
          <x14:formula1>
            <xm:f>list!$B$27:$C$27</xm:f>
          </x14:formula1>
          <xm:sqref>Z2:Z1048576</xm:sqref>
        </x14:dataValidation>
        <x14:dataValidation type="list" allowBlank="1" showInputMessage="1" showErrorMessage="1" xr:uid="{00000000-0002-0000-0800-000014000000}">
          <x14:formula1>
            <xm:f>list!$B$32:$C$32</xm:f>
          </x14:formula1>
          <xm:sqref>AA2:AA1048576</xm:sqref>
        </x14:dataValidation>
        <x14:dataValidation type="list" allowBlank="1" showInputMessage="1" showErrorMessage="1" xr:uid="{00000000-0002-0000-0800-000015000000}">
          <x14:formula1>
            <xm:f>list!$B$34:$C$34</xm:f>
          </x14:formula1>
          <xm:sqref>AB2:AB17 AB21:AB1048576</xm:sqref>
        </x14:dataValidation>
        <x14:dataValidation type="list" allowBlank="1" showInputMessage="1" showErrorMessage="1" xr:uid="{00000000-0002-0000-0800-000016000000}">
          <x14:formula1>
            <xm:f>list!$B$35:$C$35</xm:f>
          </x14:formula1>
          <xm:sqref>AC2:AC17 AC21:AC1048576</xm:sqref>
        </x14:dataValidation>
        <x14:dataValidation type="list" allowBlank="1" showInputMessage="1" showErrorMessage="1" xr:uid="{00000000-0002-0000-0800-000017000000}">
          <x14:formula1>
            <xm:f>list!$B$36:$G$36</xm:f>
          </x14:formula1>
          <xm:sqref>AD2:AD14 AD17 AD25:AD1048576</xm:sqref>
        </x14:dataValidation>
        <x14:dataValidation type="list" allowBlank="1" showInputMessage="1" showErrorMessage="1" xr:uid="{00000000-0002-0000-0800-000018000000}">
          <x14:formula1>
            <xm:f>list!$B$37:$U$37</xm:f>
          </x14:formula1>
          <xm:sqref>AE2:AE14 AE17 AE25:AE1048576</xm:sqref>
        </x14:dataValidation>
        <x14:dataValidation type="list" allowBlank="1" showInputMessage="1" showErrorMessage="1" xr:uid="{00000000-0002-0000-0800-000019000000}">
          <x14:formula1>
            <xm:f>list!$B$38:$G$38</xm:f>
          </x14:formula1>
          <xm:sqref>AF2:AF14 AF17 AF25:AF1048576</xm:sqref>
        </x14:dataValidation>
        <x14:dataValidation type="list" allowBlank="1" showInputMessage="1" showErrorMessage="1" xr:uid="{00000000-0002-0000-0800-00001A000000}">
          <x14:formula1>
            <xm:f>list!$B$39:$U$39</xm:f>
          </x14:formula1>
          <xm:sqref>AG2:AG14 AG17 AG25:AG1048576</xm:sqref>
        </x14:dataValidation>
        <x14:dataValidation type="list" allowBlank="1" showInputMessage="1" showErrorMessage="1" xr:uid="{00000000-0002-0000-0800-00001B000000}">
          <x14:formula1>
            <xm:f>list!$B$40:$I$40</xm:f>
          </x14:formula1>
          <xm:sqref>AH2:AH14 AH17 AH21:AH1048576</xm:sqref>
        </x14:dataValidation>
        <x14:dataValidation type="list" allowBlank="1" showInputMessage="1" showErrorMessage="1" xr:uid="{00000000-0002-0000-0800-00001C000000}">
          <x14:formula1>
            <xm:f>list!$B$41:$H$41</xm:f>
          </x14:formula1>
          <xm:sqref>AI2:AI14 AI17 AI21:AI1048576 AK9:AK12 AK14 AK16 AK21:AK24</xm:sqref>
        </x14:dataValidation>
        <x14:dataValidation type="list" allowBlank="1" showInputMessage="1" showErrorMessage="1" xr:uid="{00000000-0002-0000-0800-00001D000000}">
          <x14:formula1>
            <xm:f>list!$B$42:$Z$42</xm:f>
          </x14:formula1>
          <xm:sqref>AJ2:AJ14 AJ17 AJ21:AJ1048576 AL9:AL12 AL14 AL16 AL21:AL24</xm:sqref>
        </x14:dataValidation>
        <x14:dataValidation type="list" allowBlank="1" showInputMessage="1" showErrorMessage="1" xr:uid="{00000000-0002-0000-0800-00001E000000}">
          <x14:formula1>
            <xm:f>list!$B$43:$H$43</xm:f>
          </x14:formula1>
          <xm:sqref>AK2:AK8 AK13 AK17 AK25:AK1048576</xm:sqref>
        </x14:dataValidation>
        <x14:dataValidation type="list" allowBlank="1" showInputMessage="1" showErrorMessage="1" xr:uid="{00000000-0002-0000-0800-00001F000000}">
          <x14:formula1>
            <xm:f>list!$B$44:$Z$44</xm:f>
          </x14:formula1>
          <xm:sqref>AL2:AL8 AL13 AL15 AL17 AL25:AL1048576</xm:sqref>
        </x14:dataValidation>
        <x14:dataValidation type="list" allowBlank="1" showInputMessage="1" showErrorMessage="1" xr:uid="{00000000-0002-0000-0800-000020000000}">
          <x14:formula1>
            <xm:f>list!$B$49:$Q$49</xm:f>
          </x14:formula1>
          <xm:sqref>AM2:AM1048576</xm:sqref>
        </x14:dataValidation>
        <x14:dataValidation type="list" allowBlank="1" showInputMessage="1" showErrorMessage="1" xr:uid="{00000000-0002-0000-0800-000021000000}">
          <x14:formula1>
            <xm:f>list!$B$50:$C$50</xm:f>
          </x14:formula1>
          <xm:sqref>AN2:AN1048576</xm:sqref>
        </x14:dataValidation>
        <x14:dataValidation type="list" allowBlank="1" showInputMessage="1" showErrorMessage="1" xr:uid="{00000000-0002-0000-0800-000022000000}">
          <x14:formula1>
            <xm:f>list!$B$51:$C$51</xm:f>
          </x14:formula1>
          <xm:sqref>AO2:AO1048576</xm:sqref>
        </x14:dataValidation>
        <x14:dataValidation type="list" allowBlank="1" showInputMessage="1" showErrorMessage="1" xr:uid="{00000000-0002-0000-0800-000023000000}">
          <x14:formula1>
            <xm:f>list!$B$52:$C$52</xm:f>
          </x14:formula1>
          <xm:sqref>AP2:AP1048576</xm:sqref>
        </x14:dataValidation>
        <x14:dataValidation type="list" allowBlank="1" showInputMessage="1" showErrorMessage="1" xr:uid="{00000000-0002-0000-0800-000024000000}">
          <x14:formula1>
            <xm:f>list!$B$53:$C$53</xm:f>
          </x14:formula1>
          <xm:sqref>AQ2:AQ1048576</xm:sqref>
        </x14:dataValidation>
        <x14:dataValidation type="list" allowBlank="1" showInputMessage="1" showErrorMessage="1" xr:uid="{00000000-0002-0000-0800-000025000000}">
          <x14:formula1>
            <xm:f>list!$B$54:$C$54</xm:f>
          </x14:formula1>
          <xm:sqref>AR2:AR1048576</xm:sqref>
        </x14:dataValidation>
        <x14:dataValidation type="list" allowBlank="1" showInputMessage="1" showErrorMessage="1" xr:uid="{00000000-0002-0000-0800-000026000000}">
          <x14:formula1>
            <xm:f>list!$B$55:$C$55</xm:f>
          </x14:formula1>
          <xm:sqref>AS2:AS1048576</xm:sqref>
        </x14:dataValidation>
        <x14:dataValidation type="list" allowBlank="1" showInputMessage="1" showErrorMessage="1" xr:uid="{00000000-0002-0000-0800-000027000000}">
          <x14:formula1>
            <xm:f>list!$B$56:$C$56</xm:f>
          </x14:formula1>
          <xm:sqref>AT2:AT1048576</xm:sqref>
        </x14:dataValidation>
        <x14:dataValidation type="list" allowBlank="1" showInputMessage="1" showErrorMessage="1" xr:uid="{00000000-0002-0000-0800-000028000000}">
          <x14:formula1>
            <xm:f>list!$B$57:$C$57</xm:f>
          </x14:formula1>
          <xm:sqref>AU2:AU1048576</xm:sqref>
        </x14:dataValidation>
        <x14:dataValidation type="list" allowBlank="1" showInputMessage="1" showErrorMessage="1" xr:uid="{00000000-0002-0000-0800-000029000000}">
          <x14:formula1>
            <xm:f>list!$B$58:$C$58</xm:f>
          </x14:formula1>
          <xm:sqref>AV2:AV1048576</xm:sqref>
        </x14:dataValidation>
        <x14:dataValidation type="list" allowBlank="1" showInputMessage="1" showErrorMessage="1" xr:uid="{00000000-0002-0000-0800-00002A000000}">
          <x14:formula1>
            <xm:f>list!$B$59:$C$59</xm:f>
          </x14:formula1>
          <xm:sqref>AW2:AW1048576</xm:sqref>
        </x14:dataValidation>
        <x14:dataValidation type="list" allowBlank="1" showInputMessage="1" showErrorMessage="1" xr:uid="{00000000-0002-0000-0800-00002B000000}">
          <x14:formula1>
            <xm:f>list!$B$60:$C$60</xm:f>
          </x14:formula1>
          <xm:sqref>AX2:AX1048576</xm:sqref>
        </x14:dataValidation>
        <x14:dataValidation type="list" allowBlank="1" showInputMessage="1" showErrorMessage="1" xr:uid="{00000000-0002-0000-0800-00002C000000}">
          <x14:formula1>
            <xm:f>list!$B$61:$C$61</xm:f>
          </x14:formula1>
          <xm:sqref>AY2:AY1048576</xm:sqref>
        </x14:dataValidation>
        <x14:dataValidation type="list" allowBlank="1" showInputMessage="1" showErrorMessage="1" xr:uid="{00000000-0002-0000-0800-00002D000000}">
          <x14:formula1>
            <xm:f>list!$B$63:$C$63</xm:f>
          </x14:formula1>
          <xm:sqref>AZ2:AZ1048576</xm:sqref>
        </x14:dataValidation>
        <x14:dataValidation type="list" allowBlank="1" showInputMessage="1" showErrorMessage="1" xr:uid="{00000000-0002-0000-0800-00002E000000}">
          <x14:formula1>
            <xm:f>list!$B$64:$E$64</xm:f>
          </x14:formula1>
          <xm:sqref>BA2:BA1048576</xm:sqref>
        </x14:dataValidation>
        <x14:dataValidation type="list" allowBlank="1" showInputMessage="1" showErrorMessage="1" xr:uid="{00000000-0002-0000-0800-00002F000000}">
          <x14:formula1>
            <xm:f>list!$B$65:$F$65</xm:f>
          </x14:formula1>
          <xm:sqref>BB2:BB1048576</xm:sqref>
        </x14:dataValidation>
        <x14:dataValidation type="list" allowBlank="1" showInputMessage="1" showErrorMessage="1" xr:uid="{00000000-0002-0000-0800-000030000000}">
          <x14:formula1>
            <xm:f>list!$B$66:$C$66</xm:f>
          </x14:formula1>
          <xm:sqref>BC2:BC1048576</xm:sqref>
        </x14:dataValidation>
        <x14:dataValidation type="list" allowBlank="1" showInputMessage="1" showErrorMessage="1" xr:uid="{00000000-0002-0000-0800-000031000000}">
          <x14:formula1>
            <xm:f>list!$B$67:$C$67</xm:f>
          </x14:formula1>
          <xm:sqref>BD2:BD1048576</xm:sqref>
        </x14:dataValidation>
        <x14:dataValidation type="list" allowBlank="1" showInputMessage="1" showErrorMessage="1" xr:uid="{00000000-0002-0000-0800-000032000000}">
          <x14:formula1>
            <xm:f>list!$B$68:$G$68</xm:f>
          </x14:formula1>
          <xm:sqref>BE2:BE1048576</xm:sqref>
        </x14:dataValidation>
        <x14:dataValidation type="list" allowBlank="1" showInputMessage="1" showErrorMessage="1" xr:uid="{00000000-0002-0000-0800-000033000000}">
          <x14:formula1>
            <xm:f>list!$B$69:$C$69</xm:f>
          </x14:formula1>
          <xm:sqref>BF2:BF1048576</xm:sqref>
        </x14:dataValidation>
        <x14:dataValidation type="list" allowBlank="1" showInputMessage="1" showErrorMessage="1" xr:uid="{00000000-0002-0000-0800-000034000000}">
          <x14:formula1>
            <xm:f>list!$B$70:$G$70</xm:f>
          </x14:formula1>
          <xm:sqref>BG2:BG1048576</xm:sqref>
        </x14:dataValidation>
        <x14:dataValidation type="list" allowBlank="1" showInputMessage="1" showErrorMessage="1" xr:uid="{00000000-0002-0000-0800-000035000000}">
          <x14:formula1>
            <xm:f>list!$B$72:$C$72</xm:f>
          </x14:formula1>
          <xm:sqref>BH2:BH1048576</xm:sqref>
        </x14:dataValidation>
        <x14:dataValidation type="list" allowBlank="1" showInputMessage="1" showErrorMessage="1" xr:uid="{00000000-0002-0000-0800-000036000000}">
          <x14:formula1>
            <xm:f>list!$B$73:$C$73</xm:f>
          </x14:formula1>
          <xm:sqref>BI2:BI1048576</xm:sqref>
        </x14:dataValidation>
        <x14:dataValidation type="list" allowBlank="1" showInputMessage="1" showErrorMessage="1" xr:uid="{00000000-0002-0000-0800-000037000000}">
          <x14:formula1>
            <xm:f>list!$B$84:$D$84</xm:f>
          </x14:formula1>
          <xm:sqref>BJ2:BJ1048576</xm:sqref>
        </x14:dataValidation>
        <x14:dataValidation type="list" allowBlank="1" showInputMessage="1" showErrorMessage="1" xr:uid="{00000000-0002-0000-0800-000038000000}">
          <x14:formula1>
            <xm:f>list!$B$85:$D$85</xm:f>
          </x14:formula1>
          <xm:sqref>BK2:BK1048576</xm:sqref>
        </x14:dataValidation>
        <x14:dataValidation type="list" allowBlank="1" showInputMessage="1" showErrorMessage="1" xr:uid="{00000000-0002-0000-0800-000039000000}">
          <x14:formula1>
            <xm:f>list!$B$79:$C$79</xm:f>
          </x14:formula1>
          <xm:sqref>BL2:BL1048576</xm:sqref>
        </x14:dataValidation>
        <x14:dataValidation type="list" allowBlank="1" showInputMessage="1" showErrorMessage="1" xr:uid="{00000000-0002-0000-0800-00003A000000}">
          <x14:formula1>
            <xm:f>list!$B$80:$C$80</xm:f>
          </x14:formula1>
          <xm:sqref>BM2:BM1048576</xm:sqref>
        </x14:dataValidation>
        <x14:dataValidation type="list" allowBlank="1" showInputMessage="1" showErrorMessage="1" xr:uid="{00000000-0002-0000-0800-00003B000000}">
          <x14:formula1>
            <xm:f>list!$B$82:$C$82</xm:f>
          </x14:formula1>
          <xm:sqref>BO2:BO1048576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4">
    <tabColor rgb="FF92D050"/>
  </sheetPr>
  <dimension ref="A1:BO33"/>
  <sheetViews>
    <sheetView zoomScale="50" zoomScaleNormal="50" workbookViewId="0">
      <pane xSplit="6" ySplit="1" topLeftCell="BA28" activePane="bottomRight" state="frozen"/>
      <selection pane="topRight"/>
      <selection pane="bottomLeft"/>
      <selection pane="bottomRight" activeCell="F2" sqref="F2:F33"/>
    </sheetView>
  </sheetViews>
  <sheetFormatPr defaultColWidth="10.875" defaultRowHeight="147" customHeight="1"/>
  <cols>
    <col min="1" max="1" width="6" style="1" customWidth="1"/>
    <col min="2" max="2" width="4.25" style="1" customWidth="1"/>
    <col min="3" max="3" width="4.75" style="1" customWidth="1"/>
    <col min="4" max="4" width="6.625" style="1" customWidth="1"/>
    <col min="5" max="5" width="55.125" style="1" customWidth="1"/>
    <col min="6" max="6" width="14.375" style="1" customWidth="1"/>
    <col min="7" max="7" width="17.5" style="1" customWidth="1"/>
    <col min="8" max="8" width="19.625" style="1" bestFit="1" customWidth="1"/>
    <col min="9" max="9" width="34.125" style="1" customWidth="1"/>
    <col min="10" max="10" width="22.125" style="1" customWidth="1"/>
    <col min="11" max="11" width="22" style="1" customWidth="1"/>
    <col min="12" max="12" width="37" style="1" bestFit="1" customWidth="1"/>
    <col min="13" max="13" width="23.875" style="1" bestFit="1" customWidth="1"/>
    <col min="14" max="14" width="21.625" style="1" customWidth="1"/>
    <col min="15" max="15" width="38.875" style="1" customWidth="1"/>
    <col min="16" max="16" width="42.375" style="1" customWidth="1"/>
    <col min="17" max="17" width="40" style="1" customWidth="1"/>
    <col min="18" max="18" width="11" style="1" bestFit="1" customWidth="1"/>
    <col min="19" max="19" width="21.5" style="1" customWidth="1"/>
    <col min="20" max="20" width="19.5" style="1" customWidth="1"/>
    <col min="21" max="21" width="16.625" style="1" customWidth="1"/>
    <col min="22" max="23" width="33.875" style="1" customWidth="1"/>
    <col min="24" max="24" width="21.625" style="1" customWidth="1"/>
    <col min="25" max="25" width="32" style="1" customWidth="1"/>
    <col min="26" max="26" width="35.875" style="1" bestFit="1" customWidth="1"/>
    <col min="27" max="27" width="24.375" style="1" customWidth="1"/>
    <col min="28" max="28" width="33.375" style="1" bestFit="1" customWidth="1"/>
    <col min="29" max="29" width="29" style="1" customWidth="1"/>
    <col min="30" max="30" width="21.5" style="1" customWidth="1"/>
    <col min="31" max="31" width="19.875" style="1" customWidth="1"/>
    <col min="32" max="32" width="39.625" style="1" customWidth="1"/>
    <col min="33" max="33" width="37.875" style="1" customWidth="1"/>
    <col min="34" max="34" width="26.125" style="1" customWidth="1"/>
    <col min="35" max="35" width="29.875" style="1" customWidth="1"/>
    <col min="36" max="36" width="26.125" style="1" customWidth="1"/>
    <col min="37" max="37" width="28.375" style="1" customWidth="1"/>
    <col min="38" max="39" width="35.5" style="1" customWidth="1"/>
    <col min="40" max="40" width="29.125" style="1" customWidth="1"/>
    <col min="41" max="41" width="23.375" style="1" customWidth="1"/>
    <col min="42" max="42" width="29.125" style="1" customWidth="1"/>
    <col min="43" max="43" width="23.375" style="1" customWidth="1"/>
    <col min="44" max="44" width="24.375" style="1" customWidth="1"/>
    <col min="45" max="45" width="28" style="1" customWidth="1"/>
    <col min="46" max="46" width="24.625" style="1" customWidth="1"/>
    <col min="47" max="47" width="26.5" style="1" customWidth="1"/>
    <col min="48" max="48" width="23" style="1" customWidth="1"/>
    <col min="49" max="49" width="19.375" style="1" customWidth="1"/>
    <col min="50" max="50" width="20.125" style="1" customWidth="1"/>
    <col min="51" max="51" width="20.875" style="1" customWidth="1"/>
    <col min="52" max="52" width="18.375" style="1" customWidth="1"/>
    <col min="53" max="53" width="16.125" style="1" customWidth="1"/>
    <col min="54" max="54" width="26" style="1" customWidth="1"/>
    <col min="55" max="55" width="20.625" style="1" customWidth="1"/>
    <col min="56" max="56" width="20.125" style="1" customWidth="1"/>
    <col min="57" max="57" width="28.5" style="1" customWidth="1"/>
    <col min="58" max="58" width="29.375" style="1" customWidth="1"/>
    <col min="59" max="59" width="16.375" style="1" customWidth="1"/>
    <col min="60" max="60" width="16.5" style="1" customWidth="1"/>
    <col min="61" max="61" width="17" style="1" customWidth="1"/>
    <col min="62" max="62" width="48.625" style="1" customWidth="1"/>
    <col min="63" max="63" width="27" style="1" customWidth="1"/>
    <col min="64" max="64" width="15" style="1" customWidth="1"/>
    <col min="65" max="65" width="13.625" style="1" customWidth="1"/>
    <col min="66" max="66" width="19.625" style="1" bestFit="1" customWidth="1"/>
    <col min="67" max="67" width="21.125" style="1" customWidth="1"/>
    <col min="68" max="68" width="10.875" style="1" customWidth="1"/>
    <col min="69" max="16384" width="10.875" style="1"/>
  </cols>
  <sheetData>
    <row r="1" spans="1:67" s="17" customFormat="1" ht="147" customHeight="1">
      <c r="A1" s="12" t="s">
        <v>0</v>
      </c>
      <c r="B1" s="12" t="s">
        <v>1</v>
      </c>
      <c r="C1" s="12" t="s">
        <v>2</v>
      </c>
      <c r="D1" s="13" t="s">
        <v>3</v>
      </c>
      <c r="E1" s="13" t="s">
        <v>4</v>
      </c>
      <c r="F1" s="13" t="s">
        <v>5</v>
      </c>
      <c r="G1" s="14" t="s">
        <v>6</v>
      </c>
      <c r="H1" s="14" t="s">
        <v>7</v>
      </c>
      <c r="I1" s="14" t="s">
        <v>8</v>
      </c>
      <c r="J1" s="14" t="s">
        <v>9</v>
      </c>
      <c r="K1" s="14" t="s">
        <v>10</v>
      </c>
      <c r="L1" s="14" t="s">
        <v>11</v>
      </c>
      <c r="M1" s="14" t="s">
        <v>102</v>
      </c>
      <c r="N1" s="14" t="s">
        <v>13</v>
      </c>
      <c r="O1" s="14" t="s">
        <v>14</v>
      </c>
      <c r="P1" s="14" t="s">
        <v>15</v>
      </c>
      <c r="Q1" s="14" t="s">
        <v>16</v>
      </c>
      <c r="R1" s="14" t="s">
        <v>17</v>
      </c>
      <c r="S1" s="14" t="s">
        <v>18</v>
      </c>
      <c r="T1" s="14" t="s">
        <v>19</v>
      </c>
      <c r="U1" s="14" t="s">
        <v>20</v>
      </c>
      <c r="V1" s="14" t="s">
        <v>21</v>
      </c>
      <c r="W1" s="14" t="s">
        <v>22</v>
      </c>
      <c r="X1" s="14" t="s">
        <v>23</v>
      </c>
      <c r="Y1" s="14" t="s">
        <v>24</v>
      </c>
      <c r="Z1" s="14" t="s">
        <v>25</v>
      </c>
      <c r="AA1" s="14" t="s">
        <v>26</v>
      </c>
      <c r="AB1" s="14" t="s">
        <v>27</v>
      </c>
      <c r="AC1" s="14" t="s">
        <v>28</v>
      </c>
      <c r="AD1" s="14" t="s">
        <v>29</v>
      </c>
      <c r="AE1" s="14" t="s">
        <v>30</v>
      </c>
      <c r="AF1" s="14" t="s">
        <v>31</v>
      </c>
      <c r="AG1" s="14" t="s">
        <v>32</v>
      </c>
      <c r="AH1" s="15" t="s">
        <v>33</v>
      </c>
      <c r="AI1" s="14" t="s">
        <v>34</v>
      </c>
      <c r="AJ1" s="14" t="s">
        <v>35</v>
      </c>
      <c r="AK1" s="14" t="s">
        <v>36</v>
      </c>
      <c r="AL1" s="14" t="s">
        <v>37</v>
      </c>
      <c r="AM1" s="14" t="s">
        <v>38</v>
      </c>
      <c r="AN1" s="14" t="s">
        <v>39</v>
      </c>
      <c r="AO1" s="14" t="s">
        <v>40</v>
      </c>
      <c r="AP1" s="14" t="s">
        <v>41</v>
      </c>
      <c r="AQ1" s="14" t="s">
        <v>42</v>
      </c>
      <c r="AR1" s="14" t="s">
        <v>43</v>
      </c>
      <c r="AS1" s="14" t="s">
        <v>44</v>
      </c>
      <c r="AT1" s="14" t="s">
        <v>45</v>
      </c>
      <c r="AU1" s="14" t="s">
        <v>46</v>
      </c>
      <c r="AV1" s="14" t="s">
        <v>47</v>
      </c>
      <c r="AW1" s="14" t="s">
        <v>48</v>
      </c>
      <c r="AX1" s="14" t="s">
        <v>49</v>
      </c>
      <c r="AY1" s="14" t="s">
        <v>50</v>
      </c>
      <c r="AZ1" s="14" t="s">
        <v>51</v>
      </c>
      <c r="BA1" s="14" t="s">
        <v>52</v>
      </c>
      <c r="BB1" s="14" t="s">
        <v>53</v>
      </c>
      <c r="BC1" s="14" t="s">
        <v>54</v>
      </c>
      <c r="BD1" s="14" t="s">
        <v>55</v>
      </c>
      <c r="BE1" s="14" t="s">
        <v>56</v>
      </c>
      <c r="BF1" s="14" t="s">
        <v>57</v>
      </c>
      <c r="BG1" s="14" t="s">
        <v>58</v>
      </c>
      <c r="BH1" s="14" t="s">
        <v>59</v>
      </c>
      <c r="BI1" s="14" t="s">
        <v>60</v>
      </c>
      <c r="BJ1" s="16" t="s">
        <v>61</v>
      </c>
      <c r="BK1" s="16" t="s">
        <v>62</v>
      </c>
      <c r="BL1" s="16" t="s">
        <v>63</v>
      </c>
      <c r="BM1" s="16" t="s">
        <v>64</v>
      </c>
      <c r="BN1" s="16" t="s">
        <v>65</v>
      </c>
      <c r="BO1" s="16" t="s">
        <v>66</v>
      </c>
    </row>
    <row r="2" spans="1:67" ht="170.1" customHeight="1">
      <c r="B2" s="1">
        <v>1145757</v>
      </c>
      <c r="C2" s="2">
        <v>42425</v>
      </c>
      <c r="D2" s="1">
        <f>DATEDIF($C$2, C2, "M")</f>
        <v>0</v>
      </c>
      <c r="E2" s="3" t="s">
        <v>425</v>
      </c>
      <c r="F2" s="1" t="b">
        <v>1</v>
      </c>
      <c r="G2" s="1" t="b">
        <v>1</v>
      </c>
      <c r="Q2" s="1" t="b">
        <v>0</v>
      </c>
      <c r="S2" s="1" t="s">
        <v>478</v>
      </c>
      <c r="T2" s="1" t="s">
        <v>478</v>
      </c>
      <c r="U2" s="1" t="s">
        <v>478</v>
      </c>
      <c r="V2" s="1" t="s">
        <v>478</v>
      </c>
      <c r="X2" s="1">
        <v>7</v>
      </c>
    </row>
    <row r="3" spans="1:67" ht="51" customHeight="1">
      <c r="B3" s="1">
        <v>1145757</v>
      </c>
      <c r="C3" s="2">
        <v>42070</v>
      </c>
      <c r="D3" s="1">
        <v>0</v>
      </c>
      <c r="E3" s="1" t="s">
        <v>426</v>
      </c>
      <c r="F3" s="1" t="b">
        <v>1</v>
      </c>
      <c r="G3" s="1" t="b">
        <v>1</v>
      </c>
    </row>
    <row r="4" spans="1:67" ht="170.1" customHeight="1">
      <c r="B4" s="1">
        <v>1145757</v>
      </c>
      <c r="C4" s="2">
        <v>42480</v>
      </c>
      <c r="D4" s="1">
        <f t="shared" ref="D4:D33" si="0">DATEDIF($C$2, C4, "M")</f>
        <v>1</v>
      </c>
      <c r="E4" s="1" t="s">
        <v>427</v>
      </c>
      <c r="F4" s="1" t="b">
        <v>1</v>
      </c>
      <c r="H4" s="1" t="b">
        <v>1</v>
      </c>
      <c r="J4" s="1" t="b">
        <v>1</v>
      </c>
      <c r="L4" s="1" t="s">
        <v>499</v>
      </c>
      <c r="AD4" s="1" t="s">
        <v>504</v>
      </c>
      <c r="AE4" s="1" t="s">
        <v>512</v>
      </c>
      <c r="AF4" s="1" t="s">
        <v>504</v>
      </c>
      <c r="AG4" s="1" t="s">
        <v>512</v>
      </c>
      <c r="AN4" s="1" t="b">
        <v>1</v>
      </c>
    </row>
    <row r="5" spans="1:67" ht="51" customHeight="1">
      <c r="B5" s="1">
        <v>1145757</v>
      </c>
      <c r="C5" s="2">
        <v>42487</v>
      </c>
      <c r="D5" s="1">
        <f t="shared" si="0"/>
        <v>2</v>
      </c>
      <c r="E5" s="1" t="s">
        <v>428</v>
      </c>
      <c r="F5" s="1" t="b">
        <v>1</v>
      </c>
      <c r="I5" s="1" t="b">
        <v>1</v>
      </c>
      <c r="L5" s="1" t="s">
        <v>499</v>
      </c>
      <c r="AB5" s="1" t="b">
        <v>0</v>
      </c>
      <c r="AC5" s="1" t="b">
        <v>0</v>
      </c>
      <c r="AD5" s="1" t="s">
        <v>504</v>
      </c>
      <c r="AE5" s="1" t="s">
        <v>512</v>
      </c>
      <c r="AF5" s="1" t="s">
        <v>504</v>
      </c>
      <c r="AG5" s="1" t="s">
        <v>512</v>
      </c>
      <c r="AN5" s="1" t="b">
        <v>1</v>
      </c>
    </row>
    <row r="6" spans="1:67" ht="33.950000000000003" customHeight="1">
      <c r="B6" s="1">
        <v>1145757</v>
      </c>
      <c r="C6" s="2">
        <v>42515</v>
      </c>
      <c r="D6" s="1">
        <f t="shared" si="0"/>
        <v>3</v>
      </c>
      <c r="E6" s="1" t="s">
        <v>429</v>
      </c>
      <c r="F6" s="1" t="b">
        <v>1</v>
      </c>
      <c r="AB6" s="1" t="b">
        <v>1</v>
      </c>
      <c r="AC6" s="1" t="b">
        <v>1</v>
      </c>
      <c r="AD6" s="1" t="s">
        <v>504</v>
      </c>
      <c r="AE6" s="1" t="s">
        <v>513</v>
      </c>
      <c r="AF6" s="1" t="s">
        <v>504</v>
      </c>
      <c r="AG6" s="1" t="s">
        <v>513</v>
      </c>
      <c r="AN6" s="1" t="b">
        <v>1</v>
      </c>
      <c r="BD6" s="1" t="b">
        <v>1</v>
      </c>
      <c r="BE6" s="1" t="s">
        <v>585</v>
      </c>
      <c r="BF6" s="1" t="b">
        <v>1</v>
      </c>
    </row>
    <row r="7" spans="1:67" ht="84.95" customHeight="1">
      <c r="B7" s="1">
        <v>1145757</v>
      </c>
      <c r="C7" s="2">
        <v>42543</v>
      </c>
      <c r="D7" s="1">
        <f t="shared" si="0"/>
        <v>3</v>
      </c>
      <c r="E7" s="1" t="s">
        <v>430</v>
      </c>
      <c r="F7" s="1" t="b">
        <v>1</v>
      </c>
      <c r="S7" s="1" t="s">
        <v>482</v>
      </c>
      <c r="T7" s="1" t="s">
        <v>482</v>
      </c>
      <c r="U7" s="1" t="s">
        <v>482</v>
      </c>
      <c r="V7" s="1" t="s">
        <v>482</v>
      </c>
      <c r="W7" s="1">
        <v>4</v>
      </c>
      <c r="X7" s="1">
        <v>6</v>
      </c>
      <c r="AB7" s="1" t="b">
        <v>0</v>
      </c>
      <c r="AC7" s="1" t="b">
        <v>0</v>
      </c>
      <c r="AD7" s="1" t="s">
        <v>504</v>
      </c>
      <c r="AE7" s="1" t="s">
        <v>513</v>
      </c>
      <c r="AF7" s="1" t="s">
        <v>504</v>
      </c>
      <c r="AG7" s="1" t="s">
        <v>513</v>
      </c>
      <c r="AH7" s="1" t="s">
        <v>534</v>
      </c>
    </row>
    <row r="8" spans="1:67" ht="68.099999999999994" customHeight="1">
      <c r="B8" s="1">
        <v>1145757</v>
      </c>
      <c r="C8" s="2">
        <v>42563</v>
      </c>
      <c r="D8" s="1">
        <f t="shared" si="0"/>
        <v>4</v>
      </c>
      <c r="E8" s="1" t="s">
        <v>431</v>
      </c>
      <c r="F8" s="1" t="b">
        <v>1</v>
      </c>
      <c r="S8" s="1" t="s">
        <v>482</v>
      </c>
      <c r="T8" s="1" t="s">
        <v>482</v>
      </c>
      <c r="U8" s="1" t="s">
        <v>482</v>
      </c>
      <c r="V8" s="1" t="s">
        <v>482</v>
      </c>
      <c r="AA8" s="1" t="b">
        <v>1</v>
      </c>
      <c r="AB8" s="1" t="b">
        <v>0</v>
      </c>
      <c r="AC8" s="1" t="b">
        <v>0</v>
      </c>
      <c r="AD8" s="1" t="s">
        <v>504</v>
      </c>
      <c r="AE8" s="1" t="s">
        <v>513</v>
      </c>
      <c r="AF8" s="1" t="s">
        <v>504</v>
      </c>
      <c r="AG8" s="1" t="s">
        <v>513</v>
      </c>
      <c r="AH8" s="1" t="s">
        <v>534</v>
      </c>
    </row>
    <row r="9" spans="1:67" ht="51" customHeight="1">
      <c r="B9" s="1">
        <v>1145757</v>
      </c>
      <c r="C9" s="2">
        <v>42599</v>
      </c>
      <c r="D9" s="1">
        <f t="shared" si="0"/>
        <v>5</v>
      </c>
      <c r="E9" s="3" t="s">
        <v>432</v>
      </c>
      <c r="F9" s="1" t="b">
        <v>1</v>
      </c>
      <c r="H9" s="1" t="b">
        <v>1</v>
      </c>
      <c r="J9" s="1" t="b">
        <v>1</v>
      </c>
      <c r="S9" s="1" t="s">
        <v>482</v>
      </c>
      <c r="T9" s="1" t="s">
        <v>482</v>
      </c>
      <c r="U9" s="1" t="s">
        <v>482</v>
      </c>
      <c r="V9" s="1" t="s">
        <v>482</v>
      </c>
      <c r="AB9" s="1" t="b">
        <v>1</v>
      </c>
      <c r="AC9" s="1" t="b">
        <v>1</v>
      </c>
      <c r="AD9" s="1" t="s">
        <v>504</v>
      </c>
      <c r="AE9" s="1" t="s">
        <v>517</v>
      </c>
      <c r="AF9" s="1" t="s">
        <v>504</v>
      </c>
      <c r="AG9" s="1" t="s">
        <v>517</v>
      </c>
      <c r="AH9" s="1" t="s">
        <v>534</v>
      </c>
      <c r="BC9" s="1" t="b">
        <v>1</v>
      </c>
    </row>
    <row r="10" spans="1:67" ht="84.95" customHeight="1">
      <c r="B10" s="1">
        <v>1145757</v>
      </c>
      <c r="C10" s="2">
        <v>42627</v>
      </c>
      <c r="D10" s="1">
        <f t="shared" si="0"/>
        <v>6</v>
      </c>
      <c r="E10" s="1" t="s">
        <v>433</v>
      </c>
      <c r="F10" s="1" t="b">
        <v>1</v>
      </c>
      <c r="S10" s="1" t="s">
        <v>482</v>
      </c>
      <c r="T10" s="1" t="s">
        <v>482</v>
      </c>
      <c r="U10" s="1" t="s">
        <v>482</v>
      </c>
      <c r="V10" s="1" t="s">
        <v>482</v>
      </c>
      <c r="AA10" s="1" t="b">
        <v>1</v>
      </c>
      <c r="AB10" s="1" t="b">
        <v>0</v>
      </c>
      <c r="AC10" s="1" t="b">
        <v>1</v>
      </c>
      <c r="AD10" s="1" t="s">
        <v>504</v>
      </c>
      <c r="AE10" s="1" t="s">
        <v>517</v>
      </c>
      <c r="AF10" s="1" t="s">
        <v>504</v>
      </c>
      <c r="AG10" s="1" t="s">
        <v>514</v>
      </c>
      <c r="AH10" s="1" t="s">
        <v>534</v>
      </c>
    </row>
    <row r="11" spans="1:67" ht="68.099999999999994" customHeight="1">
      <c r="B11" s="1">
        <v>1145757</v>
      </c>
      <c r="C11" s="2">
        <v>42662</v>
      </c>
      <c r="D11" s="1">
        <f t="shared" si="0"/>
        <v>7</v>
      </c>
      <c r="E11" s="1" t="s">
        <v>434</v>
      </c>
      <c r="F11" s="1" t="b">
        <v>1</v>
      </c>
      <c r="S11" s="1" t="s">
        <v>482</v>
      </c>
      <c r="T11" s="1" t="s">
        <v>482</v>
      </c>
      <c r="U11" s="1" t="s">
        <v>482</v>
      </c>
      <c r="V11" s="1" t="s">
        <v>482</v>
      </c>
      <c r="AB11" s="1" t="b">
        <v>0</v>
      </c>
      <c r="AC11" s="1" t="b">
        <v>0</v>
      </c>
      <c r="AD11" s="1" t="s">
        <v>504</v>
      </c>
      <c r="AE11" s="1" t="s">
        <v>517</v>
      </c>
      <c r="AF11" s="1" t="s">
        <v>504</v>
      </c>
      <c r="AG11" s="1" t="s">
        <v>514</v>
      </c>
      <c r="BC11" s="1" t="b">
        <v>1</v>
      </c>
    </row>
    <row r="12" spans="1:67" ht="68.099999999999994" customHeight="1">
      <c r="B12" s="1">
        <v>1145757</v>
      </c>
      <c r="C12" s="2">
        <v>42704</v>
      </c>
      <c r="D12" s="1">
        <f t="shared" si="0"/>
        <v>9</v>
      </c>
      <c r="E12" s="1" t="s">
        <v>435</v>
      </c>
      <c r="F12" s="1" t="b">
        <v>1</v>
      </c>
      <c r="L12" s="1" t="s">
        <v>499</v>
      </c>
      <c r="S12" s="1" t="s">
        <v>482</v>
      </c>
      <c r="T12" s="1" t="s">
        <v>482</v>
      </c>
      <c r="U12" s="1" t="s">
        <v>482</v>
      </c>
      <c r="V12" s="1" t="s">
        <v>482</v>
      </c>
      <c r="AB12" s="1" t="b">
        <v>0</v>
      </c>
      <c r="AC12" s="1" t="b">
        <v>1</v>
      </c>
      <c r="AD12" s="1" t="s">
        <v>504</v>
      </c>
      <c r="AE12" s="1" t="s">
        <v>517</v>
      </c>
      <c r="AF12" s="1" t="s">
        <v>504</v>
      </c>
      <c r="AG12" s="1" t="s">
        <v>516</v>
      </c>
      <c r="BF12" s="1" t="b">
        <v>1</v>
      </c>
    </row>
    <row r="13" spans="1:67" ht="68.099999999999994" customHeight="1">
      <c r="B13" s="1">
        <v>1145757</v>
      </c>
      <c r="C13" s="2">
        <v>42746</v>
      </c>
      <c r="D13" s="1">
        <f t="shared" si="0"/>
        <v>10</v>
      </c>
      <c r="E13" s="1" t="s">
        <v>436</v>
      </c>
      <c r="F13" s="1" t="b">
        <v>1</v>
      </c>
      <c r="L13" s="1" t="s">
        <v>499</v>
      </c>
      <c r="S13" s="1" t="s">
        <v>482</v>
      </c>
      <c r="T13" s="1" t="s">
        <v>482</v>
      </c>
      <c r="U13" s="1" t="s">
        <v>482</v>
      </c>
      <c r="V13" s="1" t="s">
        <v>482</v>
      </c>
      <c r="AB13" s="1" t="b">
        <v>0</v>
      </c>
      <c r="AC13" s="1" t="b">
        <v>0</v>
      </c>
      <c r="AD13" s="1" t="s">
        <v>504</v>
      </c>
      <c r="AE13" s="1" t="s">
        <v>517</v>
      </c>
      <c r="AF13" s="1" t="s">
        <v>504</v>
      </c>
      <c r="AG13" s="1" t="s">
        <v>516</v>
      </c>
      <c r="BF13" s="1" t="b">
        <v>1</v>
      </c>
    </row>
    <row r="14" spans="1:67" ht="68.099999999999994" customHeight="1">
      <c r="B14" s="1">
        <v>1145757</v>
      </c>
      <c r="C14" s="2">
        <v>42774</v>
      </c>
      <c r="D14" s="1">
        <f t="shared" si="0"/>
        <v>11</v>
      </c>
      <c r="E14" s="1" t="s">
        <v>437</v>
      </c>
      <c r="F14" s="1" t="b">
        <v>1</v>
      </c>
      <c r="L14" s="1" t="s">
        <v>499</v>
      </c>
      <c r="S14" s="1" t="s">
        <v>482</v>
      </c>
      <c r="T14" s="1" t="s">
        <v>482</v>
      </c>
      <c r="U14" s="1" t="s">
        <v>482</v>
      </c>
      <c r="V14" s="1" t="s">
        <v>482</v>
      </c>
      <c r="AB14" s="1" t="b">
        <v>0</v>
      </c>
      <c r="AC14" s="1" t="b">
        <v>1</v>
      </c>
      <c r="AD14" s="1" t="s">
        <v>504</v>
      </c>
      <c r="AE14" s="1" t="s">
        <v>517</v>
      </c>
      <c r="AF14" s="1" t="s">
        <v>506</v>
      </c>
      <c r="AG14" s="1" t="s">
        <v>516</v>
      </c>
      <c r="BF14" s="1" t="b">
        <v>1</v>
      </c>
    </row>
    <row r="15" spans="1:67" s="3" customFormat="1" ht="68.099999999999994" customHeight="1">
      <c r="B15" s="3">
        <v>1145757</v>
      </c>
      <c r="C15" s="4">
        <v>42802</v>
      </c>
      <c r="D15" s="1">
        <f t="shared" si="0"/>
        <v>12</v>
      </c>
      <c r="E15" s="3" t="s">
        <v>438</v>
      </c>
      <c r="F15" s="1" t="b">
        <v>1</v>
      </c>
      <c r="G15" s="1"/>
      <c r="H15" s="1"/>
      <c r="I15" s="1"/>
      <c r="J15" s="1"/>
      <c r="K15" s="1"/>
      <c r="L15" s="1" t="s">
        <v>499</v>
      </c>
      <c r="M15" s="1"/>
      <c r="N15" s="1"/>
      <c r="O15" s="1"/>
      <c r="P15" s="1"/>
      <c r="Q15" s="1"/>
      <c r="R15" s="1"/>
      <c r="S15" s="1" t="s">
        <v>482</v>
      </c>
      <c r="T15" s="1" t="s">
        <v>482</v>
      </c>
      <c r="U15" s="1" t="s">
        <v>482</v>
      </c>
      <c r="V15" s="1" t="s">
        <v>482</v>
      </c>
      <c r="W15" s="1"/>
      <c r="X15" s="1"/>
      <c r="Y15" s="1"/>
      <c r="Z15" s="1"/>
      <c r="AA15" s="1"/>
      <c r="AB15" s="1" t="b">
        <v>1</v>
      </c>
      <c r="AC15" s="1" t="b">
        <v>1</v>
      </c>
      <c r="AD15" s="1" t="s">
        <v>506</v>
      </c>
      <c r="AE15" s="1" t="s">
        <v>517</v>
      </c>
      <c r="AF15" s="1" t="s">
        <v>506</v>
      </c>
      <c r="AG15" s="1" t="s">
        <v>516</v>
      </c>
      <c r="AH15" s="3" t="s">
        <v>531</v>
      </c>
      <c r="AI15" s="3" t="s">
        <v>540</v>
      </c>
      <c r="AJ15" s="3" t="s">
        <v>565</v>
      </c>
      <c r="AK15" s="1" t="s">
        <v>540</v>
      </c>
      <c r="AL15" s="1" t="s">
        <v>565</v>
      </c>
      <c r="AM15" s="1"/>
      <c r="AN15" s="1"/>
      <c r="AO15" s="1"/>
      <c r="AP15" s="1"/>
      <c r="AQ15" s="1"/>
      <c r="AR15" s="1"/>
      <c r="AS15" s="1"/>
      <c r="AT15" s="1"/>
      <c r="AU15" s="1"/>
      <c r="AV15" s="1"/>
      <c r="AW15" s="1"/>
      <c r="AX15" s="1"/>
      <c r="AY15" s="1"/>
      <c r="AZ15" s="1"/>
      <c r="BA15" s="1"/>
      <c r="BB15" s="1"/>
      <c r="BC15" s="1"/>
      <c r="BD15" s="1"/>
      <c r="BE15" s="1"/>
      <c r="BF15" s="1" t="b">
        <v>1</v>
      </c>
      <c r="BG15" s="1"/>
      <c r="BH15" s="1"/>
      <c r="BI15" s="1"/>
      <c r="BJ15" s="1"/>
      <c r="BK15" s="1"/>
      <c r="BL15" s="1"/>
      <c r="BM15" s="1"/>
      <c r="BN15" s="1"/>
      <c r="BO15" s="1"/>
    </row>
    <row r="16" spans="1:67" ht="84.95" customHeight="1">
      <c r="B16" s="1">
        <v>1145757</v>
      </c>
      <c r="C16" s="2">
        <v>42872</v>
      </c>
      <c r="D16" s="1">
        <f t="shared" si="0"/>
        <v>14</v>
      </c>
      <c r="E16" s="3" t="s">
        <v>439</v>
      </c>
      <c r="F16" s="1" t="b">
        <v>1</v>
      </c>
      <c r="L16" s="1" t="s">
        <v>499</v>
      </c>
      <c r="S16" s="1" t="s">
        <v>482</v>
      </c>
      <c r="T16" s="1" t="s">
        <v>482</v>
      </c>
      <c r="U16" s="1" t="s">
        <v>482</v>
      </c>
      <c r="V16" s="1" t="s">
        <v>482</v>
      </c>
      <c r="AB16" s="1" t="b">
        <v>1</v>
      </c>
      <c r="AC16" s="1" t="b">
        <v>1</v>
      </c>
      <c r="AD16" s="1" t="s">
        <v>504</v>
      </c>
      <c r="AE16" s="1" t="s">
        <v>517</v>
      </c>
      <c r="AF16" s="1" t="s">
        <v>504</v>
      </c>
      <c r="AG16" s="1" t="s">
        <v>516</v>
      </c>
      <c r="AH16" s="1" t="s">
        <v>537</v>
      </c>
      <c r="BF16" s="1" t="b">
        <v>1</v>
      </c>
    </row>
    <row r="17" spans="2:67" ht="68.099999999999994" customHeight="1">
      <c r="B17" s="1">
        <v>1145757</v>
      </c>
      <c r="C17" s="2">
        <v>42900</v>
      </c>
      <c r="D17" s="1">
        <f t="shared" si="0"/>
        <v>15</v>
      </c>
      <c r="E17" s="1" t="s">
        <v>440</v>
      </c>
      <c r="F17" s="1" t="b">
        <v>1</v>
      </c>
      <c r="L17" s="1" t="s">
        <v>499</v>
      </c>
      <c r="S17" s="1" t="s">
        <v>482</v>
      </c>
      <c r="T17" s="1" t="s">
        <v>482</v>
      </c>
      <c r="U17" s="1" t="s">
        <v>482</v>
      </c>
      <c r="V17" s="1" t="s">
        <v>482</v>
      </c>
      <c r="AB17" s="1" t="b">
        <v>0</v>
      </c>
      <c r="AC17" s="1" t="b">
        <v>0</v>
      </c>
      <c r="AD17" s="1" t="s">
        <v>504</v>
      </c>
      <c r="AE17" s="1" t="s">
        <v>517</v>
      </c>
      <c r="AF17" s="1" t="s">
        <v>504</v>
      </c>
      <c r="AG17" s="1" t="s">
        <v>516</v>
      </c>
      <c r="AH17" s="1" t="s">
        <v>537</v>
      </c>
      <c r="BF17" s="1" t="b">
        <v>1</v>
      </c>
    </row>
    <row r="18" spans="2:67" ht="68.099999999999994" customHeight="1">
      <c r="B18" s="1">
        <v>1145757</v>
      </c>
      <c r="C18" s="2">
        <v>42935</v>
      </c>
      <c r="D18" s="1">
        <f t="shared" si="0"/>
        <v>16</v>
      </c>
      <c r="E18" s="1" t="s">
        <v>441</v>
      </c>
      <c r="F18" s="1" t="b">
        <v>1</v>
      </c>
      <c r="L18" s="1" t="s">
        <v>499</v>
      </c>
      <c r="S18" s="1" t="s">
        <v>482</v>
      </c>
      <c r="T18" s="1" t="s">
        <v>482</v>
      </c>
      <c r="U18" s="1" t="s">
        <v>482</v>
      </c>
      <c r="V18" s="1" t="s">
        <v>482</v>
      </c>
      <c r="AB18" s="1" t="b">
        <v>1</v>
      </c>
      <c r="AC18" s="1" t="b">
        <v>1</v>
      </c>
      <c r="AD18" s="1" t="s">
        <v>506</v>
      </c>
      <c r="AE18" s="1" t="s">
        <v>517</v>
      </c>
      <c r="AF18" s="1" t="s">
        <v>504</v>
      </c>
      <c r="AG18" s="1" t="s">
        <v>517</v>
      </c>
      <c r="AH18" s="1" t="s">
        <v>537</v>
      </c>
      <c r="AI18" s="3"/>
      <c r="AJ18" s="3"/>
    </row>
    <row r="19" spans="2:67" ht="84.95" customHeight="1">
      <c r="B19" s="1">
        <v>1145757</v>
      </c>
      <c r="C19" s="2">
        <v>42956</v>
      </c>
      <c r="D19" s="1">
        <f t="shared" si="0"/>
        <v>17</v>
      </c>
      <c r="E19" s="3" t="s">
        <v>442</v>
      </c>
      <c r="F19" s="1" t="b">
        <v>1</v>
      </c>
      <c r="L19" s="1" t="s">
        <v>499</v>
      </c>
      <c r="S19" s="1" t="s">
        <v>482</v>
      </c>
      <c r="T19" s="1" t="s">
        <v>482</v>
      </c>
      <c r="U19" s="1" t="s">
        <v>482</v>
      </c>
      <c r="V19" s="1" t="s">
        <v>482</v>
      </c>
      <c r="AB19" s="1" t="b">
        <v>0</v>
      </c>
      <c r="AC19" s="1" t="b">
        <v>1</v>
      </c>
      <c r="AD19" s="1" t="s">
        <v>506</v>
      </c>
      <c r="AE19" s="1" t="s">
        <v>517</v>
      </c>
      <c r="AF19" s="1" t="s">
        <v>506</v>
      </c>
      <c r="AG19" s="1" t="s">
        <v>517</v>
      </c>
      <c r="AH19" s="1" t="s">
        <v>537</v>
      </c>
      <c r="AM19" s="1" t="s">
        <v>569</v>
      </c>
      <c r="BA19" s="1" t="s">
        <v>259</v>
      </c>
    </row>
    <row r="20" spans="2:67" ht="84.95" customHeight="1">
      <c r="B20" s="1">
        <v>1145757</v>
      </c>
      <c r="C20" s="2">
        <v>42978</v>
      </c>
      <c r="D20" s="1">
        <f t="shared" si="0"/>
        <v>18</v>
      </c>
      <c r="E20" s="1" t="s">
        <v>443</v>
      </c>
      <c r="F20" s="1" t="b">
        <v>1</v>
      </c>
      <c r="L20" s="1" t="s">
        <v>499</v>
      </c>
      <c r="S20" s="1" t="s">
        <v>482</v>
      </c>
      <c r="T20" s="1" t="s">
        <v>482</v>
      </c>
      <c r="U20" s="1" t="s">
        <v>482</v>
      </c>
      <c r="V20" s="1" t="s">
        <v>482</v>
      </c>
      <c r="AB20" s="1" t="b">
        <v>0</v>
      </c>
      <c r="AC20" s="1" t="b">
        <v>0</v>
      </c>
      <c r="AD20" s="1" t="s">
        <v>506</v>
      </c>
      <c r="AE20" s="1" t="s">
        <v>517</v>
      </c>
      <c r="AF20" s="1" t="s">
        <v>506</v>
      </c>
      <c r="AG20" s="1" t="s">
        <v>517</v>
      </c>
      <c r="AH20" s="1" t="s">
        <v>537</v>
      </c>
      <c r="AM20" s="1" t="s">
        <v>569</v>
      </c>
      <c r="BA20" s="1" t="s">
        <v>259</v>
      </c>
    </row>
    <row r="21" spans="2:67" ht="135.94999999999999" customHeight="1">
      <c r="B21" s="1">
        <v>1145757</v>
      </c>
      <c r="C21" s="2">
        <v>43061</v>
      </c>
      <c r="D21" s="1">
        <f t="shared" si="0"/>
        <v>20</v>
      </c>
      <c r="E21" s="1" t="s">
        <v>444</v>
      </c>
      <c r="F21" s="1" t="b">
        <v>1</v>
      </c>
      <c r="O21" s="1" t="b">
        <v>1</v>
      </c>
      <c r="S21" s="1" t="s">
        <v>482</v>
      </c>
      <c r="T21" s="1" t="s">
        <v>482</v>
      </c>
      <c r="U21" s="1" t="s">
        <v>482</v>
      </c>
      <c r="V21" s="1" t="s">
        <v>482</v>
      </c>
      <c r="W21" s="1">
        <v>2</v>
      </c>
      <c r="X21" s="1">
        <v>2</v>
      </c>
      <c r="AB21" s="1" t="b">
        <v>0</v>
      </c>
      <c r="AC21" s="1" t="b">
        <v>0</v>
      </c>
      <c r="AD21" s="1" t="s">
        <v>506</v>
      </c>
      <c r="AE21" s="1" t="s">
        <v>517</v>
      </c>
      <c r="AF21" s="1" t="s">
        <v>506</v>
      </c>
      <c r="AG21" s="1" t="s">
        <v>517</v>
      </c>
      <c r="BA21" s="1" t="s">
        <v>583</v>
      </c>
    </row>
    <row r="22" spans="2:67" ht="153" customHeight="1">
      <c r="B22" s="1">
        <v>1145757</v>
      </c>
      <c r="C22" s="2">
        <v>43117</v>
      </c>
      <c r="D22" s="1">
        <f t="shared" si="0"/>
        <v>22</v>
      </c>
      <c r="E22" s="1" t="s">
        <v>445</v>
      </c>
      <c r="F22" s="1" t="b">
        <v>1</v>
      </c>
      <c r="S22" s="1" t="s">
        <v>483</v>
      </c>
      <c r="T22" s="1" t="s">
        <v>483</v>
      </c>
      <c r="U22" s="1" t="s">
        <v>483</v>
      </c>
      <c r="V22" s="1" t="s">
        <v>483</v>
      </c>
      <c r="W22" s="1">
        <v>2</v>
      </c>
      <c r="X22" s="1">
        <v>2</v>
      </c>
      <c r="AB22" s="1" t="b">
        <v>1</v>
      </c>
      <c r="AC22" s="1" t="b">
        <v>1</v>
      </c>
      <c r="AD22" s="1" t="s">
        <v>504</v>
      </c>
      <c r="AE22" s="1" t="s">
        <v>514</v>
      </c>
      <c r="AF22" s="1" t="s">
        <v>507</v>
      </c>
      <c r="AG22" s="1" t="s">
        <v>518</v>
      </c>
      <c r="AI22" s="1" t="s">
        <v>540</v>
      </c>
      <c r="AJ22" s="1" t="s">
        <v>562</v>
      </c>
      <c r="AK22" s="1" t="s">
        <v>540</v>
      </c>
      <c r="AL22" s="1" t="s">
        <v>562</v>
      </c>
      <c r="BA22" s="1" t="s">
        <v>583</v>
      </c>
      <c r="BF22" s="1" t="b">
        <v>1</v>
      </c>
    </row>
    <row r="23" spans="2:67" ht="153" customHeight="1">
      <c r="B23" s="1">
        <v>1145757</v>
      </c>
      <c r="C23" s="2">
        <v>43152</v>
      </c>
      <c r="D23" s="1">
        <f t="shared" si="0"/>
        <v>23</v>
      </c>
      <c r="E23" s="1" t="s">
        <v>446</v>
      </c>
      <c r="F23" s="1" t="b">
        <v>1</v>
      </c>
      <c r="O23" s="1" t="b">
        <v>1</v>
      </c>
      <c r="S23" s="1" t="s">
        <v>483</v>
      </c>
      <c r="T23" s="1" t="s">
        <v>483</v>
      </c>
      <c r="U23" s="1" t="s">
        <v>483</v>
      </c>
      <c r="V23" s="1" t="s">
        <v>483</v>
      </c>
      <c r="W23" s="1">
        <v>2</v>
      </c>
      <c r="X23" s="1">
        <v>2</v>
      </c>
      <c r="AB23" s="1" t="b">
        <v>0</v>
      </c>
      <c r="AC23" s="1" t="b">
        <v>1</v>
      </c>
      <c r="AD23" s="1" t="s">
        <v>504</v>
      </c>
      <c r="AE23" s="1" t="s">
        <v>514</v>
      </c>
      <c r="AF23" s="1" t="s">
        <v>504</v>
      </c>
      <c r="AG23" s="1" t="s">
        <v>518</v>
      </c>
      <c r="AI23" s="1" t="s">
        <v>540</v>
      </c>
      <c r="AJ23" s="1" t="s">
        <v>562</v>
      </c>
      <c r="AK23" s="1" t="s">
        <v>540</v>
      </c>
      <c r="AL23" s="1" t="s">
        <v>562</v>
      </c>
      <c r="BA23" s="1" t="s">
        <v>583</v>
      </c>
      <c r="BF23" s="1" t="b">
        <v>1</v>
      </c>
    </row>
    <row r="24" spans="2:67" ht="33.950000000000003" customHeight="1">
      <c r="B24" s="1">
        <v>1145757</v>
      </c>
      <c r="C24" s="2">
        <v>43192</v>
      </c>
      <c r="D24" s="1">
        <f t="shared" si="0"/>
        <v>25</v>
      </c>
      <c r="E24" s="1" t="s">
        <v>447</v>
      </c>
      <c r="F24" s="1" t="b">
        <v>1</v>
      </c>
    </row>
    <row r="25" spans="2:67" ht="153" customHeight="1">
      <c r="B25" s="1">
        <v>1145757</v>
      </c>
      <c r="C25" s="2">
        <v>43210</v>
      </c>
      <c r="D25" s="1">
        <f t="shared" si="0"/>
        <v>25</v>
      </c>
      <c r="E25" s="1" t="s">
        <v>448</v>
      </c>
      <c r="F25" s="1" t="b">
        <v>1</v>
      </c>
      <c r="G25" s="1" t="b">
        <v>1</v>
      </c>
      <c r="S25" s="1" t="s">
        <v>483</v>
      </c>
      <c r="T25" s="1" t="s">
        <v>483</v>
      </c>
      <c r="U25" s="1" t="s">
        <v>483</v>
      </c>
      <c r="V25" s="1" t="s">
        <v>483</v>
      </c>
      <c r="W25" s="1">
        <v>2</v>
      </c>
      <c r="X25" s="1">
        <v>2</v>
      </c>
      <c r="AB25" s="1" t="b">
        <v>1</v>
      </c>
      <c r="AC25" s="1" t="b">
        <v>1</v>
      </c>
      <c r="AD25" s="1" t="s">
        <v>504</v>
      </c>
      <c r="AE25" s="1" t="s">
        <v>517</v>
      </c>
      <c r="AF25" s="1" t="s">
        <v>504</v>
      </c>
      <c r="AG25" s="1" t="s">
        <v>517</v>
      </c>
      <c r="AI25" s="1" t="s">
        <v>540</v>
      </c>
      <c r="AJ25" s="1" t="s">
        <v>562</v>
      </c>
      <c r="AK25" s="1" t="s">
        <v>540</v>
      </c>
      <c r="AL25" s="1" t="s">
        <v>562</v>
      </c>
      <c r="BA25" s="1" t="s">
        <v>256</v>
      </c>
      <c r="BB25" s="1" t="s">
        <v>583</v>
      </c>
      <c r="BF25" s="1" t="b">
        <v>1</v>
      </c>
    </row>
    <row r="26" spans="2:67" ht="119.1" customHeight="1">
      <c r="B26" s="1">
        <v>1145757</v>
      </c>
      <c r="C26" s="2">
        <v>43243</v>
      </c>
      <c r="D26" s="1">
        <f t="shared" si="0"/>
        <v>26</v>
      </c>
      <c r="E26" s="1" t="s">
        <v>449</v>
      </c>
      <c r="F26" s="1" t="b">
        <v>1</v>
      </c>
      <c r="S26" s="1" t="s">
        <v>483</v>
      </c>
      <c r="T26" s="1" t="s">
        <v>483</v>
      </c>
      <c r="U26" s="1" t="s">
        <v>483</v>
      </c>
      <c r="V26" s="1" t="s">
        <v>483</v>
      </c>
      <c r="W26" s="1">
        <v>2</v>
      </c>
      <c r="X26" s="1">
        <v>2</v>
      </c>
      <c r="AB26" s="1" t="b">
        <v>1</v>
      </c>
      <c r="AC26" s="1" t="b">
        <v>1</v>
      </c>
      <c r="AD26" s="1" t="s">
        <v>506</v>
      </c>
      <c r="AE26" s="1" t="s">
        <v>528</v>
      </c>
      <c r="AF26" s="1" t="s">
        <v>506</v>
      </c>
      <c r="AG26" s="1" t="s">
        <v>528</v>
      </c>
      <c r="AI26" s="1" t="s">
        <v>540</v>
      </c>
      <c r="AJ26" s="1" t="s">
        <v>562</v>
      </c>
      <c r="AK26" s="1" t="s">
        <v>540</v>
      </c>
      <c r="AL26" s="1" t="s">
        <v>562</v>
      </c>
      <c r="BA26" s="1" t="s">
        <v>256</v>
      </c>
      <c r="BB26" s="1" t="s">
        <v>256</v>
      </c>
    </row>
    <row r="27" spans="2:67" ht="119.1" customHeight="1">
      <c r="B27" s="1">
        <v>1145757</v>
      </c>
      <c r="C27" s="2">
        <v>43264</v>
      </c>
      <c r="D27" s="1">
        <f t="shared" si="0"/>
        <v>27</v>
      </c>
      <c r="E27" s="1" t="s">
        <v>450</v>
      </c>
      <c r="F27" s="1" t="b">
        <v>1</v>
      </c>
      <c r="S27" s="1" t="s">
        <v>483</v>
      </c>
      <c r="T27" s="1" t="s">
        <v>483</v>
      </c>
      <c r="U27" s="1" t="s">
        <v>483</v>
      </c>
      <c r="V27" s="1" t="s">
        <v>483</v>
      </c>
      <c r="W27" s="1">
        <v>2</v>
      </c>
      <c r="X27" s="1">
        <v>2</v>
      </c>
      <c r="AB27" s="1" t="b">
        <v>0</v>
      </c>
      <c r="AC27" s="1" t="b">
        <v>0</v>
      </c>
      <c r="AD27" s="1" t="s">
        <v>506</v>
      </c>
      <c r="AE27" s="1" t="s">
        <v>528</v>
      </c>
      <c r="AF27" s="1" t="s">
        <v>506</v>
      </c>
      <c r="AG27" s="1" t="s">
        <v>528</v>
      </c>
      <c r="AI27" s="1" t="s">
        <v>540</v>
      </c>
      <c r="AJ27" s="1" t="s">
        <v>562</v>
      </c>
      <c r="AK27" s="1" t="s">
        <v>540</v>
      </c>
      <c r="AL27" s="1" t="s">
        <v>562</v>
      </c>
      <c r="BA27" s="1" t="s">
        <v>256</v>
      </c>
      <c r="BB27" s="1" t="s">
        <v>584</v>
      </c>
    </row>
    <row r="28" spans="2:67" ht="255" customHeight="1">
      <c r="B28" s="1">
        <v>1145757</v>
      </c>
      <c r="C28" s="2">
        <v>43306</v>
      </c>
      <c r="D28" s="1">
        <f t="shared" si="0"/>
        <v>29</v>
      </c>
      <c r="E28" s="1" t="s">
        <v>451</v>
      </c>
      <c r="F28" s="1" t="b">
        <v>1</v>
      </c>
      <c r="G28" s="1" t="b">
        <v>1</v>
      </c>
      <c r="BA28" s="1" t="s">
        <v>583</v>
      </c>
      <c r="BB28" s="1" t="s">
        <v>584</v>
      </c>
      <c r="BL28" s="1" t="b">
        <v>1</v>
      </c>
      <c r="BM28" s="1" t="b">
        <v>1</v>
      </c>
    </row>
    <row r="29" spans="2:67" ht="140.25" customHeight="1">
      <c r="B29" s="1">
        <v>1145757</v>
      </c>
      <c r="C29" s="2">
        <v>43313</v>
      </c>
      <c r="D29" s="1">
        <f t="shared" si="0"/>
        <v>29</v>
      </c>
      <c r="E29" s="1" t="s">
        <v>452</v>
      </c>
      <c r="F29" s="1" t="b">
        <v>1</v>
      </c>
      <c r="BA29" s="1" t="s">
        <v>259</v>
      </c>
      <c r="BG29" s="1" t="s">
        <v>457</v>
      </c>
    </row>
    <row r="30" spans="2:67" ht="100.5" customHeight="1">
      <c r="B30" s="1">
        <v>1145757</v>
      </c>
      <c r="C30" s="2">
        <v>43327</v>
      </c>
      <c r="D30" s="1">
        <f t="shared" si="0"/>
        <v>29</v>
      </c>
      <c r="E30" s="1" t="s">
        <v>453</v>
      </c>
      <c r="F30" s="1" t="b">
        <v>1</v>
      </c>
    </row>
    <row r="31" spans="2:67" ht="63.75" customHeight="1">
      <c r="B31" s="1">
        <v>1145757</v>
      </c>
      <c r="C31" s="2">
        <v>43328</v>
      </c>
      <c r="D31" s="1">
        <f t="shared" si="0"/>
        <v>29</v>
      </c>
      <c r="E31" s="1" t="s">
        <v>454</v>
      </c>
      <c r="F31" s="1" t="b">
        <v>1</v>
      </c>
    </row>
    <row r="32" spans="2:67" ht="153" customHeight="1">
      <c r="B32" s="1">
        <v>1145757</v>
      </c>
      <c r="C32" s="2">
        <v>43361</v>
      </c>
      <c r="D32" s="1">
        <f t="shared" si="0"/>
        <v>30</v>
      </c>
      <c r="E32" s="3" t="s">
        <v>455</v>
      </c>
      <c r="F32" s="1" t="b">
        <v>1</v>
      </c>
      <c r="BA32" s="1" t="s">
        <v>259</v>
      </c>
      <c r="BB32" s="1" t="s">
        <v>256</v>
      </c>
      <c r="BN32" s="1" t="b">
        <v>1</v>
      </c>
      <c r="BO32" s="1" t="b">
        <v>0</v>
      </c>
    </row>
    <row r="33" spans="2:67" ht="51" customHeight="1">
      <c r="B33" s="1">
        <v>1145757</v>
      </c>
      <c r="C33" s="2">
        <v>43451</v>
      </c>
      <c r="D33" s="1">
        <f t="shared" si="0"/>
        <v>33</v>
      </c>
      <c r="E33" s="1" t="s">
        <v>456</v>
      </c>
      <c r="F33" s="1" t="b">
        <v>1</v>
      </c>
      <c r="BB33" s="1" t="s">
        <v>259</v>
      </c>
      <c r="BN33" s="1" t="b">
        <v>1</v>
      </c>
      <c r="BO33" s="1" t="b">
        <v>0</v>
      </c>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68">
        <x14:dataValidation type="list" allowBlank="1" showInputMessage="1" showErrorMessage="1" xr:uid="{00000000-0002-0000-0900-000000000000}">
          <x14:formula1>
            <xm:f>list!$B$84:$D$84</xm:f>
          </x14:formula1>
          <xm:sqref>BJ33:BK83 BJ2:BJ32</xm:sqref>
        </x14:dataValidation>
        <x14:dataValidation type="list" allowBlank="1" showInputMessage="1" showErrorMessage="1" xr:uid="{00000000-0002-0000-0900-000001000000}">
          <x14:formula1>
            <xm:f>list!$B$27:$C$27</xm:f>
          </x14:formula1>
          <xm:sqref>Y33:AA1048576 Z2:Z32</xm:sqref>
        </x14:dataValidation>
        <x14:dataValidation type="list" allowBlank="1" showInputMessage="1" showErrorMessage="1" xr:uid="{00000000-0002-0000-0900-000002000000}">
          <x14:formula1>
            <xm:f>list!$B$21:$M$21</xm:f>
          </x14:formula1>
          <xm:sqref>S33:V1048576 S2:S21 S23:S24 S28:S32</xm:sqref>
        </x14:dataValidation>
        <x14:dataValidation type="list" allowBlank="1" showInputMessage="1" showErrorMessage="1" xr:uid="{00000000-0002-0000-0900-000003000000}">
          <x14:formula1>
            <xm:f>list!$B$34:$C$34</xm:f>
          </x14:formula1>
          <xm:sqref>AB33:AC1048576 AB2:AB11 AB28:AB32</xm:sqref>
        </x14:dataValidation>
        <x14:dataValidation type="list" allowBlank="1" showInputMessage="1" showErrorMessage="1" xr:uid="{00000000-0002-0000-0900-000004000000}">
          <x14:formula1>
            <xm:f>list!$B$41:$F$41</xm:f>
          </x14:formula1>
          <xm:sqref>AK33:AK1048576 AI33:AI1048576</xm:sqref>
        </x14:dataValidation>
        <x14:dataValidation type="list" allowBlank="1" showInputMessage="1" showErrorMessage="1" xr:uid="{00000000-0002-0000-0900-000005000000}">
          <x14:formula1>
            <xm:f>list!$B$42:$Z$42</xm:f>
          </x14:formula1>
          <xm:sqref>AL33:AL1048576 AJ2:AJ11 AJ28:AJ1048576</xm:sqref>
        </x14:dataValidation>
        <x14:dataValidation type="list" allowBlank="1" showInputMessage="1" showErrorMessage="1" xr:uid="{00000000-0002-0000-0900-000006000000}">
          <x14:formula1>
            <xm:f>list!$B$50:$C$50</xm:f>
          </x14:formula1>
          <xm:sqref>AN33:AZ1048576 BC33:BD1048576 AN2:AN32</xm:sqref>
        </x14:dataValidation>
        <x14:dataValidation type="list" allowBlank="1" showInputMessage="1" showErrorMessage="1" xr:uid="{00000000-0002-0000-0900-000007000000}">
          <x14:formula1>
            <xm:f>list!$B$64:$E$64</xm:f>
          </x14:formula1>
          <xm:sqref>BA2:BA1048576</xm:sqref>
        </x14:dataValidation>
        <x14:dataValidation type="list" allowBlank="1" showInputMessage="1" showErrorMessage="1" xr:uid="{00000000-0002-0000-0900-000008000000}">
          <x14:formula1>
            <xm:f>list!$B$65:$F$65</xm:f>
          </x14:formula1>
          <xm:sqref>BB2:BB1048576</xm:sqref>
        </x14:dataValidation>
        <x14:dataValidation type="list" allowBlank="1" showInputMessage="1" showErrorMessage="1" xr:uid="{00000000-0002-0000-0900-000009000000}">
          <x14:formula1>
            <xm:f>list!$B$68:$G$68</xm:f>
          </x14:formula1>
          <xm:sqref>BE2:BE1048576</xm:sqref>
        </x14:dataValidation>
        <x14:dataValidation type="list" allowBlank="1" showInputMessage="1" showErrorMessage="1" xr:uid="{00000000-0002-0000-0900-00000A000000}">
          <x14:formula1>
            <xm:f>list!$B$69:$C$69</xm:f>
          </x14:formula1>
          <xm:sqref>BF2:BF1048576</xm:sqref>
        </x14:dataValidation>
        <x14:dataValidation type="list" allowBlank="1" showInputMessage="1" showErrorMessage="1" xr:uid="{00000000-0002-0000-0900-00000B000000}">
          <x14:formula1>
            <xm:f>list!$B$19:$D$19</xm:f>
          </x14:formula1>
          <xm:sqref>Q2:Q100</xm:sqref>
        </x14:dataValidation>
        <x14:dataValidation type="list" allowBlank="1" showInputMessage="1" showErrorMessage="1" xr:uid="{00000000-0002-0000-0900-00000C000000}">
          <x14:formula1>
            <xm:f>list!$B$2:$C$2</xm:f>
          </x14:formula1>
          <xm:sqref>G33:K1048576 M33:P1048576 G2:G32</xm:sqref>
        </x14:dataValidation>
        <x14:dataValidation type="list" allowBlank="1" showInputMessage="1" showErrorMessage="1" xr:uid="{00000000-0002-0000-0900-00000D000000}">
          <x14:formula1>
            <xm:f>list!$B$37:$XFD$37</xm:f>
          </x14:formula1>
          <xm:sqref>AG33:AG1048576 AE33:AE1048576</xm:sqref>
        </x14:dataValidation>
        <x14:dataValidation type="list" allowBlank="1" showInputMessage="1" showErrorMessage="1" xr:uid="{00000000-0002-0000-0900-00000E000000}">
          <x14:formula1>
            <xm:f>list!$B$33:$XFD$33</xm:f>
          </x14:formula1>
          <xm:sqref>L33:L101</xm:sqref>
        </x14:dataValidation>
        <x14:dataValidation type="list" allowBlank="1" showInputMessage="1" showErrorMessage="1" xr:uid="{00000000-0002-0000-0900-00000F000000}">
          <x14:formula1>
            <xm:f>list!$B$36:$XFD$36</xm:f>
          </x14:formula1>
          <xm:sqref>AD33:AD99 AF33:AF99</xm:sqref>
        </x14:dataValidation>
        <x14:dataValidation type="list" allowBlank="1" showInputMessage="1" showErrorMessage="1" xr:uid="{00000000-0002-0000-0900-000010000000}">
          <x14:formula1>
            <xm:f>list!$B$49:$XFD$49</xm:f>
          </x14:formula1>
          <xm:sqref>AM33:AM110</xm:sqref>
        </x14:dataValidation>
        <x14:dataValidation type="list" allowBlank="1" showInputMessage="1" showErrorMessage="1" xr:uid="{00000000-0002-0000-0900-000011000000}">
          <x14:formula1>
            <xm:f>list!$B$20:$I$20</xm:f>
          </x14:formula1>
          <xm:sqref>R2:R101</xm:sqref>
        </x14:dataValidation>
        <x14:dataValidation type="list" allowBlank="1" showInputMessage="1" showErrorMessage="1" xr:uid="{00000000-0002-0000-0900-000012000000}">
          <x14:formula1>
            <xm:f>list!$B$40:$I$40</xm:f>
          </x14:formula1>
          <xm:sqref>AH2:AH11 AH28:AH101</xm:sqref>
        </x14:dataValidation>
        <x14:dataValidation type="list" allowBlank="1" showInputMessage="1" showErrorMessage="1" xr:uid="{00000000-0002-0000-0900-000013000000}">
          <x14:formula1>
            <xm:f>list!$B$19:$C$19</xm:f>
          </x14:formula1>
          <xm:sqref>Q101:Q1048576</xm:sqref>
        </x14:dataValidation>
        <x14:dataValidation type="list" allowBlank="1" showInputMessage="1" showErrorMessage="1" xr:uid="{00000000-0002-0000-0900-000014000000}">
          <x14:formula1>
            <xm:f>list!$B$26:$E$26</xm:f>
          </x14:formula1>
          <xm:sqref>X52:X1048576 X3:X6 X8:X20 X24 X28:X32</xm:sqref>
        </x14:dataValidation>
        <x14:dataValidation type="list" allowBlank="1" showInputMessage="1" showErrorMessage="1" xr:uid="{00000000-0002-0000-0900-000015000000}">
          <x14:formula1>
            <xm:f>list!$B$36:$G$36</xm:f>
          </x14:formula1>
          <xm:sqref>AD100:AD1048576 AF100:AF1048576 AF4:AF11 AD2:AD11 AD28:AD32</xm:sqref>
        </x14:dataValidation>
        <x14:dataValidation type="list" allowBlank="1" showInputMessage="1" showErrorMessage="1" xr:uid="{00000000-0002-0000-0900-000016000000}">
          <x14:formula1>
            <xm:f>list!$B$49:$P$49</xm:f>
          </x14:formula1>
          <xm:sqref>AM111:AM1048576</xm:sqref>
        </x14:dataValidation>
        <x14:dataValidation type="list" allowBlank="1" showInputMessage="1" showErrorMessage="1" xr:uid="{00000000-0002-0000-0900-000017000000}">
          <x14:formula1>
            <xm:f>list!$B$70:$F$70</xm:f>
          </x14:formula1>
          <xm:sqref>BG98:BG1048576</xm:sqref>
        </x14:dataValidation>
        <x14:dataValidation type="list" allowBlank="1" showInputMessage="1" showErrorMessage="1" xr:uid="{00000000-0002-0000-0900-000018000000}">
          <x14:formula1>
            <xm:f>list!$B$72:$C$72</xm:f>
          </x14:formula1>
          <xm:sqref>BJ84:BK1048576 BH33:BI1048576 BL33:BO1048576 BG33:BG97 BH2:BH32</xm:sqref>
        </x14:dataValidation>
        <x14:dataValidation type="list" allowBlank="1" showInputMessage="1" showErrorMessage="1" xr:uid="{00000000-0002-0000-0900-000019000000}">
          <x14:formula1>
            <xm:f>list!$B$25:$E$25</xm:f>
          </x14:formula1>
          <xm:sqref>W52:W1048576 W2:W6 W8:W20 W24 W28:W32</xm:sqref>
        </x14:dataValidation>
        <x14:dataValidation type="list" allowBlank="1" showInputMessage="1" showErrorMessage="1" xr:uid="{D45F2977-2E36-4F36-A9CF-116019AFF1D3}">
          <x14:formula1>
            <xm:f>list!$B$82:$C$82</xm:f>
          </x14:formula1>
          <xm:sqref>BO2:BO32</xm:sqref>
        </x14:dataValidation>
        <x14:dataValidation type="list" allowBlank="1" showInputMessage="1" showErrorMessage="1" xr:uid="{D754DBB8-EEE7-4BD2-B351-4C7106FBE61F}">
          <x14:formula1>
            <xm:f>list!$B$80:$C$80</xm:f>
          </x14:formula1>
          <xm:sqref>BM2:BM32</xm:sqref>
        </x14:dataValidation>
        <x14:dataValidation type="list" allowBlank="1" showInputMessage="1" showErrorMessage="1" xr:uid="{E08274E7-71BA-4D3B-A8A4-80EFDEA7DDD1}">
          <x14:formula1>
            <xm:f>list!$B$79:$C$79</xm:f>
          </x14:formula1>
          <xm:sqref>BL2:BL32</xm:sqref>
        </x14:dataValidation>
        <x14:dataValidation type="list" allowBlank="1" showInputMessage="1" showErrorMessage="1" xr:uid="{FF111F6E-5D46-4952-89C0-2A3740AD5D7E}">
          <x14:formula1>
            <xm:f>list!$B$85:$D$85</xm:f>
          </x14:formula1>
          <xm:sqref>BK2:BK32</xm:sqref>
        </x14:dataValidation>
        <x14:dataValidation type="list" allowBlank="1" showInputMessage="1" showErrorMessage="1" xr:uid="{83D6A817-9A10-4B46-B407-F94D8A0125DA}">
          <x14:formula1>
            <xm:f>list!$B$73:$C$73</xm:f>
          </x14:formula1>
          <xm:sqref>BI2:BI32</xm:sqref>
        </x14:dataValidation>
        <x14:dataValidation type="list" allowBlank="1" showInputMessage="1" showErrorMessage="1" xr:uid="{2A3FA5A7-11D7-4CFC-96DF-EEF9CEA50A70}">
          <x14:formula1>
            <xm:f>list!$B$70:$G$70</xm:f>
          </x14:formula1>
          <xm:sqref>BG2:BG32</xm:sqref>
        </x14:dataValidation>
        <x14:dataValidation type="list" allowBlank="1" showInputMessage="1" showErrorMessage="1" xr:uid="{3CB3D741-4795-4603-89B7-25526C879179}">
          <x14:formula1>
            <xm:f>list!$B$67:$C$67</xm:f>
          </x14:formula1>
          <xm:sqref>BD2:BD32</xm:sqref>
        </x14:dataValidation>
        <x14:dataValidation type="list" allowBlank="1" showInputMessage="1" showErrorMessage="1" xr:uid="{E72AED05-A3CE-49E1-8B60-B4EB745426B2}">
          <x14:formula1>
            <xm:f>list!$B$66:$C$66</xm:f>
          </x14:formula1>
          <xm:sqref>BC2:BC32</xm:sqref>
        </x14:dataValidation>
        <x14:dataValidation type="list" allowBlank="1" showInputMessage="1" showErrorMessage="1" xr:uid="{314081A9-2D05-43F4-9909-484628581905}">
          <x14:formula1>
            <xm:f>list!$B$63:$C$63</xm:f>
          </x14:formula1>
          <xm:sqref>AZ2:AZ32</xm:sqref>
        </x14:dataValidation>
        <x14:dataValidation type="list" allowBlank="1" showInputMessage="1" showErrorMessage="1" xr:uid="{985FBCCE-EE99-4E06-8853-68BAA9F904C5}">
          <x14:formula1>
            <xm:f>list!$B$61:$C$61</xm:f>
          </x14:formula1>
          <xm:sqref>AY2:AY32</xm:sqref>
        </x14:dataValidation>
        <x14:dataValidation type="list" allowBlank="1" showInputMessage="1" showErrorMessage="1" xr:uid="{587C21D1-31E5-4337-B0BA-83F0EED50F3C}">
          <x14:formula1>
            <xm:f>list!$B$60:$C$60</xm:f>
          </x14:formula1>
          <xm:sqref>AX2:AX32</xm:sqref>
        </x14:dataValidation>
        <x14:dataValidation type="list" allowBlank="1" showInputMessage="1" showErrorMessage="1" xr:uid="{3C0F9C15-31DC-4964-BA72-EE0004C659B4}">
          <x14:formula1>
            <xm:f>list!$B$59:$C$59</xm:f>
          </x14:formula1>
          <xm:sqref>AW2:AW32</xm:sqref>
        </x14:dataValidation>
        <x14:dataValidation type="list" allowBlank="1" showInputMessage="1" showErrorMessage="1" xr:uid="{8825B4CA-72D3-4BCF-B511-EE2C69E05D0E}">
          <x14:formula1>
            <xm:f>list!$B$58:$C$58</xm:f>
          </x14:formula1>
          <xm:sqref>AV2:AV32</xm:sqref>
        </x14:dataValidation>
        <x14:dataValidation type="list" allowBlank="1" showInputMessage="1" showErrorMessage="1" xr:uid="{E9EE5C26-646A-42BB-9144-822E2428D159}">
          <x14:formula1>
            <xm:f>list!$B$57:$C$57</xm:f>
          </x14:formula1>
          <xm:sqref>AU2:AU32</xm:sqref>
        </x14:dataValidation>
        <x14:dataValidation type="list" allowBlank="1" showInputMessage="1" showErrorMessage="1" xr:uid="{D00B3FC9-324F-4705-80AB-FCA6E676FE9D}">
          <x14:formula1>
            <xm:f>list!$B$56:$C$56</xm:f>
          </x14:formula1>
          <xm:sqref>AT2:AT32</xm:sqref>
        </x14:dataValidation>
        <x14:dataValidation type="list" allowBlank="1" showInputMessage="1" showErrorMessage="1" xr:uid="{6DC265C5-2DE5-49AE-8C20-85F7D615BD20}">
          <x14:formula1>
            <xm:f>list!$B$55:$C$55</xm:f>
          </x14:formula1>
          <xm:sqref>AS2:AS32</xm:sqref>
        </x14:dataValidation>
        <x14:dataValidation type="list" allowBlank="1" showInputMessage="1" showErrorMessage="1" xr:uid="{2CD4D7F7-55CF-419E-A785-93F3938BD864}">
          <x14:formula1>
            <xm:f>list!$B$54:$C$54</xm:f>
          </x14:formula1>
          <xm:sqref>AR2:AR32</xm:sqref>
        </x14:dataValidation>
        <x14:dataValidation type="list" allowBlank="1" showInputMessage="1" showErrorMessage="1" xr:uid="{059F9D11-A6A0-4210-BF87-850182BBFCB8}">
          <x14:formula1>
            <xm:f>list!$B$53:$C$53</xm:f>
          </x14:formula1>
          <xm:sqref>AQ2:AQ32</xm:sqref>
        </x14:dataValidation>
        <x14:dataValidation type="list" allowBlank="1" showInputMessage="1" showErrorMessage="1" xr:uid="{1E9B95E5-A27B-45D4-956E-D2233E52BBEF}">
          <x14:formula1>
            <xm:f>list!$B$52:$C$52</xm:f>
          </x14:formula1>
          <xm:sqref>AP2:AP32</xm:sqref>
        </x14:dataValidation>
        <x14:dataValidation type="list" allowBlank="1" showInputMessage="1" showErrorMessage="1" xr:uid="{5F92A0E5-9767-4A72-9EAE-38C9F44DD274}">
          <x14:formula1>
            <xm:f>list!$B$51:$C$51</xm:f>
          </x14:formula1>
          <xm:sqref>AO2:AO32</xm:sqref>
        </x14:dataValidation>
        <x14:dataValidation type="list" allowBlank="1" showInputMessage="1" showErrorMessage="1" xr:uid="{DA6C283A-5D80-44C8-A9D9-0F40B685A5F7}">
          <x14:formula1>
            <xm:f>list!$B$49:$Q$49</xm:f>
          </x14:formula1>
          <xm:sqref>AM2:AM32</xm:sqref>
        </x14:dataValidation>
        <x14:dataValidation type="list" allowBlank="1" showInputMessage="1" showErrorMessage="1" xr:uid="{100C1F37-B4BD-4B9F-B6F7-02603E2162E6}">
          <x14:formula1>
            <xm:f>list!$B$44:$Z$44</xm:f>
          </x14:formula1>
          <xm:sqref>AL2:AL21 AL28:AL32</xm:sqref>
        </x14:dataValidation>
        <x14:dataValidation type="list" allowBlank="1" showInputMessage="1" showErrorMessage="1" xr:uid="{1B6A33B0-5E75-4F88-9B66-C418D5093819}">
          <x14:formula1>
            <xm:f>list!$B$43:$H$43</xm:f>
          </x14:formula1>
          <xm:sqref>AK2:AK21 AK28:AK32</xm:sqref>
        </x14:dataValidation>
        <x14:dataValidation type="list" allowBlank="1" showInputMessage="1" showErrorMessage="1" xr:uid="{8FF299AC-D6C9-4B55-B391-5DC347042375}">
          <x14:formula1>
            <xm:f>list!$B$41:$H$41</xm:f>
          </x14:formula1>
          <xm:sqref>AI2:AI11 AI28:AI32</xm:sqref>
        </x14:dataValidation>
        <x14:dataValidation type="list" allowBlank="1" showInputMessage="1" showErrorMessage="1" xr:uid="{BEBAC40C-5814-4804-BFBD-8D49ADD032F6}">
          <x14:formula1>
            <xm:f>list!$B$39:$U$39</xm:f>
          </x14:formula1>
          <xm:sqref>AG2:AG3 AG6:AG11 AG28:AG32</xm:sqref>
        </x14:dataValidation>
        <x14:dataValidation type="list" allowBlank="1" showInputMessage="1" showErrorMessage="1" xr:uid="{EB7A0F1A-9745-4124-AB6E-3EBB9A3E58D8}">
          <x14:formula1>
            <xm:f>list!$B$38:$G$38</xm:f>
          </x14:formula1>
          <xm:sqref>AF2:AF3 AF28:AF32</xm:sqref>
        </x14:dataValidation>
        <x14:dataValidation type="list" allowBlank="1" showInputMessage="1" showErrorMessage="1" xr:uid="{B848D5FA-B90E-469A-99F9-F120677EC047}">
          <x14:formula1>
            <xm:f>list!$B$37:$U$37</xm:f>
          </x14:formula1>
          <xm:sqref>AG4:AG5 AE2:AE11 AE28:AE32</xm:sqref>
        </x14:dataValidation>
        <x14:dataValidation type="list" allowBlank="1" showInputMessage="1" showErrorMessage="1" xr:uid="{F459A523-4D0A-4A9F-8231-A54736E5937A}">
          <x14:formula1>
            <xm:f>list!$B$35:$C$35</xm:f>
          </x14:formula1>
          <xm:sqref>AC2:AC11 AC28:AC32</xm:sqref>
        </x14:dataValidation>
        <x14:dataValidation type="list" allowBlank="1" showInputMessage="1" showErrorMessage="1" xr:uid="{F4C3BB76-E300-4975-A3D5-C7DFAFF5686F}">
          <x14:formula1>
            <xm:f>list!$B$32:$C$32</xm:f>
          </x14:formula1>
          <xm:sqref>AA2:AA32</xm:sqref>
        </x14:dataValidation>
        <x14:dataValidation type="list" allowBlank="1" showInputMessage="1" showErrorMessage="1" xr:uid="{4A3A42F9-2CFB-45CA-90DA-CF5708D70FB5}">
          <x14:formula1>
            <xm:f>list!$B$29:$C$29</xm:f>
          </x14:formula1>
          <xm:sqref>Y2:Y32</xm:sqref>
        </x14:dataValidation>
        <x14:dataValidation type="list" allowBlank="1" showInputMessage="1" showErrorMessage="1" xr:uid="{5EB6B719-C057-4A3C-814A-75B1F76D31F9}">
          <x14:formula1>
            <xm:f>list!$B$24:$M$24</xm:f>
          </x14:formula1>
          <xm:sqref>V2:V21 V23:V24 V28:V32</xm:sqref>
        </x14:dataValidation>
        <x14:dataValidation type="list" allowBlank="1" showInputMessage="1" showErrorMessage="1" xr:uid="{B3E1D9FD-7E24-47C1-9654-384DFAF79D1E}">
          <x14:formula1>
            <xm:f>list!$B$23:$M$23</xm:f>
          </x14:formula1>
          <xm:sqref>U2:U21 U23:U24 U28:U32</xm:sqref>
        </x14:dataValidation>
        <x14:dataValidation type="list" allowBlank="1" showInputMessage="1" showErrorMessage="1" xr:uid="{C5A281D7-C6E6-4584-9B09-7D2FB7C75442}">
          <x14:formula1>
            <xm:f>list!$B$22:$M$22</xm:f>
          </x14:formula1>
          <xm:sqref>T2:T21 T23:T24 T28:T32</xm:sqref>
        </x14:dataValidation>
        <x14:dataValidation type="list" allowBlank="1" showInputMessage="1" showErrorMessage="1" xr:uid="{33C14AA1-FFE4-4F92-BA0C-1561A6067AA5}">
          <x14:formula1>
            <xm:f>list!$B$15:$C$15</xm:f>
          </x14:formula1>
          <xm:sqref>P2:P32</xm:sqref>
        </x14:dataValidation>
        <x14:dataValidation type="list" allowBlank="1" showInputMessage="1" showErrorMessage="1" xr:uid="{6FFECF36-9294-4BB1-9D68-E6680092B536}">
          <x14:formula1>
            <xm:f>list!$B$13:$C$13</xm:f>
          </x14:formula1>
          <xm:sqref>O2:O32</xm:sqref>
        </x14:dataValidation>
        <x14:dataValidation type="list" allowBlank="1" showInputMessage="1" showErrorMessage="1" xr:uid="{52FC5FA9-29F0-4311-9C74-2B6DE6C5F0A2}">
          <x14:formula1>
            <xm:f>list!$B$12:$C$12</xm:f>
          </x14:formula1>
          <xm:sqref>N2:N32</xm:sqref>
        </x14:dataValidation>
        <x14:dataValidation type="list" allowBlank="1" showInputMessage="1" showErrorMessage="1" xr:uid="{08EEE02A-D684-49B3-8B32-F3CB9035DA64}">
          <x14:formula1>
            <xm:f>list!$B$10:$C$10</xm:f>
          </x14:formula1>
          <xm:sqref>M2:M32</xm:sqref>
        </x14:dataValidation>
        <x14:dataValidation type="list" allowBlank="1" showInputMessage="1" showErrorMessage="1" xr:uid="{F9758128-BC39-4FD3-B963-7EE9B672D5B8}">
          <x14:formula1>
            <xm:f>list!$B$33:$K$33</xm:f>
          </x14:formula1>
          <xm:sqref>L2:L32</xm:sqref>
        </x14:dataValidation>
        <x14:dataValidation type="list" allowBlank="1" showInputMessage="1" showErrorMessage="1" xr:uid="{EFDB6BE2-52B0-4DDD-9387-50ED9DAA2197}">
          <x14:formula1>
            <xm:f>list!$B$9:$C$9</xm:f>
          </x14:formula1>
          <xm:sqref>K2:K32</xm:sqref>
        </x14:dataValidation>
        <x14:dataValidation type="list" allowBlank="1" showInputMessage="1" showErrorMessage="1" xr:uid="{6203DF7D-5706-4E01-9631-FD62AB62DDD3}">
          <x14:formula1>
            <xm:f>list!$B$8:$C$8</xm:f>
          </x14:formula1>
          <xm:sqref>J2:J32</xm:sqref>
        </x14:dataValidation>
        <x14:dataValidation type="list" allowBlank="1" showInputMessage="1" showErrorMessage="1" xr:uid="{C4A1BC13-96FA-4007-BBC0-F2ECC3B60744}">
          <x14:formula1>
            <xm:f>list!$B$7:$C$7</xm:f>
          </x14:formula1>
          <xm:sqref>I2:I32</xm:sqref>
        </x14:dataValidation>
        <x14:dataValidation type="list" allowBlank="1" showInputMessage="1" showErrorMessage="1" xr:uid="{57511553-FB56-465C-9208-3FFBC79546A0}">
          <x14:formula1>
            <xm:f>list!$B$6:$C$6</xm:f>
          </x14:formula1>
          <xm:sqref>H2:H32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85"/>
  <sheetViews>
    <sheetView topLeftCell="B32" zoomScale="65" workbookViewId="0">
      <selection activeCell="H37" sqref="H37"/>
    </sheetView>
  </sheetViews>
  <sheetFormatPr defaultColWidth="8.875" defaultRowHeight="15.75"/>
  <cols>
    <col min="1" max="1" width="51" customWidth="1"/>
    <col min="2" max="2" width="48.125" customWidth="1"/>
    <col min="3" max="3" width="44.375" customWidth="1"/>
    <col min="4" max="4" width="40.875" customWidth="1"/>
    <col min="5" max="5" width="42" customWidth="1"/>
    <col min="6" max="6" width="34.5" customWidth="1"/>
    <col min="7" max="7" width="30.875" customWidth="1"/>
    <col min="8" max="8" width="41.5" customWidth="1"/>
    <col min="9" max="9" width="33.875" customWidth="1"/>
    <col min="12" max="12" width="40.625" customWidth="1"/>
    <col min="13" max="13" width="36.125" customWidth="1"/>
    <col min="14" max="14" width="36.5" customWidth="1"/>
    <col min="15" max="15" width="29.5" customWidth="1"/>
    <col min="16" max="16" width="55.5" customWidth="1"/>
    <col min="17" max="17" width="15.125" customWidth="1"/>
    <col min="18" max="18" width="12.125" customWidth="1"/>
    <col min="20" max="20" width="12.625" customWidth="1"/>
    <col min="21" max="21" width="17.375" customWidth="1"/>
  </cols>
  <sheetData>
    <row r="1" spans="1:34" ht="24.95" customHeight="1">
      <c r="A1" s="20" t="s">
        <v>458</v>
      </c>
      <c r="B1" s="21"/>
      <c r="C1" s="21"/>
      <c r="D1" s="21"/>
      <c r="E1" s="21"/>
      <c r="F1" s="21"/>
      <c r="G1" s="21"/>
      <c r="H1" s="21"/>
      <c r="I1" s="21"/>
      <c r="J1" s="21"/>
      <c r="K1" s="21"/>
      <c r="L1" s="21"/>
      <c r="M1" s="21"/>
      <c r="N1" s="21"/>
      <c r="O1" s="21"/>
      <c r="P1" s="21"/>
      <c r="Q1" s="22"/>
      <c r="R1" s="22"/>
      <c r="S1" s="22"/>
      <c r="T1" s="22"/>
      <c r="U1" s="22"/>
      <c r="V1" s="22"/>
      <c r="W1" s="22"/>
      <c r="X1" s="22"/>
      <c r="Y1" s="22"/>
      <c r="Z1" s="22"/>
      <c r="AA1" s="22"/>
      <c r="AB1" s="22"/>
      <c r="AC1" s="22"/>
      <c r="AD1" s="22"/>
      <c r="AE1" s="22"/>
      <c r="AF1" s="22"/>
      <c r="AG1" s="22"/>
      <c r="AH1" s="22"/>
    </row>
    <row r="2" spans="1:34" ht="24.95" customHeight="1">
      <c r="A2" s="20" t="s">
        <v>329</v>
      </c>
      <c r="B2" s="21" t="b">
        <v>1</v>
      </c>
      <c r="C2" s="21" t="b">
        <v>0</v>
      </c>
      <c r="D2" s="21"/>
      <c r="E2" s="21"/>
      <c r="F2" s="21"/>
      <c r="G2" s="21"/>
      <c r="H2" s="21"/>
      <c r="I2" s="21"/>
      <c r="J2" s="21"/>
      <c r="K2" s="21"/>
      <c r="L2" s="21"/>
      <c r="M2" s="21"/>
      <c r="N2" s="21"/>
      <c r="O2" s="21"/>
      <c r="P2" s="21"/>
      <c r="Q2" s="22"/>
      <c r="R2" s="22"/>
      <c r="S2" s="22"/>
      <c r="T2" s="22"/>
      <c r="U2" s="22"/>
      <c r="V2" s="22"/>
      <c r="W2" s="22"/>
      <c r="X2" s="22"/>
      <c r="Y2" s="22"/>
      <c r="Z2" s="22"/>
      <c r="AA2" s="22"/>
      <c r="AB2" s="22"/>
      <c r="AC2" s="22"/>
      <c r="AD2" s="22"/>
      <c r="AE2" s="22"/>
      <c r="AF2" s="22"/>
      <c r="AG2" s="22"/>
      <c r="AH2" s="22"/>
    </row>
    <row r="3" spans="1:34" ht="24.95" customHeight="1">
      <c r="A3" s="20" t="s">
        <v>330</v>
      </c>
      <c r="B3" s="21" t="b">
        <v>1</v>
      </c>
      <c r="C3" s="21" t="b">
        <v>0</v>
      </c>
      <c r="D3" s="21"/>
      <c r="E3" s="21"/>
      <c r="F3" s="21"/>
      <c r="G3" s="21"/>
      <c r="H3" s="21"/>
      <c r="I3" s="21"/>
      <c r="J3" s="21"/>
      <c r="K3" s="21"/>
      <c r="L3" s="21"/>
      <c r="M3" s="21"/>
      <c r="N3" s="21"/>
      <c r="O3" s="21"/>
      <c r="P3" s="21"/>
      <c r="Q3" s="22"/>
      <c r="R3" s="22"/>
      <c r="S3" s="22"/>
      <c r="T3" s="22"/>
      <c r="U3" s="22"/>
      <c r="V3" s="22"/>
      <c r="W3" s="22"/>
      <c r="X3" s="22"/>
      <c r="Y3" s="22"/>
      <c r="Z3" s="22"/>
      <c r="AA3" s="22"/>
      <c r="AB3" s="22"/>
      <c r="AC3" s="22"/>
      <c r="AD3" s="22"/>
      <c r="AE3" s="22"/>
      <c r="AF3" s="22"/>
      <c r="AG3" s="22"/>
      <c r="AH3" s="22"/>
    </row>
    <row r="4" spans="1:34" ht="24.95" customHeight="1">
      <c r="A4" s="20" t="s">
        <v>331</v>
      </c>
      <c r="B4" s="21" t="b">
        <v>1</v>
      </c>
      <c r="C4" s="21" t="b">
        <v>0</v>
      </c>
      <c r="D4" s="21"/>
      <c r="E4" s="21"/>
      <c r="F4" s="21"/>
      <c r="G4" s="21"/>
      <c r="H4" s="21"/>
      <c r="I4" s="21"/>
      <c r="J4" s="21"/>
      <c r="K4" s="21"/>
      <c r="L4" s="21"/>
      <c r="M4" s="21"/>
      <c r="N4" s="21"/>
      <c r="O4" s="21"/>
      <c r="P4" s="21"/>
      <c r="Q4" s="22"/>
      <c r="R4" s="22"/>
      <c r="S4" s="22"/>
      <c r="T4" s="22"/>
      <c r="U4" s="22"/>
      <c r="V4" s="22"/>
      <c r="W4" s="22"/>
      <c r="X4" s="22"/>
      <c r="Y4" s="22"/>
      <c r="Z4" s="22"/>
      <c r="AA4" s="22"/>
      <c r="AB4" s="22"/>
      <c r="AC4" s="22"/>
      <c r="AD4" s="22"/>
      <c r="AE4" s="22"/>
      <c r="AF4" s="22"/>
      <c r="AG4" s="22"/>
      <c r="AH4" s="22"/>
    </row>
    <row r="5" spans="1:34" ht="24.95" customHeight="1">
      <c r="A5" s="20" t="s">
        <v>332</v>
      </c>
      <c r="B5" s="21" t="b">
        <v>1</v>
      </c>
      <c r="C5" s="21" t="b">
        <v>0</v>
      </c>
      <c r="D5" s="21"/>
      <c r="E5" s="21"/>
      <c r="F5" s="21"/>
      <c r="G5" s="21"/>
      <c r="H5" s="21"/>
      <c r="I5" s="21"/>
      <c r="J5" s="21"/>
      <c r="K5" s="21"/>
      <c r="L5" s="21"/>
      <c r="M5" s="21"/>
      <c r="N5" s="21"/>
      <c r="O5" s="21"/>
      <c r="P5" s="21"/>
      <c r="Q5" s="22"/>
      <c r="R5" s="22"/>
      <c r="S5" s="22"/>
      <c r="T5" s="22"/>
      <c r="U5" s="22"/>
      <c r="V5" s="22"/>
      <c r="W5" s="22"/>
      <c r="X5" s="22"/>
      <c r="Y5" s="22"/>
      <c r="Z5" s="22"/>
      <c r="AA5" s="22"/>
      <c r="AB5" s="22"/>
      <c r="AC5" s="22"/>
      <c r="AD5" s="22"/>
      <c r="AE5" s="22"/>
      <c r="AF5" s="22"/>
      <c r="AG5" s="22"/>
      <c r="AH5" s="22"/>
    </row>
    <row r="6" spans="1:34" ht="24.95" customHeight="1">
      <c r="A6" s="20" t="s">
        <v>7</v>
      </c>
      <c r="B6" s="21" t="b">
        <v>1</v>
      </c>
      <c r="C6" s="21" t="b">
        <v>0</v>
      </c>
      <c r="D6" s="21"/>
      <c r="E6" s="21"/>
      <c r="F6" s="21"/>
      <c r="G6" s="21"/>
      <c r="H6" s="21"/>
      <c r="I6" s="21"/>
      <c r="J6" s="21"/>
      <c r="K6" s="21"/>
      <c r="L6" s="21"/>
      <c r="M6" s="21"/>
      <c r="N6" s="21"/>
      <c r="O6" s="21"/>
      <c r="P6" s="21"/>
      <c r="Q6" s="22"/>
      <c r="R6" s="22"/>
      <c r="S6" s="22"/>
      <c r="T6" s="22"/>
      <c r="U6" s="22"/>
      <c r="V6" s="22"/>
      <c r="W6" s="22"/>
      <c r="X6" s="22"/>
      <c r="Y6" s="22"/>
      <c r="Z6" s="22"/>
      <c r="AA6" s="22"/>
      <c r="AB6" s="22"/>
      <c r="AC6" s="22"/>
      <c r="AD6" s="22"/>
      <c r="AE6" s="22"/>
      <c r="AF6" s="22"/>
      <c r="AG6" s="22"/>
      <c r="AH6" s="22"/>
    </row>
    <row r="7" spans="1:34" ht="24.95" customHeight="1">
      <c r="A7" s="20" t="s">
        <v>8</v>
      </c>
      <c r="B7" s="21" t="b">
        <v>1</v>
      </c>
      <c r="C7" s="21" t="b">
        <v>0</v>
      </c>
      <c r="D7" s="21"/>
      <c r="E7" s="21"/>
      <c r="F7" s="21"/>
      <c r="G7" s="21"/>
      <c r="H7" s="21"/>
      <c r="I7" s="21"/>
      <c r="J7" s="21"/>
      <c r="K7" s="21"/>
      <c r="L7" s="21"/>
      <c r="M7" s="21"/>
      <c r="N7" s="21"/>
      <c r="O7" s="21"/>
      <c r="P7" s="21"/>
      <c r="Q7" s="22"/>
      <c r="R7" s="22"/>
      <c r="S7" s="22"/>
      <c r="T7" s="22"/>
      <c r="U7" s="22"/>
      <c r="V7" s="22"/>
      <c r="W7" s="22"/>
      <c r="X7" s="22"/>
      <c r="Y7" s="22"/>
      <c r="Z7" s="22"/>
      <c r="AA7" s="22"/>
      <c r="AB7" s="22"/>
      <c r="AC7" s="22"/>
      <c r="AD7" s="22"/>
      <c r="AE7" s="22"/>
      <c r="AF7" s="22"/>
      <c r="AG7" s="22"/>
      <c r="AH7" s="22"/>
    </row>
    <row r="8" spans="1:34" ht="24.95" customHeight="1">
      <c r="A8" s="20" t="s">
        <v>9</v>
      </c>
      <c r="B8" s="21" t="b">
        <v>1</v>
      </c>
      <c r="C8" s="21" t="b">
        <v>0</v>
      </c>
      <c r="D8" s="21"/>
      <c r="E8" s="21"/>
      <c r="F8" s="21"/>
      <c r="G8" s="21"/>
      <c r="H8" s="21"/>
      <c r="I8" s="21"/>
      <c r="J8" s="21"/>
      <c r="K8" s="21"/>
      <c r="L8" s="21"/>
      <c r="M8" s="21"/>
      <c r="N8" s="21"/>
      <c r="O8" s="21"/>
      <c r="P8" s="21"/>
      <c r="Q8" s="22"/>
      <c r="R8" s="22"/>
      <c r="S8" s="22"/>
      <c r="T8" s="22"/>
      <c r="U8" s="22"/>
      <c r="V8" s="22"/>
      <c r="W8" s="22"/>
      <c r="X8" s="22"/>
      <c r="Y8" s="22"/>
      <c r="Z8" s="22"/>
      <c r="AA8" s="22"/>
      <c r="AB8" s="22"/>
      <c r="AC8" s="22"/>
      <c r="AD8" s="22"/>
      <c r="AE8" s="22"/>
      <c r="AF8" s="22"/>
      <c r="AG8" s="22"/>
      <c r="AH8" s="22"/>
    </row>
    <row r="9" spans="1:34" ht="24.95" customHeight="1">
      <c r="A9" s="20" t="s">
        <v>10</v>
      </c>
      <c r="B9" s="21" t="b">
        <v>1</v>
      </c>
      <c r="C9" s="21" t="b">
        <v>0</v>
      </c>
      <c r="D9" s="21"/>
      <c r="E9" s="21"/>
      <c r="F9" s="21"/>
      <c r="G9" s="21"/>
      <c r="H9" s="21"/>
      <c r="I9" s="21"/>
      <c r="J9" s="21"/>
      <c r="K9" s="21"/>
      <c r="L9" s="21"/>
      <c r="M9" s="21"/>
      <c r="N9" s="21"/>
      <c r="O9" s="21"/>
      <c r="P9" s="21"/>
      <c r="Q9" s="22"/>
      <c r="R9" s="22"/>
      <c r="S9" s="22"/>
      <c r="T9" s="22"/>
      <c r="U9" s="22"/>
      <c r="V9" s="22"/>
      <c r="W9" s="22"/>
      <c r="X9" s="22"/>
      <c r="Y9" s="22"/>
      <c r="Z9" s="22"/>
      <c r="AA9" s="22"/>
      <c r="AB9" s="22"/>
      <c r="AC9" s="22"/>
      <c r="AD9" s="22"/>
      <c r="AE9" s="22"/>
      <c r="AF9" s="22"/>
      <c r="AG9" s="22"/>
      <c r="AH9" s="22"/>
    </row>
    <row r="10" spans="1:34" ht="24.95" customHeight="1">
      <c r="A10" s="20" t="s">
        <v>333</v>
      </c>
      <c r="B10" s="21" t="b">
        <v>1</v>
      </c>
      <c r="C10" s="21" t="b">
        <v>0</v>
      </c>
      <c r="D10" s="21"/>
      <c r="E10" s="21"/>
      <c r="F10" s="21"/>
      <c r="G10" s="21"/>
      <c r="H10" s="21"/>
      <c r="I10" s="21"/>
      <c r="J10" s="21"/>
      <c r="K10" s="21"/>
      <c r="L10" s="21"/>
      <c r="M10" s="21"/>
      <c r="N10" s="21"/>
      <c r="O10" s="21"/>
      <c r="P10" s="21"/>
      <c r="Q10" s="22"/>
      <c r="R10" s="22"/>
      <c r="S10" s="22"/>
      <c r="T10" s="22"/>
      <c r="U10" s="22"/>
      <c r="V10" s="22"/>
      <c r="W10" s="22"/>
      <c r="X10" s="22"/>
      <c r="Y10" s="22"/>
      <c r="Z10" s="22"/>
      <c r="AA10" s="22"/>
      <c r="AB10" s="22"/>
      <c r="AC10" s="22"/>
      <c r="AD10" s="22"/>
      <c r="AE10" s="22"/>
      <c r="AF10" s="22"/>
      <c r="AG10" s="22"/>
      <c r="AH10" s="22"/>
    </row>
    <row r="11" spans="1:34" ht="24.95" customHeight="1">
      <c r="A11" s="20" t="s">
        <v>334</v>
      </c>
      <c r="B11" s="21" t="b">
        <v>1</v>
      </c>
      <c r="C11" s="21" t="b">
        <v>0</v>
      </c>
      <c r="D11" s="21"/>
      <c r="E11" s="21"/>
      <c r="F11" s="21"/>
      <c r="G11" s="21"/>
      <c r="H11" s="21"/>
      <c r="I11" s="21"/>
      <c r="J11" s="21"/>
      <c r="K11" s="21"/>
      <c r="L11" s="21"/>
      <c r="M11" s="21"/>
      <c r="N11" s="21"/>
      <c r="O11" s="21"/>
      <c r="P11" s="21"/>
      <c r="Q11" s="22"/>
      <c r="R11" s="22"/>
      <c r="S11" s="22"/>
      <c r="T11" s="22"/>
      <c r="U11" s="22"/>
      <c r="V11" s="22"/>
      <c r="W11" s="22"/>
      <c r="X11" s="22"/>
      <c r="Y11" s="22"/>
      <c r="Z11" s="22"/>
      <c r="AA11" s="22"/>
      <c r="AB11" s="22"/>
      <c r="AC11" s="22"/>
      <c r="AD11" s="22"/>
      <c r="AE11" s="22"/>
      <c r="AF11" s="22"/>
      <c r="AG11" s="22"/>
      <c r="AH11" s="22"/>
    </row>
    <row r="12" spans="1:34" ht="24.95" customHeight="1">
      <c r="A12" s="20" t="s">
        <v>13</v>
      </c>
      <c r="B12" s="21" t="b">
        <v>1</v>
      </c>
      <c r="C12" s="21" t="b">
        <v>0</v>
      </c>
      <c r="D12" s="21"/>
      <c r="E12" s="21"/>
      <c r="F12" s="21"/>
      <c r="G12" s="21"/>
      <c r="H12" s="21"/>
      <c r="I12" s="21"/>
      <c r="J12" s="21"/>
      <c r="K12" s="21"/>
      <c r="L12" s="21"/>
      <c r="M12" s="21"/>
      <c r="N12" s="21"/>
      <c r="O12" s="21"/>
      <c r="P12" s="21"/>
      <c r="Q12" s="22"/>
      <c r="R12" s="22"/>
      <c r="S12" s="22"/>
      <c r="T12" s="22"/>
      <c r="U12" s="22"/>
      <c r="V12" s="22"/>
      <c r="W12" s="22"/>
      <c r="X12" s="22"/>
      <c r="Y12" s="22"/>
      <c r="Z12" s="22"/>
      <c r="AA12" s="22"/>
      <c r="AB12" s="22"/>
      <c r="AC12" s="22"/>
      <c r="AD12" s="22"/>
      <c r="AE12" s="22"/>
      <c r="AF12" s="22"/>
      <c r="AG12" s="22"/>
      <c r="AH12" s="22"/>
    </row>
    <row r="13" spans="1:34" ht="24.95" customHeight="1">
      <c r="A13" s="20" t="s">
        <v>14</v>
      </c>
      <c r="B13" s="21" t="b">
        <v>1</v>
      </c>
      <c r="C13" s="21" t="b">
        <v>0</v>
      </c>
      <c r="D13" s="21"/>
      <c r="E13" s="21"/>
      <c r="F13" s="21"/>
      <c r="G13" s="21"/>
      <c r="H13" s="21"/>
      <c r="I13" s="21"/>
      <c r="J13" s="21"/>
      <c r="K13" s="21"/>
      <c r="L13" s="21"/>
      <c r="M13" s="21"/>
      <c r="N13" s="21"/>
      <c r="O13" s="21"/>
      <c r="P13" s="21"/>
      <c r="Q13" s="22"/>
      <c r="R13" s="22"/>
      <c r="S13" s="22"/>
      <c r="T13" s="22"/>
      <c r="U13" s="22"/>
      <c r="V13" s="22"/>
      <c r="W13" s="22"/>
      <c r="X13" s="22"/>
      <c r="Y13" s="22"/>
      <c r="Z13" s="22"/>
      <c r="AA13" s="22"/>
      <c r="AB13" s="22"/>
      <c r="AC13" s="22"/>
      <c r="AD13" s="22"/>
      <c r="AE13" s="22"/>
      <c r="AF13" s="22"/>
      <c r="AG13" s="22"/>
      <c r="AH13" s="22"/>
    </row>
    <row r="14" spans="1:34" ht="24.95" customHeight="1">
      <c r="A14" s="20" t="s">
        <v>45</v>
      </c>
      <c r="B14" s="21" t="b">
        <v>1</v>
      </c>
      <c r="C14" s="21" t="b">
        <v>0</v>
      </c>
      <c r="D14" s="21"/>
      <c r="E14" s="21"/>
      <c r="F14" s="21"/>
      <c r="G14" s="21"/>
      <c r="H14" s="21"/>
      <c r="I14" s="21"/>
      <c r="J14" s="21"/>
      <c r="K14" s="21"/>
      <c r="L14" s="21"/>
      <c r="M14" s="21"/>
      <c r="N14" s="21"/>
      <c r="O14" s="21"/>
      <c r="P14" s="21"/>
      <c r="Q14" s="22"/>
      <c r="R14" s="22"/>
      <c r="S14" s="22"/>
      <c r="T14" s="22"/>
      <c r="U14" s="22"/>
      <c r="V14" s="22"/>
      <c r="W14" s="22"/>
      <c r="X14" s="22"/>
      <c r="Y14" s="22"/>
      <c r="Z14" s="22"/>
      <c r="AA14" s="22"/>
      <c r="AB14" s="22"/>
      <c r="AC14" s="22"/>
      <c r="AD14" s="22"/>
      <c r="AE14" s="22"/>
      <c r="AF14" s="22"/>
      <c r="AG14" s="22"/>
      <c r="AH14" s="22"/>
    </row>
    <row r="15" spans="1:34" ht="24.95" customHeight="1">
      <c r="A15" s="20" t="s">
        <v>15</v>
      </c>
      <c r="B15" s="21" t="b">
        <v>1</v>
      </c>
      <c r="C15" s="21" t="b">
        <v>0</v>
      </c>
      <c r="D15" s="21"/>
      <c r="E15" s="21"/>
      <c r="F15" s="21"/>
      <c r="G15" s="21"/>
      <c r="H15" s="21"/>
      <c r="I15" s="21"/>
      <c r="J15" s="21"/>
      <c r="K15" s="21"/>
      <c r="L15" s="21"/>
      <c r="M15" s="21"/>
      <c r="N15" s="21"/>
      <c r="O15" s="21"/>
      <c r="P15" s="21"/>
      <c r="Q15" s="21"/>
      <c r="R15" s="21"/>
      <c r="S15" s="21"/>
      <c r="T15" s="21"/>
      <c r="U15" s="21"/>
      <c r="V15" s="21"/>
      <c r="W15" s="21"/>
      <c r="X15" s="21"/>
      <c r="Y15" s="21"/>
      <c r="Z15" s="21"/>
      <c r="AA15" s="21"/>
      <c r="AB15" s="21"/>
      <c r="AC15" s="21"/>
      <c r="AD15" s="21"/>
      <c r="AE15" s="21"/>
      <c r="AF15" s="21"/>
      <c r="AG15" s="21"/>
      <c r="AH15" s="21"/>
    </row>
    <row r="16" spans="1:34" ht="24.95" customHeight="1">
      <c r="A16" s="20" t="s">
        <v>335</v>
      </c>
      <c r="B16" s="21" t="b">
        <v>1</v>
      </c>
      <c r="C16" s="21" t="b">
        <v>0</v>
      </c>
      <c r="D16" s="21"/>
      <c r="E16" s="21"/>
      <c r="F16" s="21"/>
      <c r="G16" s="21"/>
      <c r="H16" s="21"/>
      <c r="I16" s="21"/>
      <c r="J16" s="21"/>
      <c r="K16" s="21"/>
      <c r="L16" s="21"/>
      <c r="M16" s="21"/>
      <c r="N16" s="21"/>
      <c r="O16" s="21"/>
      <c r="P16" s="21"/>
      <c r="Q16" s="21"/>
      <c r="R16" s="21"/>
      <c r="S16" s="21"/>
      <c r="T16" s="21"/>
      <c r="U16" s="21"/>
      <c r="V16" s="21"/>
      <c r="W16" s="21"/>
      <c r="X16" s="21"/>
      <c r="Y16" s="21"/>
      <c r="Z16" s="21"/>
      <c r="AA16" s="21"/>
      <c r="AB16" s="21"/>
      <c r="AC16" s="21"/>
      <c r="AD16" s="21"/>
      <c r="AE16" s="21"/>
      <c r="AF16" s="21"/>
      <c r="AG16" s="21"/>
      <c r="AH16" s="21"/>
    </row>
    <row r="17" spans="1:34" ht="24.95" customHeight="1">
      <c r="A17" s="20" t="s">
        <v>336</v>
      </c>
      <c r="B17" s="21" t="s">
        <v>459</v>
      </c>
      <c r="C17" s="21" t="s">
        <v>460</v>
      </c>
      <c r="D17" s="21" t="s">
        <v>461</v>
      </c>
      <c r="E17" s="21" t="s">
        <v>462</v>
      </c>
      <c r="F17" s="21" t="s">
        <v>463</v>
      </c>
      <c r="G17" s="21" t="s">
        <v>464</v>
      </c>
      <c r="H17" s="21" t="s">
        <v>465</v>
      </c>
      <c r="I17" s="21" t="s">
        <v>466</v>
      </c>
      <c r="J17" s="21" t="s">
        <v>467</v>
      </c>
      <c r="K17" s="21"/>
      <c r="L17" s="23"/>
      <c r="M17" s="21"/>
      <c r="N17" s="21"/>
      <c r="O17" s="21"/>
      <c r="P17" s="21"/>
      <c r="Q17" s="21"/>
      <c r="R17" s="21"/>
      <c r="S17" s="21"/>
      <c r="T17" s="21"/>
      <c r="U17" s="21"/>
      <c r="V17" s="21"/>
      <c r="W17" s="21"/>
      <c r="X17" s="21"/>
      <c r="Y17" s="21"/>
      <c r="Z17" s="21"/>
      <c r="AA17" s="21"/>
      <c r="AB17" s="21"/>
      <c r="AC17" s="21"/>
      <c r="AD17" s="21"/>
      <c r="AE17" s="21"/>
      <c r="AF17" s="21"/>
      <c r="AG17" s="21"/>
      <c r="AH17" s="21"/>
    </row>
    <row r="18" spans="1:34" ht="24.95" customHeight="1">
      <c r="A18" s="20" t="s">
        <v>337</v>
      </c>
      <c r="B18" s="21" t="s">
        <v>459</v>
      </c>
      <c r="C18" s="21" t="s">
        <v>460</v>
      </c>
      <c r="D18" s="21" t="s">
        <v>461</v>
      </c>
      <c r="E18" s="21" t="s">
        <v>462</v>
      </c>
      <c r="F18" s="21" t="s">
        <v>463</v>
      </c>
      <c r="G18" s="21" t="s">
        <v>464</v>
      </c>
      <c r="H18" s="21" t="s">
        <v>465</v>
      </c>
      <c r="I18" s="21" t="s">
        <v>466</v>
      </c>
      <c r="J18" s="21" t="s">
        <v>467</v>
      </c>
      <c r="K18" s="21"/>
      <c r="L18" s="21"/>
      <c r="M18" s="21"/>
      <c r="N18" s="21"/>
      <c r="O18" s="21"/>
      <c r="P18" s="21"/>
      <c r="Q18" s="21"/>
      <c r="R18" s="21"/>
      <c r="S18" s="21"/>
      <c r="T18" s="21"/>
      <c r="U18" s="21"/>
      <c r="V18" s="21"/>
      <c r="W18" s="21"/>
      <c r="X18" s="21"/>
      <c r="Y18" s="21"/>
      <c r="Z18" s="21"/>
      <c r="AA18" s="21"/>
      <c r="AB18" s="21"/>
      <c r="AC18" s="21"/>
      <c r="AD18" s="21"/>
      <c r="AE18" s="21"/>
      <c r="AF18" s="21"/>
      <c r="AG18" s="21"/>
      <c r="AH18" s="21"/>
    </row>
    <row r="19" spans="1:34" ht="24.95" customHeight="1">
      <c r="A19" s="20" t="s">
        <v>16</v>
      </c>
      <c r="B19" s="21" t="s">
        <v>468</v>
      </c>
      <c r="C19" s="21" t="s">
        <v>469</v>
      </c>
      <c r="D19" s="21" t="b">
        <v>0</v>
      </c>
      <c r="E19" s="21"/>
      <c r="F19" s="21"/>
      <c r="G19" s="21"/>
      <c r="H19" s="21"/>
      <c r="I19" s="21"/>
      <c r="J19" s="21"/>
      <c r="K19" s="21"/>
      <c r="L19" s="21"/>
      <c r="M19" s="21"/>
      <c r="N19" s="21"/>
      <c r="O19" s="21"/>
      <c r="P19" s="21"/>
      <c r="Q19" s="21"/>
      <c r="R19" s="21"/>
      <c r="S19" s="21"/>
      <c r="T19" s="21"/>
      <c r="U19" s="21"/>
      <c r="V19" s="21"/>
      <c r="W19" s="21"/>
      <c r="X19" s="21"/>
      <c r="Y19" s="21"/>
      <c r="Z19" s="21"/>
      <c r="AA19" s="21"/>
      <c r="AB19" s="21"/>
      <c r="AC19" s="21"/>
      <c r="AD19" s="21"/>
      <c r="AE19" s="21"/>
      <c r="AF19" s="21"/>
      <c r="AG19" s="21"/>
      <c r="AH19" s="21"/>
    </row>
    <row r="20" spans="1:34" ht="24.95" customHeight="1">
      <c r="A20" s="20" t="s">
        <v>17</v>
      </c>
      <c r="B20" s="21" t="s">
        <v>470</v>
      </c>
      <c r="C20" s="21" t="s">
        <v>471</v>
      </c>
      <c r="D20" s="21" t="s">
        <v>472</v>
      </c>
      <c r="E20" s="21" t="s">
        <v>473</v>
      </c>
      <c r="F20" s="21" t="s">
        <v>474</v>
      </c>
      <c r="G20" s="21" t="s">
        <v>475</v>
      </c>
      <c r="H20" s="21" t="s">
        <v>476</v>
      </c>
      <c r="I20" s="21" t="s">
        <v>477</v>
      </c>
      <c r="J20" s="21"/>
      <c r="K20" s="21"/>
      <c r="L20" s="21"/>
      <c r="M20" s="21"/>
      <c r="N20" s="21"/>
      <c r="O20" s="21"/>
      <c r="P20" s="21"/>
      <c r="Q20" s="21"/>
      <c r="R20" s="21"/>
      <c r="S20" s="21"/>
      <c r="T20" s="21"/>
      <c r="U20" s="21"/>
      <c r="V20" s="21"/>
      <c r="W20" s="21"/>
      <c r="X20" s="21"/>
      <c r="Y20" s="21"/>
      <c r="Z20" s="21"/>
      <c r="AA20" s="21"/>
      <c r="AB20" s="21"/>
      <c r="AC20" s="21"/>
      <c r="AD20" s="21"/>
      <c r="AE20" s="21"/>
      <c r="AF20" s="21"/>
      <c r="AG20" s="21"/>
      <c r="AH20" s="21"/>
    </row>
    <row r="21" spans="1:34" ht="24.95" customHeight="1">
      <c r="A21" s="20" t="s">
        <v>18</v>
      </c>
      <c r="B21" s="21" t="s">
        <v>478</v>
      </c>
      <c r="C21" s="21" t="s">
        <v>479</v>
      </c>
      <c r="D21" s="21" t="s">
        <v>480</v>
      </c>
      <c r="E21" s="21" t="s">
        <v>481</v>
      </c>
      <c r="F21" s="21" t="s">
        <v>482</v>
      </c>
      <c r="G21" s="21" t="s">
        <v>483</v>
      </c>
      <c r="H21" s="21" t="s">
        <v>484</v>
      </c>
      <c r="I21" s="21" t="s">
        <v>485</v>
      </c>
      <c r="J21" s="21" t="s">
        <v>480</v>
      </c>
      <c r="K21" s="21"/>
      <c r="L21" s="21" t="s">
        <v>486</v>
      </c>
      <c r="M21" s="21" t="s">
        <v>487</v>
      </c>
      <c r="N21" s="21"/>
      <c r="O21" s="21"/>
      <c r="P21" s="21"/>
      <c r="Q21" s="22"/>
      <c r="R21" s="22"/>
      <c r="S21" s="22"/>
      <c r="T21" s="22"/>
      <c r="U21" s="22"/>
      <c r="V21" s="22"/>
      <c r="W21" s="22"/>
      <c r="X21" s="22"/>
      <c r="Y21" s="22"/>
      <c r="Z21" s="22"/>
      <c r="AA21" s="22"/>
      <c r="AB21" s="22"/>
      <c r="AC21" s="22"/>
      <c r="AD21" s="22"/>
      <c r="AE21" s="22"/>
      <c r="AF21" s="22"/>
      <c r="AG21" s="22"/>
      <c r="AH21" s="22"/>
    </row>
    <row r="22" spans="1:34" ht="24.95" customHeight="1">
      <c r="A22" s="20" t="s">
        <v>19</v>
      </c>
      <c r="B22" s="21" t="s">
        <v>478</v>
      </c>
      <c r="C22" s="21" t="s">
        <v>479</v>
      </c>
      <c r="D22" s="21" t="s">
        <v>480</v>
      </c>
      <c r="E22" s="21" t="s">
        <v>481</v>
      </c>
      <c r="F22" s="21" t="s">
        <v>482</v>
      </c>
      <c r="G22" s="21" t="s">
        <v>483</v>
      </c>
      <c r="H22" s="21" t="s">
        <v>484</v>
      </c>
      <c r="I22" s="21" t="s">
        <v>485</v>
      </c>
      <c r="J22" s="21" t="s">
        <v>480</v>
      </c>
      <c r="K22" s="21"/>
      <c r="L22" s="21" t="s">
        <v>486</v>
      </c>
      <c r="M22" s="21" t="s">
        <v>487</v>
      </c>
      <c r="N22" s="21"/>
      <c r="O22" s="21"/>
      <c r="P22" s="21"/>
      <c r="Q22" s="22"/>
      <c r="R22" s="22"/>
      <c r="S22" s="22"/>
      <c r="T22" s="22"/>
      <c r="U22" s="22"/>
      <c r="V22" s="22"/>
      <c r="W22" s="22"/>
      <c r="X22" s="22"/>
      <c r="Y22" s="22"/>
      <c r="Z22" s="22"/>
      <c r="AA22" s="22"/>
      <c r="AB22" s="22"/>
      <c r="AC22" s="22"/>
      <c r="AD22" s="22"/>
      <c r="AE22" s="22"/>
      <c r="AF22" s="22"/>
      <c r="AG22" s="22"/>
      <c r="AH22" s="22"/>
    </row>
    <row r="23" spans="1:34" ht="24.95" customHeight="1">
      <c r="A23" s="20" t="s">
        <v>20</v>
      </c>
      <c r="B23" s="21" t="s">
        <v>478</v>
      </c>
      <c r="C23" s="21" t="s">
        <v>479</v>
      </c>
      <c r="D23" s="21" t="s">
        <v>480</v>
      </c>
      <c r="E23" s="21" t="s">
        <v>481</v>
      </c>
      <c r="F23" s="21" t="s">
        <v>482</v>
      </c>
      <c r="G23" s="21" t="s">
        <v>483</v>
      </c>
      <c r="H23" s="21" t="s">
        <v>484</v>
      </c>
      <c r="I23" s="21" t="s">
        <v>485</v>
      </c>
      <c r="J23" s="21" t="s">
        <v>480</v>
      </c>
      <c r="K23" s="21"/>
      <c r="L23" s="21" t="s">
        <v>486</v>
      </c>
      <c r="M23" s="21" t="s">
        <v>487</v>
      </c>
      <c r="N23" s="21"/>
      <c r="O23" s="21"/>
      <c r="P23" s="21"/>
      <c r="Q23" s="22"/>
      <c r="R23" s="22"/>
      <c r="S23" s="22"/>
      <c r="T23" s="22"/>
      <c r="U23" s="22"/>
      <c r="V23" s="22"/>
      <c r="W23" s="22"/>
      <c r="X23" s="22"/>
      <c r="Y23" s="22"/>
      <c r="Z23" s="22"/>
      <c r="AA23" s="22"/>
      <c r="AB23" s="22"/>
      <c r="AC23" s="22"/>
      <c r="AD23" s="22"/>
      <c r="AE23" s="22"/>
      <c r="AF23" s="22"/>
      <c r="AG23" s="22"/>
      <c r="AH23" s="22"/>
    </row>
    <row r="24" spans="1:34" ht="24.95" customHeight="1">
      <c r="A24" s="20" t="s">
        <v>21</v>
      </c>
      <c r="B24" s="21" t="s">
        <v>478</v>
      </c>
      <c r="C24" s="21" t="s">
        <v>479</v>
      </c>
      <c r="D24" s="21" t="s">
        <v>480</v>
      </c>
      <c r="E24" s="21" t="s">
        <v>481</v>
      </c>
      <c r="F24" s="21" t="s">
        <v>482</v>
      </c>
      <c r="G24" s="21" t="s">
        <v>483</v>
      </c>
      <c r="H24" s="21" t="s">
        <v>484</v>
      </c>
      <c r="I24" s="21" t="s">
        <v>485</v>
      </c>
      <c r="J24" s="21" t="s">
        <v>480</v>
      </c>
      <c r="K24" s="21"/>
      <c r="L24" s="21" t="s">
        <v>486</v>
      </c>
      <c r="M24" s="21" t="s">
        <v>487</v>
      </c>
      <c r="N24" s="21"/>
      <c r="O24" s="21"/>
      <c r="P24" s="21"/>
      <c r="Q24" s="22"/>
      <c r="R24" s="22"/>
      <c r="S24" s="22"/>
      <c r="T24" s="22"/>
      <c r="U24" s="22"/>
      <c r="V24" s="22"/>
      <c r="W24" s="22"/>
      <c r="X24" s="22"/>
      <c r="Y24" s="22"/>
      <c r="Z24" s="22"/>
      <c r="AA24" s="22"/>
      <c r="AB24" s="22"/>
      <c r="AC24" s="22"/>
      <c r="AD24" s="22"/>
      <c r="AE24" s="22"/>
      <c r="AF24" s="22"/>
      <c r="AG24" s="22"/>
      <c r="AH24" s="22"/>
    </row>
    <row r="25" spans="1:34" ht="24.95" customHeight="1">
      <c r="A25" s="20" t="s">
        <v>22</v>
      </c>
      <c r="B25" s="21" t="s">
        <v>488</v>
      </c>
      <c r="C25" s="21" t="s">
        <v>489</v>
      </c>
      <c r="D25" s="21" t="s">
        <v>490</v>
      </c>
      <c r="E25" s="24" t="s">
        <v>491</v>
      </c>
      <c r="F25" s="21"/>
      <c r="G25" s="21"/>
      <c r="H25" s="21"/>
      <c r="I25" s="21"/>
      <c r="J25" s="21"/>
      <c r="K25" s="21"/>
      <c r="L25" s="21"/>
      <c r="M25" s="21"/>
      <c r="N25" s="21"/>
      <c r="O25" s="21"/>
      <c r="P25" s="21"/>
      <c r="Q25" s="22"/>
      <c r="R25" s="22"/>
      <c r="S25" s="22"/>
      <c r="T25" s="22"/>
      <c r="U25" s="22"/>
      <c r="V25" s="22"/>
      <c r="W25" s="22"/>
      <c r="X25" s="22"/>
      <c r="Y25" s="22"/>
      <c r="Z25" s="22"/>
      <c r="AA25" s="22"/>
      <c r="AB25" s="22"/>
      <c r="AC25" s="22"/>
      <c r="AD25" s="22"/>
      <c r="AE25" s="22"/>
      <c r="AF25" s="22"/>
      <c r="AG25" s="22"/>
      <c r="AH25" s="22"/>
    </row>
    <row r="26" spans="1:34" ht="24.95" customHeight="1">
      <c r="A26" s="20" t="s">
        <v>23</v>
      </c>
      <c r="B26" s="21" t="s">
        <v>492</v>
      </c>
      <c r="C26" s="21" t="s">
        <v>493</v>
      </c>
      <c r="D26" s="21" t="s">
        <v>490</v>
      </c>
      <c r="E26" s="24" t="s">
        <v>491</v>
      </c>
      <c r="F26" s="21"/>
      <c r="G26" s="21"/>
      <c r="H26" s="21"/>
      <c r="I26" s="21"/>
      <c r="J26" s="21"/>
      <c r="K26" s="21"/>
      <c r="L26" s="21"/>
      <c r="M26" s="21"/>
      <c r="N26" s="21"/>
      <c r="O26" s="21"/>
      <c r="P26" s="21"/>
      <c r="Q26" s="22"/>
      <c r="R26" s="22"/>
      <c r="S26" s="22"/>
      <c r="T26" s="22"/>
      <c r="U26" s="22"/>
      <c r="V26" s="22"/>
      <c r="W26" s="22"/>
      <c r="X26" s="22"/>
      <c r="Y26" s="22"/>
      <c r="Z26" s="22"/>
      <c r="AA26" s="22"/>
      <c r="AB26" s="22"/>
      <c r="AC26" s="22"/>
      <c r="AD26" s="22"/>
      <c r="AE26" s="22"/>
      <c r="AF26" s="22"/>
      <c r="AG26" s="22"/>
      <c r="AH26" s="22"/>
    </row>
    <row r="27" spans="1:34" ht="24.95" customHeight="1">
      <c r="A27" s="20" t="s">
        <v>338</v>
      </c>
      <c r="B27" s="21" t="b">
        <v>1</v>
      </c>
      <c r="C27" s="21" t="b">
        <v>0</v>
      </c>
      <c r="D27" s="21"/>
      <c r="E27" s="24"/>
      <c r="F27" s="21"/>
      <c r="G27" s="21"/>
      <c r="H27" s="21"/>
      <c r="I27" s="21"/>
      <c r="J27" s="21"/>
      <c r="K27" s="21"/>
      <c r="L27" s="21"/>
      <c r="M27" s="21"/>
      <c r="N27" s="21"/>
      <c r="O27" s="21"/>
      <c r="P27" s="21"/>
      <c r="Q27" s="22"/>
      <c r="R27" s="22"/>
      <c r="S27" s="22"/>
      <c r="T27" s="22"/>
      <c r="U27" s="22"/>
      <c r="V27" s="22"/>
      <c r="W27" s="22"/>
      <c r="X27" s="22"/>
      <c r="Y27" s="22"/>
      <c r="Z27" s="22"/>
      <c r="AA27" s="22"/>
      <c r="AB27" s="22"/>
      <c r="AC27" s="22"/>
      <c r="AD27" s="22"/>
      <c r="AE27" s="22"/>
      <c r="AF27" s="22"/>
      <c r="AG27" s="22"/>
      <c r="AH27" s="22"/>
    </row>
    <row r="28" spans="1:34" ht="24.95" customHeight="1">
      <c r="A28" s="20" t="s">
        <v>339</v>
      </c>
      <c r="B28" s="21" t="b">
        <v>1</v>
      </c>
      <c r="C28" s="21" t="b">
        <v>0</v>
      </c>
      <c r="D28" s="21"/>
      <c r="E28" s="24"/>
      <c r="F28" s="21"/>
      <c r="G28" s="21"/>
      <c r="H28" s="21"/>
      <c r="I28" s="21"/>
      <c r="J28" s="21"/>
      <c r="K28" s="21"/>
      <c r="L28" s="21"/>
      <c r="M28" s="21"/>
      <c r="N28" s="21"/>
      <c r="O28" s="21"/>
      <c r="P28" s="21"/>
      <c r="Q28" s="22"/>
      <c r="R28" s="22"/>
      <c r="S28" s="22"/>
      <c r="T28" s="22"/>
      <c r="U28" s="22"/>
      <c r="V28" s="22"/>
      <c r="W28" s="22"/>
      <c r="X28" s="22"/>
      <c r="Y28" s="22"/>
      <c r="Z28" s="22"/>
      <c r="AA28" s="22"/>
      <c r="AB28" s="22"/>
      <c r="AC28" s="22"/>
      <c r="AD28" s="22"/>
      <c r="AE28" s="22"/>
      <c r="AF28" s="22"/>
      <c r="AG28" s="22"/>
      <c r="AH28" s="22"/>
    </row>
    <row r="29" spans="1:34" ht="24.95" customHeight="1">
      <c r="A29" s="20" t="s">
        <v>24</v>
      </c>
      <c r="B29" s="21" t="b">
        <v>1</v>
      </c>
      <c r="C29" s="21" t="b">
        <v>0</v>
      </c>
      <c r="D29" s="21"/>
      <c r="E29" s="24"/>
      <c r="F29" s="21"/>
      <c r="G29" s="21"/>
      <c r="H29" s="21"/>
      <c r="I29" s="21"/>
      <c r="J29" s="21"/>
      <c r="K29" s="21"/>
      <c r="L29" s="21"/>
      <c r="M29" s="21"/>
      <c r="N29" s="21"/>
      <c r="O29" s="21"/>
      <c r="P29" s="21"/>
      <c r="Q29" s="22"/>
      <c r="R29" s="22"/>
      <c r="S29" s="22"/>
      <c r="T29" s="22"/>
      <c r="U29" s="22"/>
      <c r="V29" s="22"/>
      <c r="W29" s="22"/>
      <c r="X29" s="22"/>
      <c r="Y29" s="22"/>
      <c r="Z29" s="22"/>
      <c r="AA29" s="22"/>
      <c r="AB29" s="22"/>
      <c r="AC29" s="22"/>
      <c r="AD29" s="22"/>
      <c r="AE29" s="22"/>
      <c r="AF29" s="22"/>
      <c r="AG29" s="22"/>
      <c r="AH29" s="22"/>
    </row>
    <row r="30" spans="1:34" ht="24.95" customHeight="1">
      <c r="A30" s="20" t="s">
        <v>340</v>
      </c>
      <c r="B30" s="21" t="b">
        <v>1</v>
      </c>
      <c r="C30" s="21" t="b">
        <v>0</v>
      </c>
      <c r="D30" s="21"/>
      <c r="E30" s="24"/>
      <c r="F30" s="21"/>
      <c r="G30" s="21"/>
      <c r="H30" s="21"/>
      <c r="I30" s="21"/>
      <c r="J30" s="21"/>
      <c r="K30" s="21"/>
      <c r="L30" s="21"/>
      <c r="M30" s="21"/>
      <c r="N30" s="21"/>
      <c r="O30" s="21"/>
      <c r="P30" s="21"/>
      <c r="Q30" s="22"/>
      <c r="R30" s="22"/>
      <c r="S30" s="22"/>
      <c r="T30" s="22"/>
      <c r="U30" s="22"/>
      <c r="V30" s="22"/>
      <c r="W30" s="22"/>
      <c r="X30" s="22"/>
      <c r="Y30" s="22"/>
      <c r="Z30" s="22"/>
      <c r="AA30" s="22"/>
      <c r="AB30" s="22"/>
      <c r="AC30" s="22"/>
      <c r="AD30" s="22"/>
      <c r="AE30" s="22"/>
      <c r="AF30" s="22"/>
      <c r="AG30" s="22"/>
      <c r="AH30" s="22"/>
    </row>
    <row r="31" spans="1:34" ht="24.95" customHeight="1">
      <c r="A31" s="20" t="s">
        <v>341</v>
      </c>
      <c r="B31" s="21" t="b">
        <v>1</v>
      </c>
      <c r="C31" s="21" t="b">
        <v>0</v>
      </c>
      <c r="D31" s="21"/>
      <c r="E31" s="24"/>
      <c r="F31" s="21"/>
      <c r="G31" s="21"/>
      <c r="H31" s="21"/>
      <c r="I31" s="21"/>
      <c r="J31" s="21"/>
      <c r="K31" s="21"/>
      <c r="L31" s="21"/>
      <c r="M31" s="21"/>
      <c r="N31" s="21"/>
      <c r="O31" s="21"/>
      <c r="P31" s="21"/>
      <c r="Q31" s="22"/>
      <c r="R31" s="22"/>
      <c r="S31" s="22"/>
      <c r="T31" s="22"/>
      <c r="U31" s="22"/>
      <c r="V31" s="22"/>
      <c r="W31" s="22"/>
      <c r="X31" s="22"/>
      <c r="Y31" s="22"/>
      <c r="Z31" s="22"/>
      <c r="AA31" s="22"/>
      <c r="AB31" s="22"/>
      <c r="AC31" s="22"/>
      <c r="AD31" s="22"/>
      <c r="AE31" s="22"/>
      <c r="AF31" s="22"/>
      <c r="AG31" s="22"/>
      <c r="AH31" s="22"/>
    </row>
    <row r="32" spans="1:34" ht="24.95" customHeight="1">
      <c r="A32" s="20" t="s">
        <v>26</v>
      </c>
      <c r="B32" s="21" t="b">
        <v>1</v>
      </c>
      <c r="C32" s="21" t="b">
        <v>0</v>
      </c>
      <c r="D32" s="21"/>
      <c r="E32" s="24"/>
      <c r="F32" s="21"/>
      <c r="G32" s="21"/>
      <c r="H32" s="21"/>
      <c r="I32" s="21"/>
      <c r="J32" s="21"/>
      <c r="K32" s="21"/>
      <c r="L32" s="21"/>
      <c r="M32" s="21"/>
      <c r="N32" s="21"/>
      <c r="O32" s="21"/>
      <c r="P32" s="21"/>
      <c r="Q32" s="22"/>
      <c r="R32" s="22"/>
      <c r="S32" s="22"/>
      <c r="T32" s="22"/>
      <c r="U32" s="22"/>
      <c r="V32" s="22"/>
      <c r="W32" s="22"/>
      <c r="X32" s="22"/>
      <c r="Y32" s="22"/>
      <c r="Z32" s="22"/>
      <c r="AA32" s="22"/>
      <c r="AB32" s="22"/>
      <c r="AC32" s="22"/>
      <c r="AD32" s="22"/>
      <c r="AE32" s="22"/>
      <c r="AF32" s="22"/>
      <c r="AG32" s="22"/>
      <c r="AH32" s="22"/>
    </row>
    <row r="33" spans="1:34" ht="24.95" customHeight="1">
      <c r="A33" s="20" t="s">
        <v>11</v>
      </c>
      <c r="B33" s="21" t="s">
        <v>494</v>
      </c>
      <c r="C33" s="21" t="s">
        <v>495</v>
      </c>
      <c r="D33" s="21" t="s">
        <v>496</v>
      </c>
      <c r="E33" s="21" t="s">
        <v>497</v>
      </c>
      <c r="F33" s="21" t="s">
        <v>498</v>
      </c>
      <c r="G33" s="21" t="s">
        <v>499</v>
      </c>
      <c r="H33" s="21" t="s">
        <v>500</v>
      </c>
      <c r="I33" s="25" t="s">
        <v>501</v>
      </c>
      <c r="J33" s="25" t="s">
        <v>502</v>
      </c>
      <c r="K33" s="23" t="s">
        <v>503</v>
      </c>
      <c r="L33" s="21"/>
      <c r="M33" s="21"/>
      <c r="N33" s="21"/>
      <c r="O33" s="21"/>
      <c r="P33" s="21"/>
      <c r="Q33" s="22"/>
      <c r="R33" s="22"/>
      <c r="S33" s="22"/>
      <c r="T33" s="22"/>
      <c r="U33" s="22"/>
      <c r="V33" s="22"/>
      <c r="W33" s="22"/>
      <c r="X33" s="22"/>
      <c r="Y33" s="22"/>
      <c r="Z33" s="22"/>
      <c r="AA33" s="22"/>
      <c r="AB33" s="22"/>
      <c r="AC33" s="22"/>
      <c r="AD33" s="22"/>
      <c r="AE33" s="22"/>
      <c r="AF33" s="22"/>
      <c r="AG33" s="22"/>
      <c r="AH33" s="22"/>
    </row>
    <row r="34" spans="1:34" ht="24.95" customHeight="1">
      <c r="A34" s="20" t="s">
        <v>27</v>
      </c>
      <c r="B34" s="21" t="b">
        <v>1</v>
      </c>
      <c r="C34" s="21" t="b">
        <v>0</v>
      </c>
      <c r="D34" s="21"/>
      <c r="E34" s="21"/>
      <c r="F34" s="21"/>
      <c r="G34" s="21"/>
      <c r="H34" s="21"/>
      <c r="I34" s="23"/>
      <c r="J34" s="23"/>
      <c r="K34" s="23"/>
      <c r="L34" s="21"/>
      <c r="M34" s="21"/>
      <c r="N34" s="21"/>
      <c r="O34" s="21"/>
      <c r="P34" s="21"/>
      <c r="Q34" s="22"/>
      <c r="R34" s="22"/>
      <c r="S34" s="22"/>
      <c r="T34" s="22"/>
      <c r="U34" s="22"/>
      <c r="V34" s="22"/>
      <c r="W34" s="22"/>
      <c r="X34" s="22"/>
      <c r="Y34" s="22"/>
      <c r="Z34" s="22"/>
      <c r="AA34" s="22"/>
      <c r="AB34" s="22"/>
      <c r="AC34" s="22"/>
      <c r="AD34" s="22"/>
      <c r="AE34" s="22"/>
      <c r="AF34" s="22"/>
      <c r="AG34" s="22"/>
      <c r="AH34" s="22"/>
    </row>
    <row r="35" spans="1:34" ht="24.95" customHeight="1">
      <c r="A35" s="20" t="s">
        <v>28</v>
      </c>
      <c r="B35" s="21" t="b">
        <v>1</v>
      </c>
      <c r="C35" s="21" t="b">
        <v>0</v>
      </c>
      <c r="D35" s="21"/>
      <c r="E35" s="21"/>
      <c r="F35" s="21"/>
      <c r="G35" s="21"/>
      <c r="H35" s="21"/>
      <c r="I35" s="23"/>
      <c r="J35" s="23"/>
      <c r="K35" s="23"/>
      <c r="L35" s="21"/>
      <c r="M35" s="21"/>
      <c r="N35" s="21"/>
      <c r="O35" s="21"/>
      <c r="P35" s="21"/>
      <c r="Q35" s="22"/>
      <c r="R35" s="22"/>
      <c r="S35" s="22"/>
      <c r="T35" s="22"/>
      <c r="U35" s="22"/>
      <c r="V35" s="22"/>
      <c r="W35" s="22"/>
      <c r="X35" s="22"/>
      <c r="Y35" s="22"/>
      <c r="Z35" s="22"/>
      <c r="AA35" s="22"/>
      <c r="AB35" s="22"/>
      <c r="AC35" s="22"/>
      <c r="AD35" s="22"/>
      <c r="AE35" s="22"/>
      <c r="AF35" s="22"/>
      <c r="AG35" s="22"/>
      <c r="AH35" s="22"/>
    </row>
    <row r="36" spans="1:34" ht="24.95" customHeight="1">
      <c r="A36" s="20" t="s">
        <v>29</v>
      </c>
      <c r="B36" s="21" t="s">
        <v>504</v>
      </c>
      <c r="C36" s="21" t="s">
        <v>505</v>
      </c>
      <c r="D36" s="21" t="s">
        <v>506</v>
      </c>
      <c r="E36" s="21" t="s">
        <v>507</v>
      </c>
      <c r="F36" s="21" t="s">
        <v>508</v>
      </c>
      <c r="G36" s="21" t="s">
        <v>509</v>
      </c>
      <c r="H36" s="5" t="s">
        <v>523</v>
      </c>
      <c r="I36" s="21"/>
      <c r="J36" s="21"/>
      <c r="K36" s="21"/>
      <c r="L36" s="21"/>
      <c r="M36" s="21"/>
      <c r="N36" s="21"/>
      <c r="O36" s="21"/>
      <c r="P36" s="23"/>
      <c r="Q36" s="22"/>
      <c r="R36" s="22"/>
      <c r="S36" s="22"/>
      <c r="T36" s="22"/>
      <c r="U36" s="22"/>
      <c r="V36" s="22"/>
      <c r="W36" s="22"/>
      <c r="X36" s="22"/>
      <c r="Y36" s="22"/>
      <c r="Z36" s="22"/>
      <c r="AA36" s="22"/>
      <c r="AB36" s="22"/>
      <c r="AC36" s="22"/>
      <c r="AD36" s="22"/>
      <c r="AE36" s="22"/>
      <c r="AF36" s="22"/>
      <c r="AG36" s="22"/>
      <c r="AH36" s="22"/>
    </row>
    <row r="37" spans="1:34" ht="45.95" customHeight="1">
      <c r="A37" s="20" t="s">
        <v>30</v>
      </c>
      <c r="B37" s="21" t="s">
        <v>510</v>
      </c>
      <c r="C37" s="21" t="s">
        <v>511</v>
      </c>
      <c r="D37" s="21" t="s">
        <v>512</v>
      </c>
      <c r="E37" s="21" t="s">
        <v>513</v>
      </c>
      <c r="F37" s="21" t="s">
        <v>514</v>
      </c>
      <c r="G37" s="21" t="s">
        <v>515</v>
      </c>
      <c r="H37" s="21" t="s">
        <v>516</v>
      </c>
      <c r="I37" s="21" t="s">
        <v>517</v>
      </c>
      <c r="J37" s="21" t="s">
        <v>518</v>
      </c>
      <c r="K37" s="21" t="s">
        <v>519</v>
      </c>
      <c r="L37" s="21" t="s">
        <v>520</v>
      </c>
      <c r="M37" s="21" t="s">
        <v>521</v>
      </c>
      <c r="N37" s="21" t="s">
        <v>522</v>
      </c>
      <c r="O37" s="21" t="s">
        <v>523</v>
      </c>
      <c r="P37" s="21" t="s">
        <v>524</v>
      </c>
      <c r="Q37" s="26" t="s">
        <v>525</v>
      </c>
      <c r="R37" s="22" t="s">
        <v>526</v>
      </c>
      <c r="S37" s="22" t="s">
        <v>527</v>
      </c>
      <c r="T37" s="22" t="s">
        <v>528</v>
      </c>
      <c r="U37" s="22" t="s">
        <v>529</v>
      </c>
      <c r="V37" s="22"/>
      <c r="W37" s="22"/>
      <c r="X37" s="22"/>
      <c r="Y37" s="22"/>
      <c r="Z37" s="22"/>
      <c r="AA37" s="22"/>
      <c r="AB37" s="22"/>
      <c r="AC37" s="22"/>
      <c r="AD37" s="22"/>
      <c r="AE37" s="22"/>
      <c r="AF37" s="22"/>
      <c r="AG37" s="22"/>
      <c r="AH37" s="22"/>
    </row>
    <row r="38" spans="1:34" ht="24.95" customHeight="1">
      <c r="A38" s="20" t="s">
        <v>31</v>
      </c>
      <c r="B38" s="21" t="s">
        <v>504</v>
      </c>
      <c r="C38" s="21" t="s">
        <v>505</v>
      </c>
      <c r="D38" s="21" t="s">
        <v>506</v>
      </c>
      <c r="E38" s="21" t="s">
        <v>507</v>
      </c>
      <c r="F38" s="21" t="s">
        <v>508</v>
      </c>
      <c r="G38" s="21" t="s">
        <v>523</v>
      </c>
      <c r="H38" s="21"/>
      <c r="I38" s="21"/>
      <c r="J38" s="21"/>
      <c r="K38" s="21"/>
      <c r="L38" s="21"/>
      <c r="M38" s="21"/>
      <c r="N38" s="21"/>
      <c r="O38" s="21"/>
      <c r="P38" s="23"/>
      <c r="Q38" s="22"/>
      <c r="R38" s="22"/>
      <c r="S38" s="22"/>
      <c r="T38" s="22"/>
      <c r="U38" s="22"/>
      <c r="V38" s="22"/>
      <c r="W38" s="22"/>
      <c r="X38" s="22"/>
      <c r="Y38" s="22"/>
      <c r="Z38" s="22"/>
      <c r="AA38" s="22"/>
      <c r="AB38" s="22"/>
      <c r="AC38" s="22"/>
      <c r="AD38" s="22"/>
      <c r="AE38" s="22"/>
      <c r="AF38" s="22"/>
      <c r="AG38" s="22"/>
      <c r="AH38" s="22"/>
    </row>
    <row r="39" spans="1:34" ht="45.95" customHeight="1">
      <c r="A39" s="20" t="s">
        <v>32</v>
      </c>
      <c r="B39" s="21" t="s">
        <v>510</v>
      </c>
      <c r="C39" s="21" t="s">
        <v>511</v>
      </c>
      <c r="D39" s="21" t="s">
        <v>512</v>
      </c>
      <c r="E39" s="21" t="s">
        <v>513</v>
      </c>
      <c r="F39" s="21" t="s">
        <v>514</v>
      </c>
      <c r="G39" s="21" t="s">
        <v>515</v>
      </c>
      <c r="H39" s="21" t="s">
        <v>516</v>
      </c>
      <c r="I39" s="21" t="s">
        <v>517</v>
      </c>
      <c r="J39" s="21" t="s">
        <v>518</v>
      </c>
      <c r="K39" s="21" t="s">
        <v>519</v>
      </c>
      <c r="L39" s="21" t="s">
        <v>520</v>
      </c>
      <c r="M39" s="21" t="s">
        <v>521</v>
      </c>
      <c r="N39" s="21" t="s">
        <v>522</v>
      </c>
      <c r="O39" s="21" t="s">
        <v>523</v>
      </c>
      <c r="P39" s="21" t="s">
        <v>524</v>
      </c>
      <c r="Q39" s="26" t="s">
        <v>525</v>
      </c>
      <c r="R39" s="22" t="s">
        <v>526</v>
      </c>
      <c r="S39" s="22" t="s">
        <v>527</v>
      </c>
      <c r="T39" s="22" t="s">
        <v>528</v>
      </c>
      <c r="U39" s="22" t="s">
        <v>529</v>
      </c>
      <c r="V39" s="22"/>
      <c r="W39" s="22"/>
      <c r="X39" s="22"/>
      <c r="Y39" s="22"/>
      <c r="Z39" s="22"/>
      <c r="AA39" s="22"/>
      <c r="AB39" s="22"/>
      <c r="AC39" s="22"/>
      <c r="AD39" s="22"/>
      <c r="AE39" s="22"/>
      <c r="AF39" s="22"/>
      <c r="AG39" s="22"/>
      <c r="AH39" s="22"/>
    </row>
    <row r="40" spans="1:34" ht="24.95" customHeight="1">
      <c r="A40" s="27" t="s">
        <v>33</v>
      </c>
      <c r="B40" s="28" t="s">
        <v>530</v>
      </c>
      <c r="C40" s="28" t="s">
        <v>531</v>
      </c>
      <c r="D40" s="29" t="s">
        <v>532</v>
      </c>
      <c r="E40" s="29" t="s">
        <v>533</v>
      </c>
      <c r="F40" s="21" t="s">
        <v>534</v>
      </c>
      <c r="G40" s="21" t="s">
        <v>535</v>
      </c>
      <c r="H40" s="21" t="s">
        <v>536</v>
      </c>
      <c r="I40" s="21" t="s">
        <v>537</v>
      </c>
      <c r="J40" s="21"/>
      <c r="K40" s="21"/>
      <c r="L40" s="21"/>
      <c r="M40" s="21"/>
      <c r="N40" s="21"/>
      <c r="O40" s="21"/>
      <c r="P40" s="21"/>
      <c r="Q40" s="22"/>
      <c r="R40" s="22"/>
      <c r="S40" s="22"/>
      <c r="T40" s="22"/>
      <c r="U40" s="22"/>
      <c r="V40" s="22"/>
      <c r="W40" s="22"/>
      <c r="X40" s="22"/>
      <c r="Y40" s="22"/>
      <c r="Z40" s="22"/>
      <c r="AA40" s="22"/>
      <c r="AB40" s="22"/>
      <c r="AC40" s="22"/>
      <c r="AD40" s="22"/>
      <c r="AE40" s="22"/>
      <c r="AF40" s="22"/>
      <c r="AG40" s="22"/>
      <c r="AH40" s="22"/>
    </row>
    <row r="41" spans="1:34" ht="24.95" customHeight="1">
      <c r="A41" s="20" t="s">
        <v>34</v>
      </c>
      <c r="B41" s="21" t="s">
        <v>538</v>
      </c>
      <c r="C41" s="21" t="s">
        <v>539</v>
      </c>
      <c r="D41" s="21" t="s">
        <v>540</v>
      </c>
      <c r="E41" s="21" t="s">
        <v>541</v>
      </c>
      <c r="F41" s="21" t="s">
        <v>542</v>
      </c>
      <c r="G41" s="21" t="s">
        <v>543</v>
      </c>
      <c r="H41" s="21" t="s">
        <v>544</v>
      </c>
      <c r="I41" s="21"/>
      <c r="J41" s="21"/>
      <c r="K41" s="21"/>
      <c r="L41" s="21"/>
      <c r="M41" s="21"/>
      <c r="N41" s="21"/>
      <c r="O41" s="21"/>
      <c r="P41" s="21"/>
      <c r="Q41" s="22"/>
      <c r="R41" s="22"/>
      <c r="S41" s="22"/>
      <c r="T41" s="22"/>
      <c r="U41" s="22"/>
      <c r="V41" s="22"/>
      <c r="W41" s="22"/>
      <c r="X41" s="22"/>
      <c r="Y41" s="22"/>
      <c r="Z41" s="22"/>
      <c r="AA41" s="22"/>
      <c r="AB41" s="22"/>
      <c r="AC41" s="22"/>
      <c r="AD41" s="22"/>
      <c r="AE41" s="22"/>
      <c r="AF41" s="22"/>
      <c r="AG41" s="22"/>
      <c r="AH41" s="22"/>
    </row>
    <row r="42" spans="1:34" ht="24.95" customHeight="1">
      <c r="A42" s="20" t="s">
        <v>35</v>
      </c>
      <c r="B42" s="21" t="s">
        <v>545</v>
      </c>
      <c r="C42" s="21" t="s">
        <v>546</v>
      </c>
      <c r="D42" s="21" t="s">
        <v>547</v>
      </c>
      <c r="E42" s="21" t="s">
        <v>548</v>
      </c>
      <c r="F42" s="21" t="s">
        <v>549</v>
      </c>
      <c r="G42" s="21" t="s">
        <v>550</v>
      </c>
      <c r="H42" s="21" t="s">
        <v>551</v>
      </c>
      <c r="I42" s="21" t="s">
        <v>552</v>
      </c>
      <c r="J42" s="21" t="s">
        <v>553</v>
      </c>
      <c r="K42" s="21"/>
      <c r="L42" s="21" t="s">
        <v>554</v>
      </c>
      <c r="M42" s="21" t="s">
        <v>555</v>
      </c>
      <c r="N42" s="21" t="s">
        <v>556</v>
      </c>
      <c r="O42" s="21" t="s">
        <v>557</v>
      </c>
      <c r="P42" s="21" t="s">
        <v>558</v>
      </c>
      <c r="Q42" s="21" t="s">
        <v>559</v>
      </c>
      <c r="R42" s="21" t="s">
        <v>560</v>
      </c>
      <c r="S42" s="21" t="s">
        <v>561</v>
      </c>
      <c r="T42" s="21" t="s">
        <v>562</v>
      </c>
      <c r="U42" s="21" t="s">
        <v>563</v>
      </c>
      <c r="V42" s="21" t="s">
        <v>564</v>
      </c>
      <c r="W42" s="21" t="s">
        <v>565</v>
      </c>
      <c r="X42" s="21" t="s">
        <v>566</v>
      </c>
      <c r="Y42" s="21" t="s">
        <v>567</v>
      </c>
      <c r="Z42" s="21" t="s">
        <v>568</v>
      </c>
      <c r="AA42" s="22"/>
      <c r="AB42" s="22"/>
      <c r="AC42" s="22"/>
      <c r="AD42" s="22"/>
      <c r="AE42" s="22"/>
      <c r="AF42" s="22"/>
      <c r="AG42" s="22"/>
      <c r="AH42" s="22"/>
    </row>
    <row r="43" spans="1:34" ht="24.95" customHeight="1">
      <c r="A43" s="20" t="s">
        <v>36</v>
      </c>
      <c r="B43" s="21" t="s">
        <v>538</v>
      </c>
      <c r="C43" s="21" t="s">
        <v>539</v>
      </c>
      <c r="D43" s="21" t="s">
        <v>540</v>
      </c>
      <c r="E43" s="21" t="s">
        <v>541</v>
      </c>
      <c r="F43" s="21" t="s">
        <v>542</v>
      </c>
      <c r="G43" s="21" t="s">
        <v>543</v>
      </c>
      <c r="H43" s="21" t="s">
        <v>544</v>
      </c>
      <c r="I43" s="21"/>
      <c r="J43" s="21"/>
      <c r="K43" s="21"/>
      <c r="L43" s="21"/>
      <c r="M43" s="21"/>
      <c r="N43" s="21"/>
      <c r="O43" s="21"/>
      <c r="P43" s="21"/>
      <c r="Q43" s="22"/>
      <c r="R43" s="22"/>
      <c r="S43" s="22"/>
      <c r="T43" s="22"/>
      <c r="U43" s="22"/>
      <c r="V43" s="22"/>
      <c r="W43" s="22"/>
      <c r="X43" s="22"/>
      <c r="Y43" s="22"/>
      <c r="Z43" s="22"/>
      <c r="AA43" s="22"/>
      <c r="AB43" s="22"/>
      <c r="AC43" s="22"/>
      <c r="AD43" s="22"/>
      <c r="AE43" s="22"/>
      <c r="AF43" s="22"/>
      <c r="AG43" s="22"/>
      <c r="AH43" s="22"/>
    </row>
    <row r="44" spans="1:34" ht="24.95" customHeight="1">
      <c r="A44" s="20" t="s">
        <v>37</v>
      </c>
      <c r="B44" s="21" t="s">
        <v>545</v>
      </c>
      <c r="C44" s="21" t="s">
        <v>546</v>
      </c>
      <c r="D44" s="21" t="s">
        <v>547</v>
      </c>
      <c r="E44" s="21" t="s">
        <v>548</v>
      </c>
      <c r="F44" s="21" t="s">
        <v>549</v>
      </c>
      <c r="G44" s="21" t="s">
        <v>550</v>
      </c>
      <c r="H44" s="21" t="s">
        <v>551</v>
      </c>
      <c r="I44" s="21" t="s">
        <v>552</v>
      </c>
      <c r="J44" s="21" t="s">
        <v>553</v>
      </c>
      <c r="K44" s="21"/>
      <c r="L44" s="21" t="s">
        <v>554</v>
      </c>
      <c r="M44" s="21" t="s">
        <v>555</v>
      </c>
      <c r="N44" s="21" t="s">
        <v>556</v>
      </c>
      <c r="O44" s="21" t="s">
        <v>557</v>
      </c>
      <c r="P44" s="21" t="s">
        <v>558</v>
      </c>
      <c r="Q44" s="21" t="s">
        <v>559</v>
      </c>
      <c r="R44" s="21" t="s">
        <v>560</v>
      </c>
      <c r="S44" s="21" t="s">
        <v>561</v>
      </c>
      <c r="T44" s="21" t="s">
        <v>562</v>
      </c>
      <c r="U44" s="21" t="s">
        <v>563</v>
      </c>
      <c r="V44" s="21" t="s">
        <v>564</v>
      </c>
      <c r="W44" s="21" t="s">
        <v>565</v>
      </c>
      <c r="X44" s="21" t="s">
        <v>566</v>
      </c>
      <c r="Y44" s="21" t="s">
        <v>567</v>
      </c>
      <c r="Z44" s="21" t="s">
        <v>568</v>
      </c>
      <c r="AA44" s="22"/>
      <c r="AB44" s="22"/>
      <c r="AC44" s="22"/>
      <c r="AD44" s="22"/>
      <c r="AE44" s="22"/>
      <c r="AF44" s="22"/>
      <c r="AG44" s="22"/>
      <c r="AH44" s="22"/>
    </row>
    <row r="45" spans="1:34" ht="24.95" customHeight="1">
      <c r="A45" s="20" t="s">
        <v>342</v>
      </c>
      <c r="B45" s="26" t="b">
        <v>1</v>
      </c>
      <c r="C45" s="26" t="b">
        <v>0</v>
      </c>
      <c r="D45" s="21"/>
      <c r="E45" s="21"/>
      <c r="F45" s="21"/>
      <c r="G45" s="21"/>
      <c r="H45" s="21"/>
      <c r="I45" s="21"/>
      <c r="J45" s="21"/>
      <c r="K45" s="21"/>
      <c r="L45" s="21"/>
      <c r="M45" s="21"/>
      <c r="N45" s="21"/>
      <c r="O45" s="21"/>
      <c r="P45" s="21"/>
      <c r="Q45" s="21"/>
      <c r="R45" s="21"/>
      <c r="S45" s="21"/>
      <c r="T45" s="21"/>
      <c r="U45" s="21"/>
      <c r="V45" s="21"/>
      <c r="W45" s="21"/>
      <c r="X45" s="21"/>
      <c r="Y45" s="21"/>
      <c r="Z45" s="21"/>
      <c r="AA45" s="22"/>
      <c r="AB45" s="22"/>
      <c r="AC45" s="22"/>
      <c r="AD45" s="22"/>
      <c r="AE45" s="22"/>
      <c r="AF45" s="22"/>
      <c r="AG45" s="22"/>
      <c r="AH45" s="22"/>
    </row>
    <row r="46" spans="1:34" ht="24.95" customHeight="1">
      <c r="A46" s="20" t="s">
        <v>343</v>
      </c>
      <c r="B46" s="26" t="b">
        <v>1</v>
      </c>
      <c r="C46" s="26" t="b">
        <v>0</v>
      </c>
      <c r="D46" s="21"/>
      <c r="E46" s="21"/>
      <c r="F46" s="21"/>
      <c r="G46" s="21"/>
      <c r="H46" s="21"/>
      <c r="I46" s="21"/>
      <c r="J46" s="21"/>
      <c r="K46" s="21"/>
      <c r="L46" s="21"/>
      <c r="M46" s="21"/>
      <c r="N46" s="21"/>
      <c r="O46" s="21"/>
      <c r="P46" s="21"/>
      <c r="Q46" s="21"/>
      <c r="R46" s="21"/>
      <c r="S46" s="21"/>
      <c r="T46" s="21"/>
      <c r="U46" s="21"/>
      <c r="V46" s="21"/>
      <c r="W46" s="21"/>
      <c r="X46" s="21"/>
      <c r="Y46" s="21"/>
      <c r="Z46" s="21"/>
      <c r="AA46" s="22"/>
      <c r="AB46" s="22"/>
      <c r="AC46" s="22"/>
      <c r="AD46" s="22"/>
      <c r="AE46" s="22"/>
      <c r="AF46" s="22"/>
      <c r="AG46" s="22"/>
      <c r="AH46" s="22"/>
    </row>
    <row r="47" spans="1:34" ht="24.95" customHeight="1">
      <c r="A47" s="20" t="s">
        <v>344</v>
      </c>
      <c r="B47" s="26" t="b">
        <v>1</v>
      </c>
      <c r="C47" s="26" t="b">
        <v>0</v>
      </c>
      <c r="D47" s="21"/>
      <c r="E47" s="21"/>
      <c r="F47" s="21"/>
      <c r="G47" s="21"/>
      <c r="H47" s="21"/>
      <c r="I47" s="21"/>
      <c r="J47" s="21"/>
      <c r="K47" s="21"/>
      <c r="L47" s="21"/>
      <c r="M47" s="21"/>
      <c r="N47" s="21"/>
      <c r="O47" s="21"/>
      <c r="P47" s="21"/>
      <c r="Q47" s="21"/>
      <c r="R47" s="21"/>
      <c r="S47" s="21"/>
      <c r="T47" s="21"/>
      <c r="U47" s="21"/>
      <c r="V47" s="21"/>
      <c r="W47" s="21"/>
      <c r="X47" s="21"/>
      <c r="Y47" s="21"/>
      <c r="Z47" s="21"/>
      <c r="AA47" s="22"/>
      <c r="AB47" s="22"/>
      <c r="AC47" s="22"/>
      <c r="AD47" s="22"/>
      <c r="AE47" s="22"/>
      <c r="AF47" s="22"/>
      <c r="AG47" s="22"/>
      <c r="AH47" s="22"/>
    </row>
    <row r="48" spans="1:34" ht="24.95" customHeight="1">
      <c r="A48" s="20" t="s">
        <v>345</v>
      </c>
      <c r="B48" s="26" t="b">
        <v>1</v>
      </c>
      <c r="C48" s="26" t="b">
        <v>0</v>
      </c>
      <c r="D48" s="21"/>
      <c r="E48" s="21"/>
      <c r="F48" s="21"/>
      <c r="G48" s="21"/>
      <c r="H48" s="21"/>
      <c r="I48" s="21"/>
      <c r="J48" s="21"/>
      <c r="K48" s="21"/>
      <c r="L48" s="21"/>
      <c r="M48" s="21"/>
      <c r="N48" s="21"/>
      <c r="O48" s="21"/>
      <c r="P48" s="21"/>
      <c r="Q48" s="21"/>
      <c r="R48" s="21"/>
      <c r="S48" s="21"/>
      <c r="T48" s="21"/>
      <c r="U48" s="21"/>
      <c r="V48" s="21"/>
      <c r="W48" s="21"/>
      <c r="X48" s="21"/>
      <c r="Y48" s="21"/>
      <c r="Z48" s="21"/>
      <c r="AA48" s="22"/>
      <c r="AB48" s="22"/>
      <c r="AC48" s="22"/>
      <c r="AD48" s="22"/>
      <c r="AE48" s="22"/>
      <c r="AF48" s="22"/>
      <c r="AG48" s="22"/>
      <c r="AH48" s="22"/>
    </row>
    <row r="49" spans="1:34" ht="24.95" customHeight="1">
      <c r="A49" s="20" t="s">
        <v>38</v>
      </c>
      <c r="B49" s="30" t="s">
        <v>569</v>
      </c>
      <c r="C49" s="21" t="s">
        <v>570</v>
      </c>
      <c r="D49" s="21" t="s">
        <v>571</v>
      </c>
      <c r="E49" s="21" t="s">
        <v>572</v>
      </c>
      <c r="F49" s="21" t="s">
        <v>573</v>
      </c>
      <c r="G49" s="21" t="s">
        <v>574</v>
      </c>
      <c r="H49" s="21" t="s">
        <v>575</v>
      </c>
      <c r="I49" s="21" t="s">
        <v>576</v>
      </c>
      <c r="J49" s="21" t="s">
        <v>577</v>
      </c>
      <c r="K49" s="21"/>
      <c r="L49" s="21" t="s">
        <v>578</v>
      </c>
      <c r="M49" s="21" t="s">
        <v>579</v>
      </c>
      <c r="N49" s="21" t="s">
        <v>523</v>
      </c>
      <c r="O49" s="21" t="s">
        <v>580</v>
      </c>
      <c r="P49" s="21" t="s">
        <v>581</v>
      </c>
      <c r="Q49" s="23" t="s">
        <v>582</v>
      </c>
      <c r="R49" s="23"/>
      <c r="S49" s="23"/>
      <c r="T49" s="23"/>
      <c r="U49" s="23"/>
      <c r="V49" s="22"/>
      <c r="W49" s="22"/>
      <c r="X49" s="22"/>
      <c r="Y49" s="22"/>
      <c r="Z49" s="22"/>
      <c r="AA49" s="22"/>
      <c r="AB49" s="22"/>
      <c r="AC49" s="22"/>
      <c r="AD49" s="22"/>
      <c r="AE49" s="22"/>
      <c r="AF49" s="22"/>
      <c r="AG49" s="22"/>
      <c r="AH49" s="22"/>
    </row>
    <row r="50" spans="1:34" ht="24.95" customHeight="1">
      <c r="A50" s="20" t="s">
        <v>39</v>
      </c>
      <c r="B50" s="26" t="b">
        <v>1</v>
      </c>
      <c r="C50" s="26" t="b">
        <v>0</v>
      </c>
      <c r="D50" s="26"/>
      <c r="E50" s="26"/>
      <c r="F50" s="21"/>
      <c r="G50" s="21"/>
      <c r="H50" s="21"/>
      <c r="I50" s="21"/>
      <c r="J50" s="21"/>
      <c r="K50" s="21"/>
      <c r="L50" s="21"/>
      <c r="M50" s="21"/>
      <c r="N50" s="21"/>
      <c r="O50" s="21"/>
      <c r="P50" s="21"/>
      <c r="Q50" s="22"/>
      <c r="R50" s="22"/>
      <c r="S50" s="22"/>
      <c r="T50" s="22"/>
      <c r="U50" s="22"/>
      <c r="V50" s="22"/>
      <c r="W50" s="22"/>
      <c r="X50" s="22"/>
      <c r="Y50" s="22"/>
      <c r="Z50" s="22"/>
      <c r="AA50" s="22"/>
      <c r="AB50" s="22"/>
      <c r="AC50" s="22"/>
      <c r="AD50" s="22"/>
      <c r="AE50" s="22"/>
      <c r="AF50" s="22"/>
      <c r="AG50" s="22"/>
      <c r="AH50" s="22"/>
    </row>
    <row r="51" spans="1:34" ht="24.95" customHeight="1">
      <c r="A51" s="20" t="s">
        <v>40</v>
      </c>
      <c r="B51" s="26" t="b">
        <v>1</v>
      </c>
      <c r="C51" s="26" t="b">
        <v>0</v>
      </c>
      <c r="D51" s="26"/>
      <c r="E51" s="26"/>
      <c r="F51" s="21"/>
      <c r="G51" s="21"/>
      <c r="H51" s="21"/>
      <c r="I51" s="21"/>
      <c r="J51" s="21"/>
      <c r="K51" s="21"/>
      <c r="L51" s="21"/>
      <c r="M51" s="21"/>
      <c r="N51" s="21"/>
      <c r="O51" s="21"/>
      <c r="P51" s="21"/>
      <c r="Q51" s="22"/>
      <c r="R51" s="22"/>
      <c r="S51" s="22"/>
      <c r="T51" s="22"/>
      <c r="U51" s="22"/>
      <c r="V51" s="22"/>
      <c r="W51" s="22"/>
      <c r="X51" s="22"/>
      <c r="Y51" s="22"/>
      <c r="Z51" s="22"/>
      <c r="AA51" s="22"/>
      <c r="AB51" s="22"/>
      <c r="AC51" s="22"/>
      <c r="AD51" s="22"/>
      <c r="AE51" s="22"/>
      <c r="AF51" s="22"/>
      <c r="AG51" s="22"/>
      <c r="AH51" s="22"/>
    </row>
    <row r="52" spans="1:34" ht="24.95" customHeight="1">
      <c r="A52" s="20" t="s">
        <v>41</v>
      </c>
      <c r="B52" s="26" t="b">
        <v>1</v>
      </c>
      <c r="C52" s="26" t="b">
        <v>0</v>
      </c>
      <c r="D52" s="26"/>
      <c r="E52" s="26"/>
      <c r="F52" s="21"/>
      <c r="G52" s="21"/>
      <c r="H52" s="21"/>
      <c r="I52" s="21"/>
      <c r="J52" s="21"/>
      <c r="K52" s="21"/>
      <c r="L52" s="21"/>
      <c r="M52" s="21"/>
      <c r="N52" s="21"/>
      <c r="O52" s="21"/>
      <c r="P52" s="21"/>
      <c r="Q52" s="22"/>
      <c r="R52" s="22"/>
      <c r="S52" s="22"/>
      <c r="T52" s="22"/>
      <c r="U52" s="22"/>
      <c r="V52" s="22"/>
      <c r="W52" s="22"/>
      <c r="X52" s="22"/>
      <c r="Y52" s="22"/>
      <c r="Z52" s="22"/>
      <c r="AA52" s="22"/>
      <c r="AB52" s="22"/>
      <c r="AC52" s="22"/>
      <c r="AD52" s="22"/>
      <c r="AE52" s="22"/>
      <c r="AF52" s="22"/>
      <c r="AG52" s="22"/>
      <c r="AH52" s="22"/>
    </row>
    <row r="53" spans="1:34" ht="24.95" customHeight="1">
      <c r="A53" s="20" t="s">
        <v>42</v>
      </c>
      <c r="B53" s="26" t="b">
        <v>1</v>
      </c>
      <c r="C53" s="26" t="b">
        <v>0</v>
      </c>
      <c r="D53" s="26"/>
      <c r="E53" s="26"/>
      <c r="F53" s="21"/>
      <c r="G53" s="21"/>
      <c r="H53" s="21"/>
      <c r="I53" s="21"/>
      <c r="J53" s="21"/>
      <c r="K53" s="21"/>
      <c r="L53" s="21"/>
      <c r="M53" s="21"/>
      <c r="N53" s="21"/>
      <c r="O53" s="21"/>
      <c r="P53" s="21"/>
      <c r="Q53" s="22"/>
      <c r="R53" s="22"/>
      <c r="S53" s="22"/>
      <c r="T53" s="22"/>
      <c r="U53" s="22"/>
      <c r="V53" s="22"/>
      <c r="W53" s="22"/>
      <c r="X53" s="22"/>
      <c r="Y53" s="22"/>
      <c r="Z53" s="22"/>
      <c r="AA53" s="22"/>
      <c r="AB53" s="22"/>
      <c r="AC53" s="22"/>
      <c r="AD53" s="22"/>
      <c r="AE53" s="22"/>
      <c r="AF53" s="22"/>
      <c r="AG53" s="22"/>
      <c r="AH53" s="22"/>
    </row>
    <row r="54" spans="1:34" ht="24.95" customHeight="1">
      <c r="A54" s="20" t="s">
        <v>43</v>
      </c>
      <c r="B54" s="26" t="b">
        <v>1</v>
      </c>
      <c r="C54" s="26" t="b">
        <v>0</v>
      </c>
      <c r="D54" s="26"/>
      <c r="E54" s="26"/>
      <c r="F54" s="21"/>
      <c r="G54" s="21"/>
      <c r="H54" s="21"/>
      <c r="I54" s="21"/>
      <c r="J54" s="21"/>
      <c r="K54" s="21"/>
      <c r="L54" s="21"/>
      <c r="M54" s="21"/>
      <c r="N54" s="21"/>
      <c r="O54" s="21"/>
      <c r="P54" s="21"/>
      <c r="Q54" s="22"/>
      <c r="R54" s="22"/>
      <c r="S54" s="22"/>
      <c r="T54" s="22"/>
      <c r="U54" s="22"/>
      <c r="V54" s="22"/>
      <c r="W54" s="22"/>
      <c r="X54" s="22"/>
      <c r="Y54" s="22"/>
      <c r="Z54" s="22"/>
      <c r="AA54" s="22"/>
      <c r="AB54" s="22"/>
      <c r="AC54" s="22"/>
      <c r="AD54" s="22"/>
      <c r="AE54" s="22"/>
      <c r="AF54" s="22"/>
      <c r="AG54" s="22"/>
      <c r="AH54" s="22"/>
    </row>
    <row r="55" spans="1:34" ht="24.95" customHeight="1">
      <c r="A55" s="20" t="s">
        <v>44</v>
      </c>
      <c r="B55" s="26" t="b">
        <v>1</v>
      </c>
      <c r="C55" s="26" t="b">
        <v>0</v>
      </c>
      <c r="D55" s="26"/>
      <c r="E55" s="26"/>
      <c r="F55" s="21"/>
      <c r="G55" s="21"/>
      <c r="H55" s="21"/>
      <c r="I55" s="21"/>
      <c r="J55" s="21"/>
      <c r="K55" s="21"/>
      <c r="L55" s="21"/>
      <c r="M55" s="21"/>
      <c r="N55" s="21"/>
      <c r="O55" s="21"/>
      <c r="P55" s="21"/>
      <c r="Q55" s="22"/>
      <c r="R55" s="22"/>
      <c r="S55" s="22"/>
      <c r="T55" s="22"/>
      <c r="U55" s="22"/>
      <c r="V55" s="22"/>
      <c r="W55" s="22"/>
      <c r="X55" s="22"/>
      <c r="Y55" s="22"/>
      <c r="Z55" s="22"/>
      <c r="AA55" s="22"/>
      <c r="AB55" s="22"/>
      <c r="AC55" s="22"/>
      <c r="AD55" s="22"/>
      <c r="AE55" s="22"/>
      <c r="AF55" s="22"/>
      <c r="AG55" s="22"/>
      <c r="AH55" s="22"/>
    </row>
    <row r="56" spans="1:34" ht="24.95" customHeight="1">
      <c r="A56" s="20" t="s">
        <v>45</v>
      </c>
      <c r="B56" s="26" t="b">
        <v>1</v>
      </c>
      <c r="C56" s="26" t="b">
        <v>0</v>
      </c>
      <c r="D56" s="26"/>
      <c r="E56" s="26"/>
      <c r="F56" s="21"/>
      <c r="G56" s="21"/>
      <c r="H56" s="21"/>
      <c r="I56" s="21"/>
      <c r="J56" s="21"/>
      <c r="K56" s="21"/>
      <c r="L56" s="21"/>
      <c r="M56" s="21"/>
      <c r="N56" s="21"/>
      <c r="O56" s="21"/>
      <c r="P56" s="21"/>
      <c r="Q56" s="22"/>
      <c r="R56" s="22"/>
      <c r="S56" s="22"/>
      <c r="T56" s="22"/>
      <c r="U56" s="22"/>
      <c r="V56" s="22"/>
      <c r="W56" s="22"/>
      <c r="X56" s="22"/>
      <c r="Y56" s="22"/>
      <c r="Z56" s="22"/>
      <c r="AA56" s="22"/>
      <c r="AB56" s="22"/>
      <c r="AC56" s="22"/>
      <c r="AD56" s="22"/>
      <c r="AE56" s="22"/>
      <c r="AF56" s="22"/>
      <c r="AG56" s="22"/>
      <c r="AH56" s="22"/>
    </row>
    <row r="57" spans="1:34" ht="24.95" customHeight="1">
      <c r="A57" s="20" t="s">
        <v>46</v>
      </c>
      <c r="B57" s="26" t="b">
        <v>1</v>
      </c>
      <c r="C57" s="26" t="b">
        <v>0</v>
      </c>
      <c r="D57" s="26"/>
      <c r="E57" s="26"/>
      <c r="F57" s="21"/>
      <c r="G57" s="21"/>
      <c r="H57" s="21"/>
      <c r="I57" s="21"/>
      <c r="J57" s="21"/>
      <c r="K57" s="21"/>
      <c r="L57" s="21"/>
      <c r="M57" s="21"/>
      <c r="N57" s="21"/>
      <c r="O57" s="21"/>
      <c r="P57" s="21"/>
      <c r="Q57" s="22"/>
      <c r="R57" s="22"/>
      <c r="S57" s="22"/>
      <c r="T57" s="22"/>
      <c r="U57" s="22"/>
      <c r="V57" s="22"/>
      <c r="W57" s="22"/>
      <c r="X57" s="22"/>
      <c r="Y57" s="22"/>
      <c r="Z57" s="22"/>
      <c r="AA57" s="22"/>
      <c r="AB57" s="22"/>
      <c r="AC57" s="22"/>
      <c r="AD57" s="22"/>
      <c r="AE57" s="22"/>
      <c r="AF57" s="22"/>
      <c r="AG57" s="22"/>
      <c r="AH57" s="22"/>
    </row>
    <row r="58" spans="1:34" ht="24.95" customHeight="1">
      <c r="A58" s="20" t="s">
        <v>47</v>
      </c>
      <c r="B58" s="26" t="b">
        <v>1</v>
      </c>
      <c r="C58" s="26" t="b">
        <v>0</v>
      </c>
      <c r="D58" s="26"/>
      <c r="E58" s="26"/>
      <c r="F58" s="21"/>
      <c r="G58" s="21"/>
      <c r="H58" s="21"/>
      <c r="I58" s="21"/>
      <c r="J58" s="21"/>
      <c r="K58" s="21"/>
      <c r="L58" s="21"/>
      <c r="M58" s="21"/>
      <c r="N58" s="21"/>
      <c r="O58" s="21"/>
      <c r="P58" s="21"/>
      <c r="Q58" s="22"/>
      <c r="R58" s="22"/>
      <c r="S58" s="22"/>
      <c r="T58" s="22"/>
      <c r="U58" s="22"/>
      <c r="V58" s="22"/>
      <c r="W58" s="22"/>
      <c r="X58" s="22"/>
      <c r="Y58" s="22"/>
      <c r="Z58" s="22"/>
      <c r="AA58" s="22"/>
      <c r="AB58" s="22"/>
      <c r="AC58" s="22"/>
      <c r="AD58" s="22"/>
      <c r="AE58" s="22"/>
      <c r="AF58" s="22"/>
      <c r="AG58" s="22"/>
      <c r="AH58" s="22"/>
    </row>
    <row r="59" spans="1:34" ht="24.95" customHeight="1">
      <c r="A59" s="20" t="s">
        <v>48</v>
      </c>
      <c r="B59" s="26" t="b">
        <v>1</v>
      </c>
      <c r="C59" s="26" t="b">
        <v>0</v>
      </c>
      <c r="D59" s="26"/>
      <c r="E59" s="26"/>
      <c r="F59" s="21"/>
      <c r="G59" s="21"/>
      <c r="H59" s="21"/>
      <c r="I59" s="21"/>
      <c r="J59" s="21"/>
      <c r="K59" s="21"/>
      <c r="L59" s="21"/>
      <c r="M59" s="21"/>
      <c r="N59" s="21"/>
      <c r="O59" s="21"/>
      <c r="P59" s="21"/>
      <c r="Q59" s="22"/>
      <c r="R59" s="22"/>
      <c r="S59" s="22"/>
      <c r="T59" s="22"/>
      <c r="U59" s="22"/>
      <c r="V59" s="22"/>
      <c r="W59" s="22"/>
      <c r="X59" s="22"/>
      <c r="Y59" s="22"/>
      <c r="Z59" s="22"/>
      <c r="AA59" s="22"/>
      <c r="AB59" s="22"/>
      <c r="AC59" s="22"/>
      <c r="AD59" s="22"/>
      <c r="AE59" s="22"/>
      <c r="AF59" s="22"/>
      <c r="AG59" s="22"/>
      <c r="AH59" s="22"/>
    </row>
    <row r="60" spans="1:34" ht="24.95" customHeight="1">
      <c r="A60" s="20" t="s">
        <v>49</v>
      </c>
      <c r="B60" s="26" t="b">
        <v>1</v>
      </c>
      <c r="C60" s="26" t="b">
        <v>0</v>
      </c>
      <c r="D60" s="26"/>
      <c r="E60" s="26"/>
      <c r="F60" s="21"/>
      <c r="G60" s="21"/>
      <c r="H60" s="21"/>
      <c r="I60" s="21"/>
      <c r="J60" s="21"/>
      <c r="K60" s="21"/>
      <c r="L60" s="21"/>
      <c r="M60" s="21"/>
      <c r="N60" s="21"/>
      <c r="O60" s="21"/>
      <c r="P60" s="21"/>
      <c r="Q60" s="22"/>
      <c r="R60" s="22"/>
      <c r="S60" s="22"/>
      <c r="T60" s="22"/>
      <c r="U60" s="22"/>
      <c r="V60" s="22"/>
      <c r="W60" s="22"/>
      <c r="X60" s="22"/>
      <c r="Y60" s="22"/>
      <c r="Z60" s="22"/>
      <c r="AA60" s="22"/>
      <c r="AB60" s="22"/>
      <c r="AC60" s="22"/>
      <c r="AD60" s="22"/>
      <c r="AE60" s="22"/>
      <c r="AF60" s="22"/>
      <c r="AG60" s="22"/>
      <c r="AH60" s="22"/>
    </row>
    <row r="61" spans="1:34" ht="24.95" customHeight="1">
      <c r="A61" s="20" t="s">
        <v>50</v>
      </c>
      <c r="B61" s="26" t="b">
        <v>1</v>
      </c>
      <c r="C61" s="26" t="b">
        <v>0</v>
      </c>
      <c r="D61" s="26"/>
      <c r="E61" s="26"/>
      <c r="F61" s="21"/>
      <c r="G61" s="21"/>
      <c r="H61" s="21"/>
      <c r="I61" s="21"/>
      <c r="J61" s="21"/>
      <c r="K61" s="21"/>
      <c r="L61" s="21"/>
      <c r="M61" s="21"/>
      <c r="N61" s="21"/>
      <c r="O61" s="21"/>
      <c r="P61" s="21"/>
      <c r="Q61" s="22"/>
      <c r="R61" s="22"/>
      <c r="S61" s="22"/>
      <c r="T61" s="22"/>
      <c r="U61" s="22"/>
      <c r="V61" s="22"/>
      <c r="W61" s="22"/>
      <c r="X61" s="22"/>
      <c r="Y61" s="22"/>
      <c r="Z61" s="22"/>
      <c r="AA61" s="22"/>
      <c r="AB61" s="22"/>
      <c r="AC61" s="22"/>
      <c r="AD61" s="22"/>
      <c r="AE61" s="22"/>
      <c r="AF61" s="22"/>
      <c r="AG61" s="22"/>
      <c r="AH61" s="22"/>
    </row>
    <row r="62" spans="1:34" ht="24.95" customHeight="1">
      <c r="A62" s="20" t="s">
        <v>347</v>
      </c>
      <c r="B62" s="26" t="b">
        <v>1</v>
      </c>
      <c r="C62" s="26" t="b">
        <v>0</v>
      </c>
      <c r="D62" s="26"/>
      <c r="E62" s="26"/>
      <c r="F62" s="21"/>
      <c r="G62" s="21"/>
      <c r="H62" s="21"/>
      <c r="I62" s="21"/>
      <c r="J62" s="21"/>
      <c r="K62" s="21"/>
      <c r="L62" s="21"/>
      <c r="M62" s="21"/>
      <c r="N62" s="21"/>
      <c r="O62" s="21"/>
      <c r="P62" s="21"/>
      <c r="Q62" s="22"/>
      <c r="R62" s="22"/>
      <c r="S62" s="22"/>
      <c r="T62" s="22"/>
      <c r="U62" s="22"/>
      <c r="V62" s="22"/>
      <c r="W62" s="22"/>
      <c r="X62" s="22"/>
      <c r="Y62" s="22"/>
      <c r="Z62" s="22"/>
      <c r="AA62" s="22"/>
      <c r="AB62" s="22"/>
      <c r="AC62" s="22"/>
      <c r="AD62" s="22"/>
      <c r="AE62" s="22"/>
      <c r="AF62" s="22"/>
      <c r="AG62" s="22"/>
      <c r="AH62" s="22"/>
    </row>
    <row r="63" spans="1:34" ht="24.95" customHeight="1">
      <c r="A63" s="20" t="s">
        <v>51</v>
      </c>
      <c r="B63" s="26" t="b">
        <v>1</v>
      </c>
      <c r="C63" s="26" t="b">
        <v>0</v>
      </c>
      <c r="D63" s="26"/>
      <c r="E63" s="26"/>
      <c r="F63" s="21"/>
      <c r="G63" s="21"/>
      <c r="H63" s="21"/>
      <c r="I63" s="21"/>
      <c r="J63" s="21"/>
      <c r="K63" s="21"/>
      <c r="L63" s="21"/>
      <c r="M63" s="21"/>
      <c r="N63" s="21"/>
      <c r="O63" s="21"/>
      <c r="P63" s="21"/>
      <c r="Q63" s="22"/>
      <c r="R63" s="22"/>
      <c r="S63" s="22"/>
      <c r="T63" s="22"/>
      <c r="U63" s="22"/>
      <c r="V63" s="22"/>
      <c r="W63" s="22"/>
      <c r="X63" s="22"/>
      <c r="Y63" s="22"/>
      <c r="Z63" s="22"/>
      <c r="AA63" s="22"/>
      <c r="AB63" s="22"/>
      <c r="AC63" s="22"/>
      <c r="AD63" s="22"/>
      <c r="AE63" s="22"/>
      <c r="AF63" s="22"/>
      <c r="AG63" s="22"/>
      <c r="AH63" s="22"/>
    </row>
    <row r="64" spans="1:34" ht="24.95" customHeight="1">
      <c r="A64" s="20" t="s">
        <v>52</v>
      </c>
      <c r="B64" s="21" t="s">
        <v>259</v>
      </c>
      <c r="C64" s="21" t="s">
        <v>256</v>
      </c>
      <c r="D64" s="21" t="s">
        <v>583</v>
      </c>
      <c r="E64" s="21" t="s">
        <v>523</v>
      </c>
      <c r="F64" s="21"/>
      <c r="G64" s="23"/>
      <c r="H64" s="21"/>
      <c r="I64" s="21"/>
      <c r="J64" s="21"/>
      <c r="K64" s="21"/>
      <c r="L64" s="21"/>
      <c r="M64" s="21"/>
      <c r="N64" s="21"/>
      <c r="O64" s="21"/>
      <c r="P64" s="21"/>
      <c r="Q64" s="22"/>
      <c r="R64" s="22"/>
      <c r="S64" s="22"/>
      <c r="T64" s="22"/>
      <c r="U64" s="22"/>
      <c r="V64" s="22"/>
      <c r="W64" s="22"/>
      <c r="X64" s="22"/>
      <c r="Y64" s="22"/>
      <c r="Z64" s="22"/>
      <c r="AA64" s="22"/>
      <c r="AB64" s="22"/>
      <c r="AC64" s="22"/>
      <c r="AD64" s="22"/>
      <c r="AE64" s="22"/>
      <c r="AF64" s="22"/>
      <c r="AG64" s="22"/>
      <c r="AH64" s="22"/>
    </row>
    <row r="65" spans="1:34" ht="24.95" customHeight="1">
      <c r="A65" s="20" t="s">
        <v>53</v>
      </c>
      <c r="B65" s="21" t="s">
        <v>259</v>
      </c>
      <c r="C65" s="21" t="s">
        <v>256</v>
      </c>
      <c r="D65" s="21" t="s">
        <v>583</v>
      </c>
      <c r="E65" s="21" t="s">
        <v>523</v>
      </c>
      <c r="F65" s="21" t="s">
        <v>584</v>
      </c>
      <c r="G65" s="23"/>
      <c r="H65" s="21"/>
      <c r="I65" s="21"/>
      <c r="J65" s="21"/>
      <c r="K65" s="21"/>
      <c r="L65" s="21"/>
      <c r="M65" s="21"/>
      <c r="N65" s="21"/>
      <c r="O65" s="21"/>
      <c r="P65" s="21"/>
      <c r="Q65" s="22"/>
      <c r="R65" s="22"/>
      <c r="S65" s="22"/>
      <c r="T65" s="22"/>
      <c r="U65" s="22"/>
      <c r="V65" s="22"/>
      <c r="W65" s="22"/>
      <c r="X65" s="22"/>
      <c r="Y65" s="22"/>
      <c r="Z65" s="22"/>
      <c r="AA65" s="22"/>
      <c r="AB65" s="22"/>
      <c r="AC65" s="22"/>
      <c r="AD65" s="22"/>
      <c r="AE65" s="22"/>
      <c r="AF65" s="22"/>
      <c r="AG65" s="22"/>
      <c r="AH65" s="22"/>
    </row>
    <row r="66" spans="1:34" ht="24.95" customHeight="1">
      <c r="A66" s="20" t="s">
        <v>54</v>
      </c>
      <c r="B66" s="21" t="b">
        <v>1</v>
      </c>
      <c r="C66" s="21" t="b">
        <v>0</v>
      </c>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row>
    <row r="67" spans="1:34" ht="24.95" customHeight="1">
      <c r="A67" s="20" t="s">
        <v>55</v>
      </c>
      <c r="B67" s="21" t="b">
        <v>1</v>
      </c>
      <c r="C67" s="21" t="b">
        <v>0</v>
      </c>
      <c r="D67" s="21"/>
      <c r="E67" s="21"/>
      <c r="F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c r="AF67" s="21"/>
      <c r="AG67" s="21"/>
      <c r="AH67" s="21"/>
    </row>
    <row r="68" spans="1:34" ht="24.95" customHeight="1">
      <c r="A68" s="20" t="s">
        <v>56</v>
      </c>
      <c r="B68" s="21" t="s">
        <v>585</v>
      </c>
      <c r="C68" s="21" t="s">
        <v>586</v>
      </c>
      <c r="D68" s="21" t="s">
        <v>587</v>
      </c>
      <c r="E68" s="21" t="s">
        <v>588</v>
      </c>
      <c r="F68" s="21" t="s">
        <v>589</v>
      </c>
      <c r="G68" s="21" t="s">
        <v>523</v>
      </c>
      <c r="H68" s="23"/>
      <c r="I68" s="21"/>
      <c r="J68" s="21"/>
      <c r="K68" s="21"/>
      <c r="L68" s="21"/>
      <c r="M68" s="21"/>
      <c r="N68" s="21"/>
      <c r="O68" s="21"/>
      <c r="P68" s="21"/>
      <c r="Q68" s="22"/>
      <c r="R68" s="22"/>
      <c r="S68" s="22"/>
      <c r="T68" s="22"/>
      <c r="U68" s="22"/>
      <c r="V68" s="22"/>
      <c r="W68" s="22"/>
      <c r="X68" s="22"/>
      <c r="Y68" s="22"/>
      <c r="Z68" s="22"/>
      <c r="AA68" s="22"/>
      <c r="AB68" s="22"/>
      <c r="AC68" s="22"/>
      <c r="AD68" s="22"/>
      <c r="AE68" s="22"/>
      <c r="AF68" s="22"/>
      <c r="AG68" s="22"/>
      <c r="AH68" s="22"/>
    </row>
    <row r="69" spans="1:34" ht="24.95" customHeight="1">
      <c r="A69" s="20" t="s">
        <v>57</v>
      </c>
      <c r="B69" s="21" t="b">
        <v>1</v>
      </c>
      <c r="C69" s="21" t="b">
        <v>0</v>
      </c>
      <c r="D69" s="21"/>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row>
    <row r="70" spans="1:34" ht="24.95" customHeight="1">
      <c r="A70" s="20" t="s">
        <v>348</v>
      </c>
      <c r="B70" s="31" t="s">
        <v>590</v>
      </c>
      <c r="C70" s="31" t="s">
        <v>457</v>
      </c>
      <c r="D70" s="31" t="s">
        <v>591</v>
      </c>
      <c r="E70" s="31" t="s">
        <v>592</v>
      </c>
      <c r="F70" s="31" t="s">
        <v>523</v>
      </c>
      <c r="G70" s="21" t="s">
        <v>593</v>
      </c>
      <c r="H70" s="21"/>
      <c r="I70" s="21"/>
      <c r="J70" s="21"/>
      <c r="K70" s="21"/>
      <c r="L70" s="21"/>
      <c r="M70" s="21"/>
      <c r="N70" s="21"/>
      <c r="O70" s="21"/>
      <c r="P70" s="21"/>
      <c r="Q70" s="22"/>
      <c r="R70" s="22"/>
      <c r="S70" s="22"/>
      <c r="T70" s="22"/>
      <c r="U70" s="22"/>
      <c r="V70" s="22"/>
      <c r="W70" s="22"/>
      <c r="X70" s="22"/>
      <c r="Y70" s="22"/>
      <c r="Z70" s="22"/>
      <c r="AA70" s="22"/>
      <c r="AB70" s="22"/>
      <c r="AC70" s="22"/>
      <c r="AD70" s="22"/>
      <c r="AE70" s="22"/>
      <c r="AF70" s="22"/>
      <c r="AG70" s="22"/>
      <c r="AH70" s="22"/>
    </row>
    <row r="71" spans="1:34" ht="24.95" customHeight="1">
      <c r="A71" s="20" t="s">
        <v>349</v>
      </c>
      <c r="B71" s="31" t="s">
        <v>590</v>
      </c>
      <c r="C71" s="31" t="s">
        <v>457</v>
      </c>
      <c r="D71" s="31" t="s">
        <v>591</v>
      </c>
      <c r="E71" s="31" t="s">
        <v>592</v>
      </c>
      <c r="F71" s="31" t="s">
        <v>523</v>
      </c>
      <c r="G71" s="21" t="s">
        <v>593</v>
      </c>
      <c r="H71" s="21"/>
      <c r="I71" s="21"/>
      <c r="J71" s="21"/>
      <c r="K71" s="21"/>
      <c r="L71" s="21"/>
      <c r="M71" s="21"/>
      <c r="N71" s="21"/>
      <c r="O71" s="21"/>
      <c r="P71" s="21"/>
      <c r="Q71" s="22"/>
      <c r="R71" s="22"/>
      <c r="S71" s="22"/>
      <c r="T71" s="22"/>
      <c r="U71" s="22"/>
      <c r="V71" s="22"/>
      <c r="W71" s="22"/>
      <c r="X71" s="22"/>
      <c r="Y71" s="22"/>
      <c r="Z71" s="22"/>
      <c r="AA71" s="22"/>
      <c r="AB71" s="22"/>
      <c r="AC71" s="22"/>
      <c r="AD71" s="22"/>
      <c r="AE71" s="22"/>
      <c r="AF71" s="22"/>
      <c r="AG71" s="22"/>
      <c r="AH71" s="22"/>
    </row>
    <row r="72" spans="1:34" ht="24.95" customHeight="1">
      <c r="A72" s="20" t="s">
        <v>59</v>
      </c>
      <c r="B72" s="21" t="b">
        <v>1</v>
      </c>
      <c r="C72" s="21" t="b">
        <v>0</v>
      </c>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c r="AG72" s="21"/>
      <c r="AH72" s="21"/>
    </row>
    <row r="73" spans="1:34" ht="24.95" customHeight="1">
      <c r="A73" s="20" t="s">
        <v>60</v>
      </c>
      <c r="B73" s="21" t="b">
        <v>1</v>
      </c>
      <c r="C73" s="21" t="b">
        <v>0</v>
      </c>
      <c r="D73" s="21"/>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row>
    <row r="74" spans="1:34" ht="50.1" customHeight="1">
      <c r="A74" s="32" t="s">
        <v>350</v>
      </c>
      <c r="B74" s="21" t="b">
        <v>1</v>
      </c>
      <c r="C74" s="21" t="b">
        <v>0</v>
      </c>
      <c r="D74" s="23"/>
      <c r="E74" s="21"/>
      <c r="F74" s="21"/>
      <c r="G74" s="21"/>
      <c r="H74" s="21"/>
      <c r="I74" s="21"/>
      <c r="J74" s="21"/>
      <c r="K74" s="21"/>
      <c r="L74" s="21"/>
      <c r="M74" s="21"/>
      <c r="N74" s="21"/>
      <c r="O74" s="21"/>
      <c r="P74" s="21"/>
      <c r="Q74" s="22"/>
      <c r="R74" s="22"/>
      <c r="S74" s="22"/>
      <c r="T74" s="22"/>
      <c r="U74" s="22"/>
      <c r="V74" s="22"/>
      <c r="W74" s="22"/>
      <c r="X74" s="22"/>
      <c r="Y74" s="22"/>
      <c r="Z74" s="22"/>
      <c r="AA74" s="22"/>
      <c r="AB74" s="22"/>
      <c r="AC74" s="22"/>
      <c r="AD74" s="22"/>
      <c r="AE74" s="22"/>
      <c r="AF74" s="22"/>
      <c r="AG74" s="22"/>
      <c r="AH74" s="22"/>
    </row>
    <row r="75" spans="1:34" ht="24.95" customHeight="1">
      <c r="A75" s="32" t="s">
        <v>351</v>
      </c>
      <c r="B75" s="21" t="b">
        <v>1</v>
      </c>
      <c r="C75" s="21" t="b">
        <v>0</v>
      </c>
      <c r="D75" s="23"/>
      <c r="E75" s="21"/>
      <c r="F75" s="21"/>
      <c r="G75" s="21"/>
      <c r="H75" s="21"/>
      <c r="I75" s="21"/>
      <c r="J75" s="21"/>
      <c r="K75" s="21"/>
      <c r="L75" s="21"/>
      <c r="M75" s="21"/>
      <c r="N75" s="21"/>
      <c r="O75" s="21"/>
      <c r="P75" s="21"/>
      <c r="Q75" s="22"/>
      <c r="R75" s="22"/>
      <c r="S75" s="22"/>
      <c r="T75" s="22"/>
      <c r="U75" s="22"/>
      <c r="V75" s="22"/>
      <c r="W75" s="22"/>
      <c r="X75" s="22"/>
      <c r="Y75" s="22"/>
      <c r="Z75" s="22"/>
      <c r="AA75" s="22"/>
      <c r="AB75" s="22"/>
      <c r="AC75" s="22"/>
      <c r="AD75" s="22"/>
      <c r="AE75" s="22"/>
      <c r="AF75" s="22"/>
      <c r="AG75" s="22"/>
      <c r="AH75" s="22"/>
    </row>
    <row r="76" spans="1:34" ht="50.1" customHeight="1">
      <c r="A76" s="32" t="s">
        <v>352</v>
      </c>
      <c r="B76" s="21" t="b">
        <v>1</v>
      </c>
      <c r="C76" s="21" t="b">
        <v>0</v>
      </c>
      <c r="D76" s="23"/>
      <c r="E76" s="21"/>
      <c r="F76" s="21"/>
      <c r="G76" s="21"/>
      <c r="H76" s="21"/>
      <c r="I76" s="21"/>
      <c r="J76" s="21"/>
      <c r="K76" s="21"/>
      <c r="L76" s="21"/>
      <c r="M76" s="21"/>
      <c r="N76" s="21"/>
      <c r="O76" s="21"/>
      <c r="P76" s="21"/>
      <c r="Q76" s="22"/>
      <c r="R76" s="22"/>
      <c r="S76" s="22"/>
      <c r="T76" s="22"/>
      <c r="U76" s="22"/>
      <c r="V76" s="22"/>
      <c r="W76" s="22"/>
      <c r="X76" s="22"/>
      <c r="Y76" s="22"/>
      <c r="Z76" s="22"/>
      <c r="AA76" s="22"/>
      <c r="AB76" s="22"/>
      <c r="AC76" s="22"/>
      <c r="AD76" s="22"/>
      <c r="AE76" s="22"/>
      <c r="AF76" s="22"/>
      <c r="AG76" s="22"/>
      <c r="AH76" s="22"/>
    </row>
    <row r="77" spans="1:34" ht="24.95" customHeight="1">
      <c r="A77" s="32" t="s">
        <v>353</v>
      </c>
      <c r="B77" s="21" t="b">
        <v>1</v>
      </c>
      <c r="C77" s="21" t="b">
        <v>0</v>
      </c>
      <c r="D77" s="23"/>
      <c r="E77" s="21"/>
      <c r="F77" s="21"/>
      <c r="G77" s="21"/>
      <c r="H77" s="21"/>
      <c r="I77" s="21"/>
      <c r="J77" s="21"/>
      <c r="K77" s="21"/>
      <c r="L77" s="21"/>
      <c r="M77" s="21"/>
      <c r="N77" s="21"/>
      <c r="O77" s="21"/>
      <c r="P77" s="21"/>
      <c r="Q77" s="22"/>
      <c r="R77" s="22"/>
      <c r="S77" s="22"/>
      <c r="T77" s="22"/>
      <c r="U77" s="22"/>
      <c r="V77" s="22"/>
      <c r="W77" s="22"/>
      <c r="X77" s="22"/>
      <c r="Y77" s="22"/>
      <c r="Z77" s="22"/>
      <c r="AA77" s="22"/>
      <c r="AB77" s="22"/>
      <c r="AC77" s="22"/>
      <c r="AD77" s="22"/>
      <c r="AE77" s="22"/>
      <c r="AF77" s="22"/>
      <c r="AG77" s="22"/>
      <c r="AH77" s="22"/>
    </row>
    <row r="78" spans="1:34" ht="24.95" customHeight="1">
      <c r="A78" s="32" t="s">
        <v>354</v>
      </c>
      <c r="B78" s="21" t="b">
        <v>1</v>
      </c>
      <c r="C78" s="21" t="b">
        <v>0</v>
      </c>
      <c r="D78" s="23"/>
      <c r="E78" s="21"/>
      <c r="F78" s="21"/>
      <c r="G78" s="21"/>
      <c r="H78" s="21"/>
      <c r="I78" s="21"/>
      <c r="J78" s="21"/>
      <c r="K78" s="21"/>
      <c r="L78" s="21"/>
      <c r="M78" s="21"/>
      <c r="N78" s="21"/>
      <c r="O78" s="21"/>
      <c r="P78" s="21"/>
      <c r="Q78" s="22"/>
      <c r="R78" s="22"/>
      <c r="S78" s="22"/>
      <c r="T78" s="22"/>
      <c r="U78" s="22"/>
      <c r="V78" s="22"/>
      <c r="W78" s="22"/>
      <c r="X78" s="22"/>
      <c r="Y78" s="22"/>
      <c r="Z78" s="22"/>
      <c r="AA78" s="22"/>
      <c r="AB78" s="22"/>
      <c r="AC78" s="22"/>
      <c r="AD78" s="22"/>
      <c r="AE78" s="22"/>
      <c r="AF78" s="22"/>
      <c r="AG78" s="22"/>
      <c r="AH78" s="22"/>
    </row>
    <row r="79" spans="1:34" ht="24.95" customHeight="1">
      <c r="A79" s="32" t="s">
        <v>63</v>
      </c>
      <c r="B79" s="21" t="b">
        <v>1</v>
      </c>
      <c r="C79" s="21" t="b">
        <v>0</v>
      </c>
      <c r="D79" s="23"/>
      <c r="E79" s="21"/>
      <c r="F79" s="21"/>
      <c r="G79" s="21"/>
      <c r="H79" s="21"/>
      <c r="I79" s="21"/>
      <c r="J79" s="21"/>
      <c r="K79" s="21"/>
      <c r="L79" s="21"/>
      <c r="M79" s="21"/>
      <c r="N79" s="21"/>
      <c r="O79" s="21"/>
      <c r="P79" s="21"/>
      <c r="Q79" s="22"/>
      <c r="R79" s="22"/>
      <c r="S79" s="22"/>
      <c r="T79" s="22"/>
      <c r="U79" s="22"/>
      <c r="V79" s="22"/>
      <c r="W79" s="22"/>
      <c r="X79" s="22"/>
      <c r="Y79" s="22"/>
      <c r="Z79" s="22"/>
      <c r="AA79" s="22"/>
      <c r="AB79" s="22"/>
      <c r="AC79" s="22"/>
      <c r="AD79" s="22"/>
      <c r="AE79" s="22"/>
      <c r="AF79" s="22"/>
      <c r="AG79" s="22"/>
      <c r="AH79" s="22"/>
    </row>
    <row r="80" spans="1:34" ht="24.95" customHeight="1">
      <c r="A80" s="32" t="s">
        <v>64</v>
      </c>
      <c r="B80" s="21" t="b">
        <v>1</v>
      </c>
      <c r="C80" s="21" t="b">
        <v>0</v>
      </c>
      <c r="D80" s="23"/>
      <c r="E80" s="21"/>
      <c r="F80" s="21"/>
      <c r="G80" s="21"/>
      <c r="H80" s="21"/>
      <c r="I80" s="21"/>
      <c r="J80" s="21"/>
      <c r="K80" s="21"/>
      <c r="L80" s="21"/>
      <c r="M80" s="21"/>
      <c r="N80" s="21"/>
      <c r="O80" s="21"/>
      <c r="P80" s="21"/>
      <c r="Q80" s="22"/>
      <c r="R80" s="22"/>
      <c r="S80" s="22"/>
      <c r="T80" s="22"/>
      <c r="U80" s="22"/>
      <c r="V80" s="22"/>
      <c r="W80" s="22"/>
      <c r="X80" s="22"/>
      <c r="Y80" s="22"/>
      <c r="Z80" s="22"/>
      <c r="AA80" s="22"/>
      <c r="AB80" s="22"/>
      <c r="AC80" s="22"/>
      <c r="AD80" s="22"/>
      <c r="AE80" s="22"/>
      <c r="AF80" s="22"/>
      <c r="AG80" s="22"/>
      <c r="AH80" s="22"/>
    </row>
    <row r="81" spans="1:34" ht="24.95" customHeight="1">
      <c r="A81" s="32" t="s">
        <v>594</v>
      </c>
      <c r="B81" s="21" t="b">
        <v>1</v>
      </c>
      <c r="C81" s="21" t="b">
        <v>0</v>
      </c>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row>
    <row r="82" spans="1:34" ht="24.95" customHeight="1">
      <c r="A82" s="32" t="s">
        <v>66</v>
      </c>
      <c r="B82" s="21" t="b">
        <v>1</v>
      </c>
      <c r="C82" s="21" t="b">
        <v>0</v>
      </c>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row>
    <row r="83" spans="1:34" ht="15.75" customHeight="1">
      <c r="A83" s="32" t="s">
        <v>346</v>
      </c>
      <c r="B83" s="23" t="b">
        <v>1</v>
      </c>
      <c r="C83" s="23" t="b">
        <v>0</v>
      </c>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row>
    <row r="84" spans="1:34" ht="15.75" customHeight="1">
      <c r="A84" s="32" t="s">
        <v>61</v>
      </c>
      <c r="B84" s="23" t="s">
        <v>595</v>
      </c>
      <c r="C84" s="23" t="s">
        <v>596</v>
      </c>
      <c r="D84" s="23" t="s">
        <v>597</v>
      </c>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row>
    <row r="85" spans="1:34" ht="15.75" customHeight="1">
      <c r="A85" s="32" t="s">
        <v>62</v>
      </c>
      <c r="B85" s="23" t="s">
        <v>595</v>
      </c>
      <c r="C85" s="23" t="s">
        <v>596</v>
      </c>
      <c r="D85" s="23" t="s">
        <v>597</v>
      </c>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1177299</vt:lpstr>
      <vt:lpstr>1151000</vt:lpstr>
      <vt:lpstr>1122091</vt:lpstr>
      <vt:lpstr>1128315</vt:lpstr>
      <vt:lpstr>1158354</vt:lpstr>
      <vt:lpstr>1121423</vt:lpstr>
      <vt:lpstr>1121834</vt:lpstr>
      <vt:lpstr>1157544</vt:lpstr>
      <vt:lpstr>1143964</vt:lpstr>
      <vt:lpstr>1145757</vt:lpstr>
      <vt:lpstr>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Pedro Jose De Oliveira</cp:lastModifiedBy>
  <dcterms:created xsi:type="dcterms:W3CDTF">2026-04-16T16:31:15Z</dcterms:created>
  <dcterms:modified xsi:type="dcterms:W3CDTF">2026-05-11T21:59:46Z</dcterms:modified>
</cp:coreProperties>
</file>